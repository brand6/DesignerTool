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5.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6.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omments11.xml" ContentType="application/vnd.openxmlformats-officedocument.spreadsheetml.comments+xml"/>
  <Override PartName="/xl/drawings/drawing13.xml" ContentType="application/vnd.openxmlformats-officedocument.drawing+xml"/>
  <Override PartName="/xl/ctrlProps/ctrlProp104.xml" ContentType="application/vnd.ms-excel.controlproperties+xml"/>
  <Override PartName="/xl/drawings/drawing14.xml" ContentType="application/vnd.openxmlformats-officedocument.drawing+xml"/>
  <Override PartName="/xl/ctrlProps/ctrlProp105.xml" ContentType="application/vnd.ms-excel.controlproperties+xml"/>
  <Override PartName="/xl/drawings/drawing15.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omments12.xml" ContentType="application/vnd.openxmlformats-officedocument.spreadsheetml.comments+xml"/>
  <Override PartName="/xl/drawings/drawing16.xml" ContentType="application/vnd.openxmlformats-officedocument.drawing+xml"/>
  <Override PartName="/xl/ctrlProps/ctrlProp108.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omments14.xml" ContentType="application/vnd.openxmlformats-officedocument.spreadsheetml.comments+xml"/>
  <Override PartName="/xl/drawings/drawing18.xml" ContentType="application/vnd.openxmlformats-officedocument.drawing+xml"/>
  <Override PartName="/xl/ctrlProps/ctrlProp113.xml" ContentType="application/vnd.ms-excel.controlproperties+xml"/>
  <Override PartName="/xl/drawings/drawing19.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drawings/drawing20.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omments17.xml" ContentType="application/vnd.openxmlformats-officedocument.spreadsheetml.comments+xml"/>
  <Override PartName="/xl/drawings/drawing21.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omments18.xml" ContentType="application/vnd.openxmlformats-officedocument.spreadsheetml.comments+xml"/>
  <Override PartName="/xl/drawings/drawing22.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策划工具\"/>
    </mc:Choice>
  </mc:AlternateContent>
  <xr:revisionPtr revIDLastSave="0" documentId="13_ncr:1_{4EB8F721-4896-422D-9972-ED39C54CB61E}" xr6:coauthVersionLast="47" xr6:coauthVersionMax="47" xr10:uidLastSave="{00000000-0000-0000-0000-000000000000}"/>
  <bookViews>
    <workbookView xWindow="-120" yWindow="-120" windowWidth="29040" windowHeight="15840" tabRatio="840" activeTab="4" xr2:uid="{00000000-000D-0000-FFFF-FFFF00000000}"/>
  </bookViews>
  <sheets>
    <sheet name="目录" sheetId="1" r:id="rId1"/>
    <sheet name="活动配置" sheetId="3" state="hidden" r:id="rId2"/>
    <sheet name="宠物动作" sheetId="75" state="hidden" r:id="rId3"/>
    <sheet name="捞文本配置" sheetId="8" r:id="rId4"/>
    <sheet name="卡牌数据迁移" sheetId="2" r:id="rId5"/>
    <sheet name="卡牌本地化解析" sheetId="9" r:id="rId6"/>
    <sheet name="资源迁移" sheetId="55" state="hidden" r:id="rId7"/>
    <sheet name="礼包参数配置" sheetId="54" state="hidden" r:id="rId8"/>
    <sheet name="东南亚礼包" sheetId="10" state="hidden" r:id="rId9"/>
    <sheet name="韩服礼包" sheetId="53" state="hidden" r:id="rId10"/>
    <sheet name="日服礼包" sheetId="63" state="hidden" r:id="rId11"/>
    <sheet name="台服礼包" sheetId="64" state="hidden" r:id="rId12"/>
    <sheet name="欧美礼包" sheetId="65" state="hidden" r:id="rId13"/>
    <sheet name="越南礼包" sheetId="66" state="hidden" r:id="rId14"/>
    <sheet name="24小时数据生成" sheetId="11" state="hidden" r:id="rId15"/>
    <sheet name="数据有效性" sheetId="13" state="hidden" r:id="rId16"/>
    <sheet name="宠物资源映射" sheetId="74" state="hidden" r:id="rId17"/>
    <sheet name="宠物有效性" sheetId="71" state="hidden" r:id="rId18"/>
    <sheet name="宠物标签" sheetId="69" state="hidden" r:id="rId19"/>
    <sheet name="宠物模型" sheetId="68" state="hidden" r:id="rId20"/>
    <sheet name="宠物扭蛋奖励【弃】" sheetId="73" state="hidden" r:id="rId21"/>
    <sheet name="宠物扭蛋" sheetId="72" state="hidden" r:id="rId22"/>
    <sheet name="宠物动作参考" sheetId="76" state="hidden" r:id="rId23"/>
    <sheet name="卡牌生成" sheetId="14" state="hidden" r:id="rId24"/>
    <sheet name="卡牌QA" sheetId="58" state="hidden" r:id="rId25"/>
    <sheet name="卡牌数值" sheetId="67" state="hidden" r:id="rId26"/>
    <sheet name="表头说明" sheetId="78" r:id="rId27"/>
    <sheet name="活动flag" sheetId="83" r:id="rId28"/>
    <sheet name="主线章节" sheetId="81" state="hidden" r:id="rId29"/>
    <sheet name="主线关卡" sheetId="82" state="hidden" r:id="rId30"/>
    <sheet name="Sheet1" sheetId="79" state="hidden" r:id="rId31"/>
    <sheet name="下载列表生成" sheetId="22" state="hidden" r:id="rId32"/>
    <sheet name="资源检查&amp;修改" sheetId="23" state="hidden" r:id="rId33"/>
  </sheets>
  <functionGroups builtInGroupCount="19"/>
  <externalReferences>
    <externalReference r:id="rId34"/>
  </externalReferences>
  <definedNames>
    <definedName name="_xlnm._FilterDatabase" localSheetId="19" hidden="1">宠物模型!$A$1:$X$108</definedName>
    <definedName name="_xlnm._FilterDatabase" localSheetId="20" hidden="1">宠物扭蛋奖励【弃】!$A$1:$AD$489</definedName>
    <definedName name="_xlnm._FilterDatabase" localSheetId="23" hidden="1">卡牌生成!$A$1:$AT$1089</definedName>
    <definedName name="_xlnm._FilterDatabase" localSheetId="15" hidden="1">数据有效性!$R$1:$X$55</definedName>
    <definedName name="_xlnm._FilterDatabase" localSheetId="32" hidden="1">'资源检查&amp;修改'!$C$1:$C$3487</definedName>
    <definedName name="白起">(N(INDIRECT("C"&amp;ROW()))=4)</definedName>
    <definedName name="耳朵1">宠物有效性!$R$2</definedName>
    <definedName name="耳朵2">宠物有效性!$S$2:$S$6</definedName>
    <definedName name="奖池">[1]宠物扭蛋!$F1</definedName>
    <definedName name="李泽言">(N(INDIRECT("C"&amp;ROW()))=1)</definedName>
    <definedName name="脸1">宠物有效性!$V$2</definedName>
    <definedName name="脸2">宠物有效性!$W$2:$W$7</definedName>
    <definedName name="凌肖">(N(INDIRECT("C"&amp;ROW()))=8)</definedName>
    <definedName name="刘海1">宠物有效性!$P$2:$P$3</definedName>
    <definedName name="刘海2">宠物有效性!$Q$2</definedName>
    <definedName name="毛色1">宠物有效性!$D$2:$D$5</definedName>
    <definedName name="毛色2">宠物有效性!$E$2:$E$7</definedName>
    <definedName name="眉毛1">宠物有效性!$T$2</definedName>
    <definedName name="眉毛2">宠物有效性!$U$2:$U$4</definedName>
    <definedName name="品种1">宠物有效性!$B$2:$B$3</definedName>
    <definedName name="品种2">宠物有效性!$C$2:$C$3</definedName>
    <definedName name="身体1">宠物有效性!$X$2</definedName>
    <definedName name="身体2">宠物有效性!$Y$2:$Y$9</definedName>
    <definedName name="瞳色1">宠物有效性!$F$2:$F$4</definedName>
    <definedName name="瞳色2">宠物有效性!$G$2:$G$3</definedName>
    <definedName name="腿脚1">宠物有效性!$H$2:$H$7</definedName>
    <definedName name="腿脚2">宠物有效性!$I$2:$I$10</definedName>
    <definedName name="尾巴1">宠物有效性!$J$2:$J$3</definedName>
    <definedName name="尾巴2">宠物有效性!$K$2:$K$6</definedName>
    <definedName name="物品类型">[1]宠物扭蛋!$V1</definedName>
    <definedName name="物种">宠物有效性!$A$2:$A$3</definedName>
    <definedName name="物种1">宠物有效性!$A$2:$A$3</definedName>
    <definedName name="物种2">宠物有效性!$B$2:$B$3</definedName>
    <definedName name="性别1">宠物有效性!$AB$2:$AB$3</definedName>
    <definedName name="性别2">宠物有效性!$AC$2:$AC$3</definedName>
    <definedName name="性格1">宠物有效性!$Z$2:$Z$5</definedName>
    <definedName name="性格2">宠物有效性!$AA$2:$AA$5</definedName>
    <definedName name="许墨">(N(INDIRECT("C"&amp;ROW()))=2)</definedName>
    <definedName name="痣1">宠物有效性!$L$2</definedName>
    <definedName name="痣2">宠物有效性!$M$2</definedName>
    <definedName name="周棋洛">(N(INDIRECT("C"&amp;ROW()))=3)</definedName>
    <definedName name="嘴巴腮1">宠物有效性!$N$2</definedName>
    <definedName name="嘴巴腮2">宠物有效性!$O$2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5" i="73" l="1"/>
  <c r="Z5" i="73"/>
  <c r="Y5" i="73"/>
  <c r="AB4" i="73"/>
  <c r="Z4" i="73"/>
  <c r="Y4" i="73"/>
  <c r="Z3" i="73"/>
  <c r="Y3" i="73"/>
  <c r="AC35" i="73" l="1"/>
  <c r="AB35" i="73"/>
  <c r="AC34" i="73"/>
  <c r="AB34" i="73"/>
  <c r="AB33" i="73"/>
  <c r="AB32" i="73"/>
  <c r="AC21" i="73"/>
  <c r="Z21" i="73"/>
  <c r="AB20" i="73"/>
  <c r="Z20" i="73"/>
  <c r="Z19" i="73"/>
  <c r="AC45" i="73"/>
  <c r="AC9" i="13"/>
  <c r="AB9"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A1" authorId="0" shapeId="0" xr:uid="{00000000-0006-0000-0100-000001000000}">
      <text>
        <r>
          <rPr>
            <b/>
            <sz val="9"/>
            <rFont val="宋体"/>
            <family val="3"/>
            <charset val="134"/>
          </rPr>
          <t>PC:</t>
        </r>
        <r>
          <rPr>
            <sz val="9"/>
            <rFont val="宋体"/>
            <family val="3"/>
            <charset val="134"/>
          </rPr>
          <t xml:space="preserve">
不填则默认为与表格工具在同目录</t>
        </r>
      </text>
    </comment>
    <comment ref="A8" authorId="0" shapeId="0" xr:uid="{00000000-0006-0000-0100-000002000000}">
      <text>
        <r>
          <rPr>
            <b/>
            <sz val="9"/>
            <rFont val="宋体"/>
            <family val="3"/>
            <charset val="134"/>
          </rPr>
          <t>PC:</t>
        </r>
        <r>
          <rPr>
            <sz val="9"/>
            <rFont val="宋体"/>
            <family val="3"/>
            <charset val="134"/>
          </rPr>
          <t xml:space="preserve">
表格工具放在项目下时本字段无效</t>
        </r>
      </text>
    </comment>
    <comment ref="A10" authorId="0" shapeId="0" xr:uid="{00000000-0006-0000-0100-000003000000}">
      <text>
        <r>
          <rPr>
            <b/>
            <sz val="9"/>
            <rFont val="宋体"/>
            <family val="3"/>
            <charset val="134"/>
          </rPr>
          <t>PC:</t>
        </r>
        <r>
          <rPr>
            <sz val="9"/>
            <rFont val="宋体"/>
            <family val="3"/>
            <charset val="134"/>
          </rPr>
          <t xml:space="preserve">
表格工具放在项目下时本字段无效</t>
        </r>
      </text>
    </comment>
    <comment ref="A12" authorId="0" shapeId="0" xr:uid="{00000000-0006-0000-0100-000004000000}">
      <text>
        <r>
          <rPr>
            <b/>
            <sz val="9"/>
            <rFont val="宋体"/>
            <family val="3"/>
            <charset val="134"/>
          </rPr>
          <t>PC:</t>
        </r>
        <r>
          <rPr>
            <sz val="9"/>
            <rFont val="宋体"/>
            <family val="3"/>
            <charset val="134"/>
          </rPr>
          <t xml:space="preserve">
表格工具放在项目下时本字段无效</t>
        </r>
      </text>
    </comment>
    <comment ref="A14" authorId="0" shapeId="0" xr:uid="{00000000-0006-0000-0100-000005000000}">
      <text>
        <r>
          <rPr>
            <b/>
            <sz val="9"/>
            <rFont val="宋体"/>
            <family val="3"/>
            <charset val="134"/>
          </rPr>
          <t>PC:</t>
        </r>
        <r>
          <rPr>
            <sz val="9"/>
            <rFont val="宋体"/>
            <family val="3"/>
            <charset val="134"/>
          </rPr>
          <t xml:space="preserve">
表格工具放在项目下时本字段无效</t>
        </r>
      </text>
    </comment>
    <comment ref="A16" authorId="0" shapeId="0" xr:uid="{00000000-0006-0000-0100-000006000000}">
      <text>
        <r>
          <rPr>
            <b/>
            <sz val="9"/>
            <rFont val="宋体"/>
            <family val="3"/>
            <charset val="134"/>
          </rPr>
          <t>PC:</t>
        </r>
        <r>
          <rPr>
            <sz val="9"/>
            <rFont val="宋体"/>
            <family val="3"/>
            <charset val="134"/>
          </rPr>
          <t xml:space="preserve">
表格工具放在项目下时本字段无效</t>
        </r>
      </text>
    </comment>
    <comment ref="A18" authorId="0" shapeId="0" xr:uid="{00000000-0006-0000-0100-000007000000}">
      <text>
        <r>
          <rPr>
            <b/>
            <sz val="9"/>
            <rFont val="宋体"/>
            <family val="3"/>
            <charset val="134"/>
          </rPr>
          <t>PC:</t>
        </r>
        <r>
          <rPr>
            <sz val="9"/>
            <rFont val="宋体"/>
            <family val="3"/>
            <charset val="134"/>
          </rPr>
          <t xml:space="preserve">
表格工具放在项目下时本字段无效</t>
        </r>
      </text>
    </comment>
    <comment ref="A20" authorId="0" shapeId="0" xr:uid="{00000000-0006-0000-0100-000008000000}">
      <text>
        <r>
          <rPr>
            <b/>
            <sz val="9"/>
            <rFont val="宋体"/>
            <family val="3"/>
            <charset val="134"/>
          </rPr>
          <t>PC:</t>
        </r>
        <r>
          <rPr>
            <sz val="9"/>
            <rFont val="宋体"/>
            <family val="3"/>
            <charset val="134"/>
          </rPr>
          <t xml:space="preserve">
表格工具放在项目下时本字段无效</t>
        </r>
      </text>
    </comment>
    <comment ref="A22" authorId="0" shapeId="0" xr:uid="{00000000-0006-0000-0100-000009000000}">
      <text>
        <r>
          <rPr>
            <b/>
            <sz val="9"/>
            <rFont val="宋体"/>
            <family val="3"/>
            <charset val="134"/>
          </rPr>
          <t>PC:</t>
        </r>
        <r>
          <rPr>
            <sz val="9"/>
            <rFont val="宋体"/>
            <family val="3"/>
            <charset val="134"/>
          </rPr>
          <t xml:space="preserve">
表格工具放在项目下时本字段无效</t>
        </r>
      </text>
    </comment>
    <comment ref="A24" authorId="0" shapeId="0" xr:uid="{00000000-0006-0000-0100-00000A000000}">
      <text>
        <r>
          <rPr>
            <b/>
            <sz val="9"/>
            <rFont val="宋体"/>
            <family val="3"/>
            <charset val="134"/>
          </rPr>
          <t>PC:</t>
        </r>
        <r>
          <rPr>
            <sz val="9"/>
            <rFont val="宋体"/>
            <family val="3"/>
            <charset val="134"/>
          </rPr>
          <t xml:space="preserve">
表格工具放在项目下时本字段无效</t>
        </r>
      </text>
    </comment>
    <comment ref="A26" authorId="0" shapeId="0" xr:uid="{D2D78842-F760-42A8-B81D-BF86E9027843}">
      <text>
        <r>
          <rPr>
            <b/>
            <sz val="9"/>
            <rFont val="宋体"/>
            <family val="3"/>
            <charset val="134"/>
          </rPr>
          <t>PC:</t>
        </r>
        <r>
          <rPr>
            <sz val="9"/>
            <rFont val="宋体"/>
            <family val="3"/>
            <charset val="134"/>
          </rPr>
          <t xml:space="preserve">
表格工具放在项目下时本字段无效</t>
        </r>
      </text>
    </comment>
    <comment ref="A28" authorId="0" shapeId="0" xr:uid="{B18DB4C5-2B49-43A4-9C5B-1E13E7137586}">
      <text>
        <r>
          <rPr>
            <b/>
            <sz val="9"/>
            <rFont val="宋体"/>
            <family val="3"/>
            <charset val="134"/>
          </rPr>
          <t>PC:</t>
        </r>
        <r>
          <rPr>
            <sz val="9"/>
            <rFont val="宋体"/>
            <family val="3"/>
            <charset val="134"/>
          </rPr>
          <t xml:space="preserve">
表格工具放在项目下时本字段无效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E2" authorId="0" shapeId="0" xr:uid="{00000000-0006-0000-0000-000001000000}">
      <text>
        <r>
          <rPr>
            <sz val="9"/>
            <rFont val="宋体"/>
            <family val="3"/>
            <charset val="134"/>
          </rPr>
          <t>需要配置3个活动：
主活动：47001
普通档位：21530
精英档位：21531</t>
        </r>
      </text>
    </comment>
    <comment ref="F2" authorId="0" shapeId="0" xr:uid="{00000000-0006-0000-0000-000002000000}">
      <text>
        <r>
          <rPr>
            <b/>
            <sz val="9"/>
            <rFont val="宋体"/>
            <family val="3"/>
            <charset val="134"/>
          </rPr>
          <t>PC:</t>
        </r>
        <r>
          <rPr>
            <sz val="9"/>
            <rFont val="宋体"/>
            <family val="3"/>
            <charset val="134"/>
          </rPr>
          <t xml:space="preserve">
活动基本规则</t>
        </r>
      </text>
    </comment>
    <comment ref="G2" authorId="0" shapeId="0" xr:uid="{00000000-0006-0000-0000-000003000000}">
      <text>
        <r>
          <rPr>
            <b/>
            <sz val="9"/>
            <rFont val="宋体"/>
            <family val="3"/>
            <charset val="134"/>
          </rPr>
          <t>PC:</t>
        </r>
        <r>
          <rPr>
            <sz val="9"/>
            <rFont val="宋体"/>
            <family val="3"/>
            <charset val="134"/>
          </rPr>
          <t xml:space="preserve">
档位奖励配置</t>
        </r>
      </text>
    </comment>
    <comment ref="H2" authorId="0" shapeId="0" xr:uid="{00000000-0006-0000-0000-000004000000}">
      <text>
        <r>
          <rPr>
            <b/>
            <sz val="9"/>
            <rFont val="宋体"/>
            <family val="3"/>
            <charset val="134"/>
          </rPr>
          <t>PC:</t>
        </r>
        <r>
          <rPr>
            <sz val="9"/>
            <rFont val="宋体"/>
            <family val="3"/>
            <charset val="134"/>
          </rPr>
          <t xml:space="preserve">
配置快速升级礼包（共四个）和精英证明礼包（30元）</t>
        </r>
      </text>
    </comment>
    <comment ref="J2" authorId="0" shapeId="0" xr:uid="{00000000-0006-0000-0000-000005000000}">
      <text>
        <r>
          <rPr>
            <b/>
            <sz val="9"/>
            <rFont val="宋体"/>
            <family val="3"/>
            <charset val="134"/>
          </rPr>
          <t>PC:</t>
        </r>
        <r>
          <rPr>
            <sz val="9"/>
            <rFont val="宋体"/>
            <family val="3"/>
            <charset val="134"/>
          </rPr>
          <t xml:space="preserve">
精英证明道具
积分道具</t>
        </r>
      </text>
    </comment>
    <comment ref="K2" authorId="0" shapeId="0" xr:uid="{00000000-0006-0000-0000-000006000000}">
      <text>
        <r>
          <rPr>
            <b/>
            <sz val="9"/>
            <rFont val="宋体"/>
            <family val="3"/>
            <charset val="134"/>
          </rPr>
          <t>PC:</t>
        </r>
        <r>
          <rPr>
            <sz val="9"/>
            <rFont val="宋体"/>
            <family val="3"/>
            <charset val="134"/>
          </rPr>
          <t xml:space="preserve">
积分道具自动转化为积分</t>
        </r>
      </text>
    </comment>
    <comment ref="E3" authorId="0" shapeId="0" xr:uid="{00000000-0006-0000-0000-000007000000}">
      <text>
        <r>
          <rPr>
            <b/>
            <sz val="9"/>
            <rFont val="宋体"/>
            <family val="3"/>
            <charset val="134"/>
          </rPr>
          <t>PC:</t>
        </r>
        <r>
          <rPr>
            <sz val="9"/>
            <rFont val="宋体"/>
            <family val="3"/>
            <charset val="134"/>
          </rPr>
          <t xml:space="preserve">
2xxx</t>
        </r>
      </text>
    </comment>
    <comment ref="F3" authorId="0" shapeId="0" xr:uid="{00000000-0006-0000-0000-000008000000}">
      <text>
        <r>
          <rPr>
            <b/>
            <sz val="9"/>
            <rFont val="宋体"/>
            <family val="3"/>
            <charset val="134"/>
          </rPr>
          <t>PC:</t>
        </r>
        <r>
          <rPr>
            <sz val="9"/>
            <rFont val="宋体"/>
            <family val="3"/>
            <charset val="134"/>
          </rPr>
          <t xml:space="preserve">
活动_BINGO_奖励</t>
        </r>
      </text>
    </comment>
    <comment ref="G3" authorId="0" shapeId="0" xr:uid="{00000000-0006-0000-0000-000009000000}">
      <text>
        <r>
          <rPr>
            <b/>
            <sz val="9"/>
            <rFont val="宋体"/>
            <family val="3"/>
            <charset val="134"/>
          </rPr>
          <t>PC:</t>
        </r>
        <r>
          <rPr>
            <sz val="9"/>
            <rFont val="宋体"/>
            <family val="3"/>
            <charset val="134"/>
          </rPr>
          <t xml:space="preserve">
bingo任务配置</t>
        </r>
      </text>
    </comment>
    <comment ref="E4" authorId="0" shapeId="0" xr:uid="{00000000-0006-0000-0000-00000A000000}">
      <text>
        <r>
          <rPr>
            <b/>
            <sz val="9"/>
            <rFont val="宋体"/>
            <family val="3"/>
            <charset val="134"/>
          </rPr>
          <t>PC:</t>
        </r>
        <r>
          <rPr>
            <sz val="9"/>
            <rFont val="宋体"/>
            <family val="3"/>
            <charset val="134"/>
          </rPr>
          <t xml:space="preserve">
新增活动入口id（copy102）
需要对应banner资源
55x</t>
        </r>
      </text>
    </comment>
    <comment ref="F4" authorId="0" shapeId="0" xr:uid="{00000000-0006-0000-0000-00000B000000}">
      <text>
        <r>
          <rPr>
            <b/>
            <sz val="9"/>
            <rFont val="宋体"/>
            <family val="3"/>
            <charset val="134"/>
          </rPr>
          <t>PC:</t>
        </r>
        <r>
          <rPr>
            <sz val="9"/>
            <rFont val="宋体"/>
            <family val="3"/>
            <charset val="134"/>
          </rPr>
          <t xml:space="preserve">
200005</t>
        </r>
      </text>
    </comment>
    <comment ref="G4" authorId="0" shapeId="0" xr:uid="{00000000-0006-0000-0000-00000C000000}">
      <text>
        <r>
          <rPr>
            <b/>
            <sz val="9"/>
            <rFont val="宋体"/>
            <family val="3"/>
            <charset val="134"/>
          </rPr>
          <t>PC:</t>
        </r>
        <r>
          <rPr>
            <sz val="9"/>
            <rFont val="宋体"/>
            <family val="3"/>
            <charset val="134"/>
          </rPr>
          <t xml:space="preserve">
星缘石（对应活动时间）
星缘石碎片</t>
        </r>
      </text>
    </comment>
    <comment ref="H4" authorId="0" shapeId="0" xr:uid="{00000000-0006-0000-0000-00000D000000}">
      <text>
        <r>
          <rPr>
            <b/>
            <sz val="9"/>
            <rFont val="宋体"/>
            <family val="3"/>
            <charset val="134"/>
          </rPr>
          <t>PC:</t>
        </r>
        <r>
          <rPr>
            <sz val="9"/>
            <rFont val="宋体"/>
            <family val="3"/>
            <charset val="134"/>
          </rPr>
          <t xml:space="preserve">
商城出售礼包</t>
        </r>
      </text>
    </comment>
    <comment ref="E5" authorId="0" shapeId="0" xr:uid="{00000000-0006-0000-0000-00000E000000}">
      <text>
        <r>
          <rPr>
            <b/>
            <sz val="9"/>
            <rFont val="宋体"/>
            <family val="3"/>
            <charset val="134"/>
          </rPr>
          <t>PC:</t>
        </r>
        <r>
          <rPr>
            <sz val="9"/>
            <rFont val="宋体"/>
            <family val="3"/>
            <charset val="134"/>
          </rPr>
          <t xml:space="preserve">
副本4503
关联21503兑换活动</t>
        </r>
      </text>
    </comment>
    <comment ref="F5" authorId="0" shapeId="0" xr:uid="{00000000-0006-0000-0000-00000F000000}">
      <text>
        <r>
          <rPr>
            <b/>
            <sz val="9"/>
            <rFont val="宋体"/>
            <family val="3"/>
            <charset val="134"/>
          </rPr>
          <t>PC:</t>
        </r>
        <r>
          <rPr>
            <sz val="9"/>
            <rFont val="宋体"/>
            <family val="3"/>
            <charset val="134"/>
          </rPr>
          <t xml:space="preserve">
配置领取条件和奖励</t>
        </r>
      </text>
    </comment>
    <comment ref="G5" authorId="0" shapeId="0" xr:uid="{00000000-0006-0000-0000-000010000000}">
      <text>
        <r>
          <rPr>
            <b/>
            <sz val="9"/>
            <rFont val="宋体"/>
            <family val="3"/>
            <charset val="134"/>
          </rPr>
          <t>PC:</t>
        </r>
        <r>
          <rPr>
            <sz val="9"/>
            <rFont val="宋体"/>
            <family val="3"/>
            <charset val="134"/>
          </rPr>
          <t xml:space="preserve">
119015：白起的硬照</t>
        </r>
      </text>
    </comment>
    <comment ref="E6" authorId="0" shapeId="0" xr:uid="{00000000-0006-0000-0000-000011000000}">
      <text>
        <r>
          <rPr>
            <b/>
            <sz val="9"/>
            <rFont val="宋体"/>
            <family val="3"/>
            <charset val="134"/>
          </rPr>
          <t>PC:</t>
        </r>
        <r>
          <rPr>
            <sz val="9"/>
            <rFont val="宋体"/>
            <family val="3"/>
            <charset val="134"/>
          </rPr>
          <t xml:space="preserve">
35xxx</t>
        </r>
      </text>
    </comment>
    <comment ref="E7" authorId="0" shapeId="0" xr:uid="{00000000-0006-0000-0000-000012000000}">
      <text>
        <r>
          <rPr>
            <b/>
            <sz val="9"/>
            <rFont val="宋体"/>
            <family val="3"/>
            <charset val="134"/>
          </rPr>
          <t>PC:</t>
        </r>
        <r>
          <rPr>
            <sz val="9"/>
            <rFont val="宋体"/>
            <family val="3"/>
            <charset val="134"/>
          </rPr>
          <t xml:space="preserve">
25501
21006</t>
        </r>
      </text>
    </comment>
    <comment ref="E8" authorId="0" shapeId="0" xr:uid="{00000000-0006-0000-0000-000013000000}">
      <text>
        <r>
          <rPr>
            <b/>
            <sz val="9"/>
            <rFont val="宋体"/>
            <family val="3"/>
            <charset val="134"/>
          </rPr>
          <t>PC:</t>
        </r>
        <r>
          <rPr>
            <sz val="9"/>
            <rFont val="宋体"/>
            <family val="3"/>
            <charset val="134"/>
          </rPr>
          <t xml:space="preserve">
30001
21504:21505:21506:21507
4101:4102:4103:4104</t>
        </r>
      </text>
    </comment>
    <comment ref="E9" authorId="0" shapeId="0" xr:uid="{00000000-0006-0000-0000-000014000000}">
      <text>
        <r>
          <rPr>
            <b/>
            <sz val="9"/>
            <rFont val="宋体"/>
            <family val="3"/>
            <charset val="134"/>
          </rPr>
          <t>PC:</t>
        </r>
        <r>
          <rPr>
            <sz val="9"/>
            <rFont val="宋体"/>
            <family val="3"/>
            <charset val="134"/>
          </rPr>
          <t xml:space="preserve">
26002</t>
        </r>
      </text>
    </comment>
    <comment ref="G9" authorId="0" shapeId="0" xr:uid="{00000000-0006-0000-0000-000015000000}">
      <text>
        <r>
          <rPr>
            <b/>
            <sz val="9"/>
            <rFont val="宋体"/>
            <family val="3"/>
            <charset val="134"/>
          </rPr>
          <t>PC:</t>
        </r>
        <r>
          <rPr>
            <sz val="9"/>
            <rFont val="宋体"/>
            <family val="3"/>
            <charset val="134"/>
          </rPr>
          <t xml:space="preserve">
119015：白起的硬照</t>
        </r>
      </text>
    </comment>
    <comment ref="D10" authorId="0" shapeId="0" xr:uid="{00000000-0006-0000-0000-000016000000}">
      <text>
        <r>
          <rPr>
            <b/>
            <sz val="9"/>
            <rFont val="宋体"/>
            <family val="3"/>
            <charset val="134"/>
          </rPr>
          <t>PC:</t>
        </r>
        <r>
          <rPr>
            <sz val="9"/>
            <rFont val="宋体"/>
            <family val="3"/>
            <charset val="134"/>
          </rPr>
          <t xml:space="preserve">
另需：activity_recharge_reward_info_data
（表名太长无法导入）</t>
        </r>
      </text>
    </comment>
    <comment ref="E10" authorId="0" shapeId="0" xr:uid="{00000000-0006-0000-0000-000017000000}">
      <text>
        <r>
          <rPr>
            <b/>
            <sz val="9"/>
            <rFont val="宋体"/>
            <family val="3"/>
            <charset val="134"/>
          </rPr>
          <t>PC:</t>
        </r>
        <r>
          <rPr>
            <sz val="9"/>
            <rFont val="宋体"/>
            <family val="3"/>
            <charset val="134"/>
          </rPr>
          <t xml:space="preserve">
9xxx</t>
        </r>
      </text>
    </comment>
    <comment ref="D11" authorId="0" shapeId="0" xr:uid="{00000000-0006-0000-0000-000018000000}">
      <text>
        <r>
          <rPr>
            <b/>
            <sz val="9"/>
            <rFont val="宋体"/>
            <family val="3"/>
            <charset val="134"/>
          </rPr>
          <t>PC:</t>
        </r>
        <r>
          <rPr>
            <sz val="9"/>
            <rFont val="宋体"/>
            <family val="3"/>
            <charset val="134"/>
          </rPr>
          <t xml:space="preserve">
东南亚专属</t>
        </r>
      </text>
    </comment>
    <comment ref="E11" authorId="0" shapeId="0" xr:uid="{00000000-0006-0000-0000-000019000000}">
      <text>
        <r>
          <rPr>
            <b/>
            <sz val="9"/>
            <rFont val="宋体"/>
            <family val="3"/>
            <charset val="134"/>
          </rPr>
          <t>PC:</t>
        </r>
        <r>
          <rPr>
            <sz val="9"/>
            <rFont val="宋体"/>
            <family val="3"/>
            <charset val="134"/>
          </rPr>
          <t xml:space="preserve">
403xxx</t>
        </r>
      </text>
    </comment>
    <comment ref="E12" authorId="0" shapeId="0" xr:uid="{00000000-0006-0000-0000-00001A000000}">
      <text>
        <r>
          <rPr>
            <b/>
            <sz val="9"/>
            <rFont val="宋体"/>
            <family val="3"/>
            <charset val="134"/>
          </rPr>
          <t>PC:</t>
        </r>
        <r>
          <rPr>
            <sz val="9"/>
            <rFont val="宋体"/>
            <family val="3"/>
            <charset val="134"/>
          </rPr>
          <t xml:space="preserve">
18xxx</t>
        </r>
      </text>
    </comment>
    <comment ref="I12" authorId="0" shapeId="0" xr:uid="{00000000-0006-0000-0000-00001B000000}">
      <text>
        <r>
          <rPr>
            <b/>
            <sz val="9"/>
            <rFont val="宋体"/>
            <family val="3"/>
            <charset val="134"/>
          </rPr>
          <t>PC:</t>
        </r>
        <r>
          <rPr>
            <sz val="9"/>
            <rFont val="宋体"/>
            <family val="3"/>
            <charset val="134"/>
          </rPr>
          <t xml:space="preserve">
用于查询物品id</t>
        </r>
      </text>
    </comment>
    <comment ref="E13" authorId="0" shapeId="0" xr:uid="{00000000-0006-0000-0000-00001C000000}">
      <text>
        <r>
          <rPr>
            <b/>
            <sz val="9"/>
            <rFont val="宋体"/>
            <family val="3"/>
            <charset val="134"/>
          </rPr>
          <t>PC:</t>
        </r>
        <r>
          <rPr>
            <sz val="9"/>
            <rFont val="宋体"/>
            <family val="3"/>
            <charset val="134"/>
          </rPr>
          <t xml:space="preserve">
19xxx</t>
        </r>
      </text>
    </comment>
    <comment ref="F13" authorId="0" shapeId="0" xr:uid="{00000000-0006-0000-0000-00001D000000}">
      <text>
        <r>
          <rPr>
            <b/>
            <sz val="9"/>
            <rFont val="宋体"/>
            <family val="3"/>
            <charset val="134"/>
          </rPr>
          <t>PC:</t>
        </r>
        <r>
          <rPr>
            <sz val="9"/>
            <rFont val="宋体"/>
            <family val="3"/>
            <charset val="134"/>
          </rPr>
          <t xml:space="preserve">
配置活动期间特殊任务</t>
        </r>
      </text>
    </comment>
    <comment ref="G13" authorId="0" shapeId="0" xr:uid="{00000000-0006-0000-0000-00001E000000}">
      <text>
        <r>
          <rPr>
            <b/>
            <sz val="9"/>
            <rFont val="宋体"/>
            <family val="3"/>
            <charset val="134"/>
          </rPr>
          <t>PC:</t>
        </r>
        <r>
          <rPr>
            <sz val="9"/>
            <rFont val="宋体"/>
            <family val="3"/>
            <charset val="134"/>
          </rPr>
          <t xml:space="preserve">
任务步骤配置</t>
        </r>
      </text>
    </comment>
    <comment ref="H13" authorId="0" shapeId="0" xr:uid="{00000000-0006-0000-0000-00001F000000}">
      <text>
        <r>
          <rPr>
            <b/>
            <sz val="9"/>
            <rFont val="宋体"/>
            <family val="3"/>
            <charset val="134"/>
          </rPr>
          <t>PC:</t>
        </r>
        <r>
          <rPr>
            <sz val="9"/>
            <rFont val="宋体"/>
            <family val="3"/>
            <charset val="134"/>
          </rPr>
          <t xml:space="preserve">
掉落物品：
白起家的钥匙（可重置生日副本）
薰衣草眼罩（可增加心动值）</t>
        </r>
      </text>
    </comment>
    <comment ref="E14" authorId="0" shapeId="0" xr:uid="{00000000-0006-0000-0000-000020000000}">
      <text>
        <r>
          <rPr>
            <b/>
            <sz val="9"/>
            <rFont val="宋体"/>
            <family val="3"/>
            <charset val="134"/>
          </rPr>
          <t>PC:</t>
        </r>
        <r>
          <rPr>
            <sz val="9"/>
            <rFont val="宋体"/>
            <family val="3"/>
            <charset val="134"/>
          </rPr>
          <t xml:space="preserve">
19x（限时上新）
</t>
        </r>
      </text>
    </comment>
    <comment ref="F14" authorId="0" shapeId="0" xr:uid="{00000000-0006-0000-0000-000021000000}">
      <text>
        <r>
          <rPr>
            <b/>
            <sz val="9"/>
            <rFont val="宋体"/>
            <family val="3"/>
            <charset val="134"/>
          </rPr>
          <t>PC:</t>
        </r>
        <r>
          <rPr>
            <sz val="9"/>
            <rFont val="宋体"/>
            <family val="3"/>
            <charset val="134"/>
          </rPr>
          <t xml:space="preserve">
配置商店出售</t>
        </r>
      </text>
    </comment>
    <comment ref="E15" authorId="0" shapeId="0" xr:uid="{00000000-0006-0000-0000-000022000000}">
      <text>
        <r>
          <rPr>
            <b/>
            <sz val="9"/>
            <rFont val="宋体"/>
            <family val="3"/>
            <charset val="134"/>
          </rPr>
          <t>PC:</t>
        </r>
        <r>
          <rPr>
            <sz val="9"/>
            <rFont val="宋体"/>
            <family val="3"/>
            <charset val="134"/>
          </rPr>
          <t xml:space="preserve">
7xxxx（辰光石兑换）</t>
        </r>
      </text>
    </comment>
    <comment ref="F15" authorId="0" shapeId="0" xr:uid="{00000000-0006-0000-0000-000023000000}">
      <text>
        <r>
          <rPr>
            <b/>
            <sz val="9"/>
            <rFont val="宋体"/>
            <family val="3"/>
            <charset val="134"/>
          </rPr>
          <t>PC:</t>
        </r>
        <r>
          <rPr>
            <sz val="9"/>
            <rFont val="宋体"/>
            <family val="3"/>
            <charset val="134"/>
          </rPr>
          <t xml:space="preserve">
配置商店出售</t>
        </r>
      </text>
    </comment>
    <comment ref="G15" authorId="0" shapeId="0" xr:uid="{00000000-0006-0000-0000-000024000000}">
      <text>
        <r>
          <rPr>
            <b/>
            <sz val="9"/>
            <rFont val="宋体"/>
            <family val="3"/>
            <charset val="134"/>
          </rPr>
          <t>PC:</t>
        </r>
        <r>
          <rPr>
            <sz val="9"/>
            <rFont val="宋体"/>
            <family val="3"/>
            <charset val="134"/>
          </rPr>
          <t xml:space="preserve">
字段：TournamentExtraRewardRule</t>
        </r>
      </text>
    </comment>
    <comment ref="D16" authorId="0" shapeId="0" xr:uid="{00000000-0006-0000-0000-000025000000}">
      <text>
        <r>
          <rPr>
            <b/>
            <sz val="9"/>
            <rFont val="宋体"/>
            <family val="3"/>
            <charset val="134"/>
          </rPr>
          <t>PC:</t>
        </r>
        <r>
          <rPr>
            <sz val="9"/>
            <rFont val="宋体"/>
            <family val="3"/>
            <charset val="134"/>
          </rPr>
          <t xml:space="preserve">
另需表：（表名太长无法导入）
activity_arena_exchange_info_data
activity_arena_goods_exchange</t>
        </r>
      </text>
    </comment>
    <comment ref="E16" authorId="0" shapeId="0" xr:uid="{00000000-0006-0000-0000-000026000000}">
      <text>
        <r>
          <rPr>
            <b/>
            <sz val="9"/>
            <rFont val="宋体"/>
            <family val="3"/>
            <charset val="134"/>
          </rPr>
          <t>PC:</t>
        </r>
        <r>
          <rPr>
            <sz val="9"/>
            <rFont val="宋体"/>
            <family val="3"/>
            <charset val="134"/>
          </rPr>
          <t xml:space="preserve">
22xxx（竞技场战斗额外掉落）</t>
        </r>
      </text>
    </comment>
    <comment ref="E17" authorId="0" shapeId="0" xr:uid="{00000000-0006-0000-0000-000027000000}">
      <text>
        <r>
          <rPr>
            <b/>
            <sz val="9"/>
            <rFont val="宋体"/>
            <family val="3"/>
            <charset val="134"/>
          </rPr>
          <t>PC:</t>
        </r>
        <r>
          <rPr>
            <sz val="9"/>
            <rFont val="宋体"/>
            <family val="3"/>
            <charset val="134"/>
          </rPr>
          <t xml:space="preserve">
49xxx</t>
        </r>
      </text>
    </comment>
    <comment ref="E18" authorId="0" shapeId="0" xr:uid="{00000000-0006-0000-0000-000028000000}">
      <text>
        <r>
          <rPr>
            <b/>
            <sz val="9"/>
            <rFont val="宋体"/>
            <family val="3"/>
            <charset val="134"/>
          </rPr>
          <t>PC:</t>
        </r>
        <r>
          <rPr>
            <sz val="9"/>
            <rFont val="宋体"/>
            <family val="3"/>
            <charset val="134"/>
          </rPr>
          <t xml:space="preserve">
32xxx</t>
        </r>
      </text>
    </comment>
    <comment ref="E19" authorId="0" shapeId="0" xr:uid="{00000000-0006-0000-0000-000029000000}">
      <text>
        <r>
          <rPr>
            <b/>
            <sz val="9"/>
            <rFont val="宋体"/>
            <family val="3"/>
            <charset val="134"/>
          </rPr>
          <t>PC:</t>
        </r>
        <r>
          <rPr>
            <sz val="9"/>
            <rFont val="宋体"/>
            <family val="3"/>
            <charset val="134"/>
          </rPr>
          <t xml:space="preserve">
5xxx</t>
        </r>
      </text>
    </comment>
    <comment ref="E20" authorId="0" shapeId="0" xr:uid="{00000000-0006-0000-0000-00002A000000}">
      <text>
        <r>
          <rPr>
            <b/>
            <sz val="9"/>
            <rFont val="宋体"/>
            <family val="3"/>
            <charset val="134"/>
          </rPr>
          <t>PC:</t>
        </r>
        <r>
          <rPr>
            <sz val="9"/>
            <rFont val="宋体"/>
            <family val="3"/>
            <charset val="134"/>
          </rPr>
          <t xml:space="preserve">
36xxx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C6" authorId="0" shapeId="0" xr:uid="{00000000-0006-0000-0200-000001000000}">
      <text>
        <r>
          <rPr>
            <b/>
            <sz val="9"/>
            <rFont val="宋体"/>
            <family val="3"/>
            <charset val="134"/>
          </rPr>
          <t>PC:</t>
        </r>
        <r>
          <rPr>
            <sz val="9"/>
            <rFont val="宋体"/>
            <family val="3"/>
            <charset val="134"/>
          </rPr>
          <t xml:space="preserve">
捞第二行的中文备注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F1" authorId="0" shapeId="0" xr:uid="{00000000-0006-0000-0300-000001000000}">
      <text>
        <r>
          <rPr>
            <b/>
            <sz val="9"/>
            <rFont val="宋体"/>
            <family val="3"/>
            <charset val="134"/>
          </rPr>
          <t>PC:</t>
        </r>
        <r>
          <rPr>
            <sz val="9"/>
            <rFont val="宋体"/>
            <family val="3"/>
            <charset val="134"/>
          </rPr>
          <t xml:space="preserve">
0：不参与任何计算
1：参与卡牌相关id生成
2：参与二级id生成</t>
        </r>
      </text>
    </comment>
    <comment ref="A14" authorId="0" shapeId="0" xr:uid="{3F004E1F-A6B6-46C2-805F-2F4F956F9161}">
      <text>
        <r>
          <rPr>
            <b/>
            <sz val="9"/>
            <color indexed="81"/>
            <rFont val="宋体"/>
            <family val="3"/>
            <charset val="134"/>
          </rPr>
          <t>PC:</t>
        </r>
        <r>
          <rPr>
            <sz val="9"/>
            <color indexed="81"/>
            <rFont val="宋体"/>
            <family val="3"/>
            <charset val="134"/>
          </rPr>
          <t xml:space="preserve">
主版本RemoveUnpro操作
（yes：该行从unpro移出）</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PC</author>
    <author>user</author>
  </authors>
  <commentList>
    <comment ref="B2" authorId="0" shapeId="0" xr:uid="{00000000-0006-0000-0700-000001000000}">
      <text>
        <r>
          <rPr>
            <b/>
            <sz val="9"/>
            <rFont val="宋体"/>
            <family val="3"/>
            <charset val="134"/>
          </rPr>
          <t>PC:</t>
        </r>
        <r>
          <rPr>
            <sz val="9"/>
            <rFont val="宋体"/>
            <family val="3"/>
            <charset val="134"/>
          </rPr>
          <t xml:space="preserve">
id命名规则，左起：
第二位数字为礼包类型
第三位数字为商城页签
</t>
        </r>
      </text>
    </comment>
    <comment ref="L2" authorId="0" shapeId="0" xr:uid="{00000000-0006-0000-0700-000002000000}">
      <text>
        <r>
          <rPr>
            <b/>
            <sz val="9"/>
            <rFont val="宋体"/>
            <family val="3"/>
            <charset val="134"/>
          </rPr>
          <t>PC:</t>
        </r>
        <r>
          <rPr>
            <sz val="9"/>
            <rFont val="宋体"/>
            <family val="3"/>
            <charset val="134"/>
          </rPr>
          <t xml:space="preserve">
1 商城礼包\\
2 推送礼包\\
3 主页礼包\\
4 阶梯礼包</t>
        </r>
      </text>
    </comment>
    <comment ref="R2" authorId="0" shapeId="0" xr:uid="{00000000-0006-0000-0700-000003000000}">
      <text>
        <r>
          <rPr>
            <b/>
            <sz val="9"/>
            <rFont val="宋体"/>
            <family val="3"/>
            <charset val="134"/>
          </rPr>
          <t>PC:</t>
        </r>
        <r>
          <rPr>
            <sz val="9"/>
            <rFont val="宋体"/>
            <family val="3"/>
            <charset val="134"/>
          </rPr>
          <t xml:space="preserve">
n次 | 每天n次 
每周n次 | 每月n次
不限</t>
        </r>
      </text>
    </comment>
    <comment ref="S2" authorId="0" shapeId="0" xr:uid="{00000000-0006-0000-0700-000004000000}">
      <text>
        <r>
          <rPr>
            <b/>
            <sz val="9"/>
            <rFont val="宋体"/>
            <family val="3"/>
            <charset val="134"/>
          </rPr>
          <t>PC:</t>
        </r>
        <r>
          <rPr>
            <sz val="9"/>
            <rFont val="宋体"/>
            <family val="3"/>
            <charset val="134"/>
          </rPr>
          <t xml:space="preserve">
1 推荐供给\\
2 特权供给\\
3 钻石供给
4 恋爱供给
5 周卡</t>
        </r>
      </text>
    </comment>
    <comment ref="T2" authorId="1" shapeId="0" xr:uid="{00000000-0006-0000-0700-000005000000}">
      <text>
        <r>
          <rPr>
            <b/>
            <sz val="9"/>
            <rFont val="宋体"/>
            <family val="3"/>
            <charset val="134"/>
          </rPr>
          <t>user:</t>
        </r>
        <r>
          <rPr>
            <sz val="9"/>
            <rFont val="宋体"/>
            <family val="3"/>
            <charset val="134"/>
          </rPr>
          <t xml:space="preserve">
对照activity_pack_type_info表
1 热卖，2 新手推荐，3 资源供给，4 羁绊培养，5 公司助力</t>
        </r>
      </text>
    </comment>
    <comment ref="U2" authorId="0" shapeId="0" xr:uid="{00000000-0006-0000-0700-000006000000}">
      <text>
        <r>
          <rPr>
            <b/>
            <sz val="9"/>
            <rFont val="宋体"/>
            <family val="3"/>
            <charset val="134"/>
          </rPr>
          <t>PC:</t>
        </r>
        <r>
          <rPr>
            <sz val="9"/>
            <rFont val="宋体"/>
            <family val="3"/>
            <charset val="134"/>
          </rPr>
          <t xml:space="preserve">
同一栏位，数字小的礼包排名靠前</t>
        </r>
      </text>
    </comment>
    <comment ref="V2" authorId="0" shapeId="0" xr:uid="{00000000-0006-0000-0700-000007000000}">
      <text>
        <r>
          <rPr>
            <b/>
            <sz val="9"/>
            <rFont val="宋体"/>
            <family val="3"/>
            <charset val="134"/>
          </rPr>
          <t>PC:</t>
        </r>
        <r>
          <rPr>
            <sz val="9"/>
            <rFont val="宋体"/>
            <family val="3"/>
            <charset val="134"/>
          </rPr>
          <t xml:space="preserve">
1 新品\\2 推荐\\3 热销\\4 特惠</t>
        </r>
      </text>
    </comment>
    <comment ref="AJ2" authorId="0" shapeId="0" xr:uid="{00000000-0006-0000-0700-000008000000}">
      <text>
        <r>
          <rPr>
            <b/>
            <sz val="9"/>
            <rFont val="宋体"/>
            <family val="3"/>
            <charset val="134"/>
          </rPr>
          <t>PC:</t>
        </r>
        <r>
          <rPr>
            <sz val="9"/>
            <rFont val="宋体"/>
            <family val="3"/>
            <charset val="134"/>
          </rPr>
          <t xml:space="preserve">
是否激活特权卡才可购买</t>
        </r>
      </text>
    </comment>
    <comment ref="AM2" authorId="0" shapeId="0" xr:uid="{00000000-0006-0000-0700-000009000000}">
      <text>
        <r>
          <rPr>
            <b/>
            <sz val="9"/>
            <rFont val="宋体"/>
            <family val="3"/>
            <charset val="134"/>
          </rPr>
          <t>PC:</t>
        </r>
        <r>
          <rPr>
            <sz val="9"/>
            <rFont val="宋体"/>
            <family val="3"/>
            <charset val="134"/>
          </rPr>
          <t xml:space="preserve">
只需要填写id，不填则为周卡id的后四位</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PC</author>
    <author>user</author>
  </authors>
  <commentList>
    <comment ref="B2" authorId="0" shapeId="0" xr:uid="{00000000-0006-0000-0800-000001000000}">
      <text>
        <r>
          <rPr>
            <b/>
            <sz val="9"/>
            <rFont val="宋体"/>
            <family val="3"/>
            <charset val="134"/>
          </rPr>
          <t>PC:</t>
        </r>
        <r>
          <rPr>
            <sz val="9"/>
            <rFont val="宋体"/>
            <family val="3"/>
            <charset val="134"/>
          </rPr>
          <t xml:space="preserve">
id命名规则，左起：
第二位数字为礼包类型
第三位数字为商城页签
</t>
        </r>
      </text>
    </comment>
    <comment ref="W2" authorId="0" shapeId="0" xr:uid="{00000000-0006-0000-0800-000002000000}">
      <text>
        <r>
          <rPr>
            <b/>
            <sz val="9"/>
            <rFont val="宋体"/>
            <family val="3"/>
            <charset val="134"/>
          </rPr>
          <t>PC:</t>
        </r>
        <r>
          <rPr>
            <sz val="9"/>
            <rFont val="宋体"/>
            <family val="3"/>
            <charset val="134"/>
          </rPr>
          <t xml:space="preserve">
n次 | 每天n次 
每周n次 | 每月n次
不限</t>
        </r>
      </text>
    </comment>
    <comment ref="Y2" authorId="0" shapeId="0" xr:uid="{00000000-0006-0000-0800-000003000000}">
      <text>
        <r>
          <rPr>
            <b/>
            <sz val="9"/>
            <rFont val="宋体"/>
            <family val="3"/>
            <charset val="134"/>
          </rPr>
          <t>PC:</t>
        </r>
        <r>
          <rPr>
            <sz val="9"/>
            <rFont val="宋体"/>
            <family val="3"/>
            <charset val="134"/>
          </rPr>
          <t xml:space="preserve">
1 商城礼包\\
2 推送礼包\\
3 主页礼包\\
4 阶梯礼包</t>
        </r>
      </text>
    </comment>
    <comment ref="Z2" authorId="0" shapeId="0" xr:uid="{00000000-0006-0000-0800-000004000000}">
      <text>
        <r>
          <rPr>
            <b/>
            <sz val="9"/>
            <rFont val="宋体"/>
            <family val="3"/>
            <charset val="134"/>
          </rPr>
          <t>PC:</t>
        </r>
        <r>
          <rPr>
            <sz val="9"/>
            <rFont val="宋体"/>
            <family val="3"/>
            <charset val="134"/>
          </rPr>
          <t xml:space="preserve">
1 推荐供给\\
2 特权供给\\
3 钻石供给
4 恋爱供给
5 周卡</t>
        </r>
      </text>
    </comment>
    <comment ref="AA2" authorId="1" shapeId="0" xr:uid="{00000000-0006-0000-0800-000005000000}">
      <text>
        <r>
          <rPr>
            <b/>
            <sz val="9"/>
            <rFont val="宋体"/>
            <family val="3"/>
            <charset val="134"/>
          </rPr>
          <t>user:</t>
        </r>
        <r>
          <rPr>
            <sz val="9"/>
            <rFont val="宋体"/>
            <family val="3"/>
            <charset val="134"/>
          </rPr>
          <t xml:space="preserve">
对照activity_pack_type_info表
1 热卖，2 新手推荐，3 资源供给，4 羁绊培养，5 公司助力</t>
        </r>
      </text>
    </comment>
    <comment ref="AB2" authorId="0" shapeId="0" xr:uid="{00000000-0006-0000-0800-000006000000}">
      <text>
        <r>
          <rPr>
            <b/>
            <sz val="9"/>
            <rFont val="宋体"/>
            <family val="3"/>
            <charset val="134"/>
          </rPr>
          <t>PC:</t>
        </r>
        <r>
          <rPr>
            <sz val="9"/>
            <rFont val="宋体"/>
            <family val="3"/>
            <charset val="134"/>
          </rPr>
          <t xml:space="preserve">
</t>
        </r>
      </text>
    </comment>
    <comment ref="AC2" authorId="0" shapeId="0" xr:uid="{00000000-0006-0000-0800-000007000000}">
      <text>
        <r>
          <rPr>
            <b/>
            <sz val="9"/>
            <rFont val="宋体"/>
            <family val="3"/>
            <charset val="134"/>
          </rPr>
          <t>PC:</t>
        </r>
        <r>
          <rPr>
            <sz val="9"/>
            <rFont val="宋体"/>
            <family val="3"/>
            <charset val="134"/>
          </rPr>
          <t xml:space="preserve">
</t>
        </r>
      </text>
    </comment>
    <comment ref="AJ2" authorId="0" shapeId="0" xr:uid="{00000000-0006-0000-0800-000008000000}">
      <text>
        <r>
          <rPr>
            <b/>
            <sz val="9"/>
            <rFont val="宋体"/>
            <family val="3"/>
            <charset val="134"/>
          </rPr>
          <t>PC:</t>
        </r>
        <r>
          <rPr>
            <sz val="9"/>
            <rFont val="宋体"/>
            <family val="3"/>
            <charset val="134"/>
          </rPr>
          <t xml:space="preserve">
是否激活特权卡才可购买</t>
        </r>
      </text>
    </comment>
    <comment ref="AM2" authorId="0" shapeId="0" xr:uid="{00000000-0006-0000-0800-000009000000}">
      <text>
        <r>
          <rPr>
            <b/>
            <sz val="9"/>
            <rFont val="宋体"/>
            <family val="3"/>
            <charset val="134"/>
          </rPr>
          <t>PC:</t>
        </r>
        <r>
          <rPr>
            <sz val="9"/>
            <rFont val="宋体"/>
            <family val="3"/>
            <charset val="134"/>
          </rPr>
          <t xml:space="preserve">
只需要填写id，不填则为周卡id的后四位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PC</author>
    <author>user</author>
  </authors>
  <commentList>
    <comment ref="B2" authorId="0" shapeId="0" xr:uid="{00000000-0006-0000-0900-000001000000}">
      <text>
        <r>
          <rPr>
            <b/>
            <sz val="9"/>
            <rFont val="宋体"/>
            <family val="3"/>
            <charset val="134"/>
          </rPr>
          <t>PC:</t>
        </r>
        <r>
          <rPr>
            <sz val="9"/>
            <rFont val="宋体"/>
            <family val="3"/>
            <charset val="134"/>
          </rPr>
          <t xml:space="preserve">
id命名规则，左起：
第二位数字为礼包类型
第三位数字为商城页签
</t>
        </r>
      </text>
    </comment>
    <comment ref="W2" authorId="0" shapeId="0" xr:uid="{00000000-0006-0000-0900-000002000000}">
      <text>
        <r>
          <rPr>
            <b/>
            <sz val="9"/>
            <rFont val="宋体"/>
            <family val="3"/>
            <charset val="134"/>
          </rPr>
          <t>PC:</t>
        </r>
        <r>
          <rPr>
            <sz val="9"/>
            <rFont val="宋体"/>
            <family val="3"/>
            <charset val="134"/>
          </rPr>
          <t xml:space="preserve">
n次 | 每天n次 
每周n次 | 每月n次
不限</t>
        </r>
      </text>
    </comment>
    <comment ref="Y2" authorId="0" shapeId="0" xr:uid="{00000000-0006-0000-0900-000003000000}">
      <text>
        <r>
          <rPr>
            <b/>
            <sz val="9"/>
            <rFont val="宋体"/>
            <family val="3"/>
            <charset val="134"/>
          </rPr>
          <t>PC:</t>
        </r>
        <r>
          <rPr>
            <sz val="9"/>
            <rFont val="宋体"/>
            <family val="3"/>
            <charset val="134"/>
          </rPr>
          <t xml:space="preserve">
1 商城礼包\\
2 推送礼包\\
3 主页礼包\\
4 阶梯礼包</t>
        </r>
      </text>
    </comment>
    <comment ref="Z2" authorId="0" shapeId="0" xr:uid="{00000000-0006-0000-0900-000004000000}">
      <text>
        <r>
          <rPr>
            <b/>
            <sz val="9"/>
            <rFont val="宋体"/>
            <family val="3"/>
            <charset val="134"/>
          </rPr>
          <t>PC:</t>
        </r>
        <r>
          <rPr>
            <sz val="9"/>
            <rFont val="宋体"/>
            <family val="3"/>
            <charset val="134"/>
          </rPr>
          <t xml:space="preserve">
1 推荐供给\\
2 特权供给\\
3 钻石供给
4 恋爱供给
5 周卡</t>
        </r>
      </text>
    </comment>
    <comment ref="AA2" authorId="1" shapeId="0" xr:uid="{00000000-0006-0000-0900-000005000000}">
      <text>
        <r>
          <rPr>
            <b/>
            <sz val="9"/>
            <rFont val="宋体"/>
            <family val="3"/>
            <charset val="134"/>
          </rPr>
          <t>user:</t>
        </r>
        <r>
          <rPr>
            <sz val="9"/>
            <rFont val="宋体"/>
            <family val="3"/>
            <charset val="134"/>
          </rPr>
          <t xml:space="preserve">
对照activity_pack_type_info表
1 热卖，2 新手推荐，3 资源供给，4 羁绊培养，5 公司助力</t>
        </r>
      </text>
    </comment>
    <comment ref="AB2" authorId="0" shapeId="0" xr:uid="{00000000-0006-0000-0900-000006000000}">
      <text>
        <r>
          <rPr>
            <b/>
            <sz val="9"/>
            <rFont val="宋体"/>
            <family val="3"/>
            <charset val="134"/>
          </rPr>
          <t>PC:</t>
        </r>
        <r>
          <rPr>
            <sz val="9"/>
            <rFont val="宋体"/>
            <family val="3"/>
            <charset val="134"/>
          </rPr>
          <t xml:space="preserve">
</t>
        </r>
      </text>
    </comment>
    <comment ref="AC2" authorId="0" shapeId="0" xr:uid="{00000000-0006-0000-0900-000007000000}">
      <text>
        <r>
          <rPr>
            <b/>
            <sz val="9"/>
            <rFont val="宋体"/>
            <family val="3"/>
            <charset val="134"/>
          </rPr>
          <t>PC:</t>
        </r>
        <r>
          <rPr>
            <sz val="9"/>
            <rFont val="宋体"/>
            <family val="3"/>
            <charset val="134"/>
          </rPr>
          <t xml:space="preserve">
</t>
        </r>
      </text>
    </comment>
    <comment ref="AJ2" authorId="0" shapeId="0" xr:uid="{00000000-0006-0000-0900-000008000000}">
      <text>
        <r>
          <rPr>
            <b/>
            <sz val="9"/>
            <rFont val="宋体"/>
            <family val="3"/>
            <charset val="134"/>
          </rPr>
          <t>PC:</t>
        </r>
        <r>
          <rPr>
            <sz val="9"/>
            <rFont val="宋体"/>
            <family val="3"/>
            <charset val="134"/>
          </rPr>
          <t xml:space="preserve">
是否激活特权卡才可购买</t>
        </r>
      </text>
    </comment>
    <comment ref="AM2" authorId="0" shapeId="0" xr:uid="{00000000-0006-0000-0900-000009000000}">
      <text>
        <r>
          <rPr>
            <b/>
            <sz val="9"/>
            <rFont val="宋体"/>
            <family val="3"/>
            <charset val="134"/>
          </rPr>
          <t>PC:</t>
        </r>
        <r>
          <rPr>
            <sz val="9"/>
            <rFont val="宋体"/>
            <family val="3"/>
            <charset val="134"/>
          </rPr>
          <t xml:space="preserve">
只需要填写id，不填则为周卡id的后四位</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PC</author>
    <author>user</author>
  </authors>
  <commentList>
    <comment ref="B2" authorId="0" shapeId="0" xr:uid="{00000000-0006-0000-0A00-000001000000}">
      <text>
        <r>
          <rPr>
            <b/>
            <sz val="9"/>
            <rFont val="宋体"/>
            <family val="3"/>
            <charset val="134"/>
          </rPr>
          <t>PC:</t>
        </r>
        <r>
          <rPr>
            <sz val="9"/>
            <rFont val="宋体"/>
            <family val="3"/>
            <charset val="134"/>
          </rPr>
          <t xml:space="preserve">
id命名规则，左起：
第二位数字为礼包类型
第三位数字为商城页签
</t>
        </r>
      </text>
    </comment>
    <comment ref="W2" authorId="0" shapeId="0" xr:uid="{00000000-0006-0000-0A00-000002000000}">
      <text>
        <r>
          <rPr>
            <b/>
            <sz val="9"/>
            <rFont val="宋体"/>
            <family val="3"/>
            <charset val="134"/>
          </rPr>
          <t>PC:</t>
        </r>
        <r>
          <rPr>
            <sz val="9"/>
            <rFont val="宋体"/>
            <family val="3"/>
            <charset val="134"/>
          </rPr>
          <t xml:space="preserve">
n次 | 每天n次 
每周n次 | 每月n次
不限</t>
        </r>
      </text>
    </comment>
    <comment ref="Y2" authorId="0" shapeId="0" xr:uid="{00000000-0006-0000-0A00-000003000000}">
      <text>
        <r>
          <rPr>
            <b/>
            <sz val="9"/>
            <rFont val="宋体"/>
            <family val="3"/>
            <charset val="134"/>
          </rPr>
          <t>PC:</t>
        </r>
        <r>
          <rPr>
            <sz val="9"/>
            <rFont val="宋体"/>
            <family val="3"/>
            <charset val="134"/>
          </rPr>
          <t xml:space="preserve">
1 商城礼包\\
2 推送礼包\\
3 主页礼包\\
4 阶梯礼包</t>
        </r>
      </text>
    </comment>
    <comment ref="Z2" authorId="0" shapeId="0" xr:uid="{00000000-0006-0000-0A00-000004000000}">
      <text>
        <r>
          <rPr>
            <b/>
            <sz val="9"/>
            <rFont val="宋体"/>
            <family val="3"/>
            <charset val="134"/>
          </rPr>
          <t>PC:</t>
        </r>
        <r>
          <rPr>
            <sz val="9"/>
            <rFont val="宋体"/>
            <family val="3"/>
            <charset val="134"/>
          </rPr>
          <t xml:space="preserve">
1 推荐供给\\
2 特权供给\\
3 钻石供给
4 恋爱供给
5 周卡</t>
        </r>
      </text>
    </comment>
    <comment ref="AA2" authorId="1" shapeId="0" xr:uid="{00000000-0006-0000-0A00-000005000000}">
      <text>
        <r>
          <rPr>
            <b/>
            <sz val="9"/>
            <rFont val="宋体"/>
            <family val="3"/>
            <charset val="134"/>
          </rPr>
          <t>user:</t>
        </r>
        <r>
          <rPr>
            <sz val="9"/>
            <rFont val="宋体"/>
            <family val="3"/>
            <charset val="134"/>
          </rPr>
          <t xml:space="preserve">
对照activity_pack_type_info表
1 热卖，2 新手推荐，3 资源供给，4 羁绊培养，5 公司助力</t>
        </r>
      </text>
    </comment>
    <comment ref="AB2" authorId="0" shapeId="0" xr:uid="{00000000-0006-0000-0A00-000006000000}">
      <text>
        <r>
          <rPr>
            <b/>
            <sz val="9"/>
            <rFont val="宋体"/>
            <family val="3"/>
            <charset val="134"/>
          </rPr>
          <t>PC:</t>
        </r>
        <r>
          <rPr>
            <sz val="9"/>
            <rFont val="宋体"/>
            <family val="3"/>
            <charset val="134"/>
          </rPr>
          <t xml:space="preserve">
</t>
        </r>
      </text>
    </comment>
    <comment ref="AC2" authorId="0" shapeId="0" xr:uid="{00000000-0006-0000-0A00-000007000000}">
      <text>
        <r>
          <rPr>
            <b/>
            <sz val="9"/>
            <rFont val="宋体"/>
            <family val="3"/>
            <charset val="134"/>
          </rPr>
          <t>PC:</t>
        </r>
        <r>
          <rPr>
            <sz val="9"/>
            <rFont val="宋体"/>
            <family val="3"/>
            <charset val="134"/>
          </rPr>
          <t xml:space="preserve">
</t>
        </r>
      </text>
    </comment>
    <comment ref="AJ2" authorId="0" shapeId="0" xr:uid="{00000000-0006-0000-0A00-000008000000}">
      <text>
        <r>
          <rPr>
            <b/>
            <sz val="9"/>
            <rFont val="宋体"/>
            <family val="3"/>
            <charset val="134"/>
          </rPr>
          <t>PC:</t>
        </r>
        <r>
          <rPr>
            <sz val="9"/>
            <rFont val="宋体"/>
            <family val="3"/>
            <charset val="134"/>
          </rPr>
          <t xml:space="preserve">
是否激活特权卡才可购买</t>
        </r>
      </text>
    </comment>
    <comment ref="AM2" authorId="0" shapeId="0" xr:uid="{00000000-0006-0000-0A00-000009000000}">
      <text>
        <r>
          <rPr>
            <b/>
            <sz val="9"/>
            <rFont val="宋体"/>
            <family val="3"/>
            <charset val="134"/>
          </rPr>
          <t>PC:</t>
        </r>
        <r>
          <rPr>
            <sz val="9"/>
            <rFont val="宋体"/>
            <family val="3"/>
            <charset val="134"/>
          </rPr>
          <t xml:space="preserve">
只需要填写id，不填则为周卡id的后四位</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PC</author>
    <author>user</author>
  </authors>
  <commentList>
    <comment ref="B2" authorId="0" shapeId="0" xr:uid="{00000000-0006-0000-0B00-000001000000}">
      <text>
        <r>
          <rPr>
            <b/>
            <sz val="9"/>
            <rFont val="宋体"/>
            <family val="3"/>
            <charset val="134"/>
          </rPr>
          <t>PC:</t>
        </r>
        <r>
          <rPr>
            <sz val="9"/>
            <rFont val="宋体"/>
            <family val="3"/>
            <charset val="134"/>
          </rPr>
          <t xml:space="preserve">
id命名规则，左起：
第二位数字为礼包类型
第三位数字为商城页签
</t>
        </r>
      </text>
    </comment>
    <comment ref="W2" authorId="0" shapeId="0" xr:uid="{00000000-0006-0000-0B00-000002000000}">
      <text>
        <r>
          <rPr>
            <b/>
            <sz val="9"/>
            <rFont val="宋体"/>
            <family val="3"/>
            <charset val="134"/>
          </rPr>
          <t>PC:</t>
        </r>
        <r>
          <rPr>
            <sz val="9"/>
            <rFont val="宋体"/>
            <family val="3"/>
            <charset val="134"/>
          </rPr>
          <t xml:space="preserve">
n次 | 每天n次 
每周n次 | 每月n次
不限</t>
        </r>
      </text>
    </comment>
    <comment ref="Y2" authorId="0" shapeId="0" xr:uid="{00000000-0006-0000-0B00-000003000000}">
      <text>
        <r>
          <rPr>
            <b/>
            <sz val="9"/>
            <rFont val="宋体"/>
            <family val="3"/>
            <charset val="134"/>
          </rPr>
          <t>PC:</t>
        </r>
        <r>
          <rPr>
            <sz val="9"/>
            <rFont val="宋体"/>
            <family val="3"/>
            <charset val="134"/>
          </rPr>
          <t xml:space="preserve">
1 商城礼包\\
2 推送礼包\\
3 主页礼包\\
4 阶梯礼包</t>
        </r>
      </text>
    </comment>
    <comment ref="Z2" authorId="0" shapeId="0" xr:uid="{00000000-0006-0000-0B00-000004000000}">
      <text>
        <r>
          <rPr>
            <b/>
            <sz val="9"/>
            <rFont val="宋体"/>
            <family val="3"/>
            <charset val="134"/>
          </rPr>
          <t>PC:</t>
        </r>
        <r>
          <rPr>
            <sz val="9"/>
            <rFont val="宋体"/>
            <family val="3"/>
            <charset val="134"/>
          </rPr>
          <t xml:space="preserve">
1 推荐供给\\
2 特权供给\\
3 钻石供给
4 恋爱供给
5 周卡</t>
        </r>
      </text>
    </comment>
    <comment ref="AA2" authorId="1" shapeId="0" xr:uid="{00000000-0006-0000-0B00-000005000000}">
      <text>
        <r>
          <rPr>
            <b/>
            <sz val="9"/>
            <rFont val="宋体"/>
            <family val="3"/>
            <charset val="134"/>
          </rPr>
          <t>user:</t>
        </r>
        <r>
          <rPr>
            <sz val="9"/>
            <rFont val="宋体"/>
            <family val="3"/>
            <charset val="134"/>
          </rPr>
          <t xml:space="preserve">
对照activity_pack_type_info表
1 热卖，2 新手推荐，3 资源供给，4 羁绊培养，5 公司助力</t>
        </r>
      </text>
    </comment>
    <comment ref="AB2" authorId="0" shapeId="0" xr:uid="{00000000-0006-0000-0B00-000006000000}">
      <text>
        <r>
          <rPr>
            <b/>
            <sz val="9"/>
            <rFont val="宋体"/>
            <family val="3"/>
            <charset val="134"/>
          </rPr>
          <t>PC:</t>
        </r>
        <r>
          <rPr>
            <sz val="9"/>
            <rFont val="宋体"/>
            <family val="3"/>
            <charset val="134"/>
          </rPr>
          <t xml:space="preserve">
</t>
        </r>
      </text>
    </comment>
    <comment ref="AC2" authorId="0" shapeId="0" xr:uid="{00000000-0006-0000-0B00-000007000000}">
      <text>
        <r>
          <rPr>
            <b/>
            <sz val="9"/>
            <rFont val="宋体"/>
            <family val="3"/>
            <charset val="134"/>
          </rPr>
          <t>PC:</t>
        </r>
        <r>
          <rPr>
            <sz val="9"/>
            <rFont val="宋体"/>
            <family val="3"/>
            <charset val="134"/>
          </rPr>
          <t xml:space="preserve">
</t>
        </r>
      </text>
    </comment>
    <comment ref="AJ2" authorId="0" shapeId="0" xr:uid="{00000000-0006-0000-0B00-000008000000}">
      <text>
        <r>
          <rPr>
            <b/>
            <sz val="9"/>
            <rFont val="宋体"/>
            <family val="3"/>
            <charset val="134"/>
          </rPr>
          <t>PC:</t>
        </r>
        <r>
          <rPr>
            <sz val="9"/>
            <rFont val="宋体"/>
            <family val="3"/>
            <charset val="134"/>
          </rPr>
          <t xml:space="preserve">
是否激活特权卡才可购买</t>
        </r>
      </text>
    </comment>
    <comment ref="AM2" authorId="0" shapeId="0" xr:uid="{00000000-0006-0000-0B00-000009000000}">
      <text>
        <r>
          <rPr>
            <b/>
            <sz val="9"/>
            <rFont val="宋体"/>
            <family val="3"/>
            <charset val="134"/>
          </rPr>
          <t>PC:</t>
        </r>
        <r>
          <rPr>
            <sz val="9"/>
            <rFont val="宋体"/>
            <family val="3"/>
            <charset val="134"/>
          </rPr>
          <t xml:space="preserve">
只需要填写id，不填则为周卡id的后四位</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PC</author>
    <author>user</author>
  </authors>
  <commentList>
    <comment ref="B2" authorId="0" shapeId="0" xr:uid="{00000000-0006-0000-0C00-000001000000}">
      <text>
        <r>
          <rPr>
            <b/>
            <sz val="9"/>
            <rFont val="宋体"/>
            <family val="3"/>
            <charset val="134"/>
          </rPr>
          <t>PC:</t>
        </r>
        <r>
          <rPr>
            <sz val="9"/>
            <rFont val="宋体"/>
            <family val="3"/>
            <charset val="134"/>
          </rPr>
          <t xml:space="preserve">
id命名规则，左起：
第二位数字为礼包类型
第三位数字为商城页签
</t>
        </r>
      </text>
    </comment>
    <comment ref="W2" authorId="0" shapeId="0" xr:uid="{00000000-0006-0000-0C00-000002000000}">
      <text>
        <r>
          <rPr>
            <b/>
            <sz val="9"/>
            <rFont val="宋体"/>
            <family val="3"/>
            <charset val="134"/>
          </rPr>
          <t>PC:</t>
        </r>
        <r>
          <rPr>
            <sz val="9"/>
            <rFont val="宋体"/>
            <family val="3"/>
            <charset val="134"/>
          </rPr>
          <t xml:space="preserve">
n次 | 每天n次 
每周n次 | 每月n次
不限</t>
        </r>
      </text>
    </comment>
    <comment ref="Y2" authorId="0" shapeId="0" xr:uid="{00000000-0006-0000-0C00-000003000000}">
      <text>
        <r>
          <rPr>
            <b/>
            <sz val="9"/>
            <rFont val="宋体"/>
            <family val="3"/>
            <charset val="134"/>
          </rPr>
          <t>PC:</t>
        </r>
        <r>
          <rPr>
            <sz val="9"/>
            <rFont val="宋体"/>
            <family val="3"/>
            <charset val="134"/>
          </rPr>
          <t xml:space="preserve">
1 商城礼包\\
2 推送礼包\\
3 主页礼包\\
4 阶梯礼包</t>
        </r>
      </text>
    </comment>
    <comment ref="Z2" authorId="0" shapeId="0" xr:uid="{00000000-0006-0000-0C00-000004000000}">
      <text>
        <r>
          <rPr>
            <b/>
            <sz val="9"/>
            <rFont val="宋体"/>
            <family val="3"/>
            <charset val="134"/>
          </rPr>
          <t>PC:</t>
        </r>
        <r>
          <rPr>
            <sz val="9"/>
            <rFont val="宋体"/>
            <family val="3"/>
            <charset val="134"/>
          </rPr>
          <t xml:space="preserve">
1 推荐供给\\
2 特权供给\\
3 钻石供给
4 恋爱供给
5 周卡</t>
        </r>
      </text>
    </comment>
    <comment ref="AA2" authorId="1" shapeId="0" xr:uid="{00000000-0006-0000-0C00-000005000000}">
      <text>
        <r>
          <rPr>
            <b/>
            <sz val="9"/>
            <rFont val="宋体"/>
            <family val="3"/>
            <charset val="134"/>
          </rPr>
          <t>user:</t>
        </r>
        <r>
          <rPr>
            <sz val="9"/>
            <rFont val="宋体"/>
            <family val="3"/>
            <charset val="134"/>
          </rPr>
          <t xml:space="preserve">
对照activity_pack_type_info表
1 热卖，2 新手推荐，3 资源供给，4 羁绊培养，5 公司助力</t>
        </r>
      </text>
    </comment>
    <comment ref="AB2" authorId="0" shapeId="0" xr:uid="{00000000-0006-0000-0C00-000006000000}">
      <text>
        <r>
          <rPr>
            <b/>
            <sz val="9"/>
            <rFont val="宋体"/>
            <family val="3"/>
            <charset val="134"/>
          </rPr>
          <t>PC:</t>
        </r>
        <r>
          <rPr>
            <sz val="9"/>
            <rFont val="宋体"/>
            <family val="3"/>
            <charset val="134"/>
          </rPr>
          <t xml:space="preserve">
</t>
        </r>
      </text>
    </comment>
    <comment ref="AC2" authorId="0" shapeId="0" xr:uid="{00000000-0006-0000-0C00-000007000000}">
      <text>
        <r>
          <rPr>
            <b/>
            <sz val="9"/>
            <rFont val="宋体"/>
            <family val="3"/>
            <charset val="134"/>
          </rPr>
          <t>PC:</t>
        </r>
        <r>
          <rPr>
            <sz val="9"/>
            <rFont val="宋体"/>
            <family val="3"/>
            <charset val="134"/>
          </rPr>
          <t xml:space="preserve">
</t>
        </r>
      </text>
    </comment>
    <comment ref="AJ2" authorId="0" shapeId="0" xr:uid="{00000000-0006-0000-0C00-000008000000}">
      <text>
        <r>
          <rPr>
            <b/>
            <sz val="9"/>
            <rFont val="宋体"/>
            <family val="3"/>
            <charset val="134"/>
          </rPr>
          <t>PC:</t>
        </r>
        <r>
          <rPr>
            <sz val="9"/>
            <rFont val="宋体"/>
            <family val="3"/>
            <charset val="134"/>
          </rPr>
          <t xml:space="preserve">
是否激活特权卡才可购买</t>
        </r>
      </text>
    </comment>
    <comment ref="AM2" authorId="0" shapeId="0" xr:uid="{00000000-0006-0000-0C00-000009000000}">
      <text>
        <r>
          <rPr>
            <b/>
            <sz val="9"/>
            <rFont val="宋体"/>
            <family val="3"/>
            <charset val="134"/>
          </rPr>
          <t>PC:</t>
        </r>
        <r>
          <rPr>
            <sz val="9"/>
            <rFont val="宋体"/>
            <family val="3"/>
            <charset val="134"/>
          </rPr>
          <t xml:space="preserve">
只需要填写id，不填则为周卡id的后四位</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B1" authorId="0" shapeId="0" xr:uid="{00000000-0006-0000-0E00-000001000000}">
      <text>
        <r>
          <rPr>
            <b/>
            <sz val="9"/>
            <rFont val="宋体"/>
            <family val="3"/>
            <charset val="134"/>
          </rPr>
          <t>PC:所需数量(代码用到，保持在F:J列)</t>
        </r>
        <r>
          <rPr>
            <sz val="9"/>
            <rFont val="宋体"/>
            <family val="3"/>
            <charset val="134"/>
          </rPr>
          <t xml:space="preserve">
金币：2000|5000|15000|30000|60000|90000
道具： 9  | 15 | 24  | 36  | 48  |60
升星道具列增量：4 | 行增量：22| 方案数：22
道具id：111001~111140（140=22+4*2+22*5）
第二季：111501~
</t>
        </r>
      </text>
    </comment>
    <comment ref="K1" authorId="0" shapeId="0" xr:uid="{00000000-0006-0000-0E00-000002000000}">
      <text>
        <r>
          <rPr>
            <sz val="9"/>
            <rFont val="宋体"/>
            <family val="3"/>
            <charset val="134"/>
          </rPr>
          <t>消耗数量
R：24  SR：40  SSR：56
道具1：我的XX，读表
道具2：xx的xx，与方案数字相同</t>
        </r>
      </text>
    </comment>
    <comment ref="W1" authorId="0" shapeId="0" xr:uid="{00000000-0006-0000-0E00-000003000000}">
      <text>
        <r>
          <rPr>
            <b/>
            <sz val="9"/>
            <rFont val="宋体"/>
            <family val="3"/>
            <charset val="134"/>
          </rPr>
          <t>PC:</t>
        </r>
        <r>
          <rPr>
            <sz val="9"/>
            <rFont val="宋体"/>
            <family val="3"/>
            <charset val="134"/>
          </rPr>
          <t xml:space="preserve">
属性模板：SSR|SR |R
标准    ： 1 |101|201
防御    ： 2 |102|202
前排    ： 3 |103|203
全体    ： 4 |104|204</t>
        </r>
      </text>
    </comment>
    <comment ref="X1" authorId="0" shapeId="0" xr:uid="{00000000-0006-0000-0E00-000004000000}">
      <text>
        <r>
          <rPr>
            <sz val="9"/>
            <rFont val="宋体"/>
            <family val="3"/>
            <charset val="134"/>
          </rPr>
          <t>定位：
1 防御
2 单攻
3 群攻
4 控场
5 辅助</t>
        </r>
      </text>
    </comment>
    <comment ref="Y1" authorId="0" shapeId="0" xr:uid="{00000000-0006-0000-0E00-000005000000}">
      <text>
        <r>
          <rPr>
            <b/>
            <sz val="9"/>
            <rFont val="宋体"/>
            <family val="3"/>
            <charset val="134"/>
          </rPr>
          <t>PC:</t>
        </r>
        <r>
          <rPr>
            <sz val="9"/>
            <rFont val="宋体"/>
            <family val="3"/>
            <charset val="134"/>
          </rPr>
          <t xml:space="preserve">
0,物理
1,魔法</t>
        </r>
      </text>
    </comment>
    <comment ref="AB1" authorId="0" shapeId="0" xr:uid="{00000000-0006-0000-0E00-000006000000}">
      <text>
        <r>
          <rPr>
            <b/>
            <sz val="9"/>
            <rFont val="宋体"/>
            <family val="3"/>
            <charset val="134"/>
          </rPr>
          <t>PC:</t>
        </r>
        <r>
          <rPr>
            <sz val="9"/>
            <rFont val="宋体"/>
            <family val="3"/>
            <charset val="134"/>
          </rPr>
          <t xml:space="preserve">
属性向上取整</t>
        </r>
      </text>
    </comment>
    <comment ref="B15" authorId="0" shapeId="0" xr:uid="{00000000-0006-0000-0E00-000007000000}">
      <text>
        <r>
          <rPr>
            <b/>
            <sz val="9"/>
            <rFont val="宋体"/>
            <family val="3"/>
            <charset val="134"/>
          </rPr>
          <t>PC:</t>
        </r>
        <r>
          <rPr>
            <sz val="9"/>
            <rFont val="宋体"/>
            <family val="3"/>
            <charset val="134"/>
          </rPr>
          <t xml:space="preserve">
新手四选一SR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D1" authorId="0" shapeId="0" xr:uid="{519AA8A8-A813-4598-986E-91EAFD6F4DA3}">
      <text>
        <r>
          <rPr>
            <b/>
            <sz val="9"/>
            <color indexed="81"/>
            <rFont val="宋体"/>
            <family val="3"/>
            <charset val="134"/>
          </rPr>
          <t>PC:</t>
        </r>
        <r>
          <rPr>
            <sz val="9"/>
            <color indexed="81"/>
            <rFont val="宋体"/>
            <family val="3"/>
            <charset val="134"/>
          </rPr>
          <t xml:space="preserve">
373 宠物私有家具
374 宠物装饰
375 宠物道具
380 宠物公有家具</t>
        </r>
      </text>
    </comment>
    <comment ref="R1" authorId="0" shapeId="0" xr:uid="{5538AC92-B2B4-4A10-92A4-46DCFDEE0CDD}">
      <text>
        <r>
          <rPr>
            <b/>
            <sz val="9"/>
            <color indexed="81"/>
            <rFont val="宋体"/>
            <family val="3"/>
            <charset val="134"/>
          </rPr>
          <t>PC:</t>
        </r>
        <r>
          <rPr>
            <sz val="9"/>
            <color indexed="81"/>
            <rFont val="宋体"/>
            <family val="3"/>
            <charset val="134"/>
          </rPr>
          <t xml:space="preserve">
扭蛋相关表
gacha_open_info：扭蛋时间和消耗
gacha_refresh_info：扭蛋刷新池权重
gacha_reward_info：扭蛋掉落组
gacha_preview：奖励预览
goods_weight_set：组内掉落权重
goods_drop_pet_group：掉落去重
pet_quest：累计任务
activity_info_data：累计任务时间
mail_info_data：累计任务补发
</t>
        </r>
      </text>
    </comment>
    <comment ref="J2" authorId="0" shapeId="0" xr:uid="{D750F3C0-A616-4319-82AB-D120F2DF89E8}">
      <text>
        <r>
          <rPr>
            <b/>
            <sz val="9"/>
            <color indexed="81"/>
            <rFont val="宋体"/>
            <family val="3"/>
            <charset val="134"/>
          </rPr>
          <t>PC:</t>
        </r>
        <r>
          <rPr>
            <sz val="9"/>
            <color indexed="81"/>
            <rFont val="宋体"/>
            <family val="3"/>
            <charset val="134"/>
          </rPr>
          <t xml:space="preserve">
填充道具</t>
        </r>
      </text>
    </comment>
    <comment ref="J16" authorId="0" shapeId="0" xr:uid="{4A5312D1-A7C5-4E8E-8E83-F951D085A411}">
      <text>
        <r>
          <rPr>
            <b/>
            <sz val="9"/>
            <color indexed="81"/>
            <rFont val="宋体"/>
            <family val="3"/>
            <charset val="134"/>
          </rPr>
          <t>PC:</t>
        </r>
        <r>
          <rPr>
            <sz val="9"/>
            <color indexed="81"/>
            <rFont val="宋体"/>
            <family val="3"/>
            <charset val="134"/>
          </rPr>
          <t xml:space="preserve">
1026</t>
        </r>
      </text>
    </comment>
    <comment ref="R18" authorId="0" shapeId="0" xr:uid="{F72952D7-9BD2-4361-8055-524BDE0D567C}">
      <text>
        <r>
          <rPr>
            <b/>
            <sz val="9"/>
            <color indexed="81"/>
            <rFont val="宋体"/>
            <family val="3"/>
            <charset val="134"/>
          </rPr>
          <t>PC:</t>
        </r>
        <r>
          <rPr>
            <sz val="9"/>
            <color indexed="81"/>
            <rFont val="宋体"/>
            <family val="3"/>
            <charset val="134"/>
          </rPr>
          <t xml:space="preserve">
0811常驻扭蛋机</t>
        </r>
      </text>
    </comment>
    <comment ref="R29" authorId="0" shapeId="0" xr:uid="{483ECFAA-A0A7-49D5-8674-74BE368DDDDD}">
      <text>
        <r>
          <rPr>
            <b/>
            <sz val="9"/>
            <color indexed="81"/>
            <rFont val="宋体"/>
            <family val="3"/>
            <charset val="134"/>
          </rPr>
          <t>PC:</t>
        </r>
        <r>
          <rPr>
            <sz val="9"/>
            <color indexed="81"/>
            <rFont val="宋体"/>
            <family val="3"/>
            <charset val="134"/>
          </rPr>
          <t xml:space="preserve">
神秘蛋倒数第二位为3</t>
        </r>
      </text>
    </comment>
    <comment ref="J40" authorId="0" shapeId="0" xr:uid="{B56126C6-0650-4648-AA7F-DBBB329FDCFA}">
      <text>
        <r>
          <rPr>
            <b/>
            <sz val="9"/>
            <color indexed="81"/>
            <rFont val="宋体"/>
            <family val="3"/>
            <charset val="134"/>
          </rPr>
          <t>PC:</t>
        </r>
        <r>
          <rPr>
            <sz val="9"/>
            <color indexed="81"/>
            <rFont val="宋体"/>
            <family val="3"/>
            <charset val="134"/>
          </rPr>
          <t xml:space="preserve">
0811常驻扭蛋机</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L1" authorId="0" shapeId="0" xr:uid="{D7B5F2FC-0D43-4772-93C7-36532BB8CB47}">
      <text>
        <r>
          <rPr>
            <b/>
            <sz val="9"/>
            <color indexed="81"/>
            <rFont val="宋体"/>
            <family val="3"/>
            <charset val="134"/>
          </rPr>
          <t>PC:</t>
        </r>
        <r>
          <rPr>
            <sz val="9"/>
            <color indexed="81"/>
            <rFont val="宋体"/>
            <family val="3"/>
            <charset val="134"/>
          </rPr>
          <t xml:space="preserve">
去重时：该蛋掉落的家具/服饰会优先出未拥有的</t>
        </r>
      </text>
    </comment>
    <comment ref="AB1" authorId="0" shapeId="0" xr:uid="{D929925B-FBA2-41E7-B346-25E22533F977}">
      <text>
        <r>
          <rPr>
            <b/>
            <sz val="9"/>
            <color indexed="81"/>
            <rFont val="宋体"/>
            <family val="3"/>
            <charset val="134"/>
          </rPr>
          <t>PC:</t>
        </r>
        <r>
          <rPr>
            <sz val="9"/>
            <color indexed="81"/>
            <rFont val="宋体"/>
            <family val="3"/>
            <charset val="134"/>
          </rPr>
          <t xml:space="preserve">
每月累抽奖励</t>
        </r>
      </text>
    </comment>
    <comment ref="A2" authorId="0" shapeId="0" xr:uid="{55970CB2-6D3A-460C-874A-29D4358B82D3}">
      <text>
        <r>
          <rPr>
            <b/>
            <sz val="9"/>
            <color indexed="81"/>
            <rFont val="宋体"/>
            <family val="3"/>
            <charset val="134"/>
          </rPr>
          <t>PC:</t>
        </r>
        <r>
          <rPr>
            <sz val="9"/>
            <color indexed="81"/>
            <rFont val="宋体"/>
            <family val="3"/>
            <charset val="134"/>
          </rPr>
          <t xml:space="preserve">
填1则更新该奖池</t>
        </r>
      </text>
    </comment>
    <comment ref="A7" authorId="0" shapeId="0" xr:uid="{8798B2C3-D427-4536-8C60-BBC689D0B134}">
      <text>
        <r>
          <rPr>
            <b/>
            <sz val="9"/>
            <color indexed="81"/>
            <rFont val="宋体"/>
            <family val="3"/>
            <charset val="134"/>
          </rPr>
          <t>PC:</t>
        </r>
        <r>
          <rPr>
            <sz val="9"/>
            <color indexed="81"/>
            <rFont val="宋体"/>
            <family val="3"/>
            <charset val="134"/>
          </rPr>
          <t xml:space="preserve">
神秘蛋品质：高/低
没有则不填</t>
        </r>
      </text>
    </comment>
    <comment ref="A8" authorId="0" shapeId="0" xr:uid="{D02C3F2C-9F9C-4FEA-9AC3-B1495D0F852E}">
      <text>
        <r>
          <rPr>
            <b/>
            <sz val="9"/>
            <color indexed="81"/>
            <rFont val="宋体"/>
            <family val="3"/>
            <charset val="134"/>
          </rPr>
          <t>PC:</t>
        </r>
        <r>
          <rPr>
            <sz val="9"/>
            <color indexed="81"/>
            <rFont val="宋体"/>
            <family val="3"/>
            <charset val="134"/>
          </rPr>
          <t xml:space="preserve">
1 / 2 / 3 / 4
天/周/月/活动</t>
        </r>
      </text>
    </comment>
    <comment ref="A15" authorId="0" shapeId="0" xr:uid="{FEE420E9-C997-4AED-ACA0-EB757731F4A0}">
      <text>
        <r>
          <rPr>
            <b/>
            <sz val="9"/>
            <color indexed="81"/>
            <rFont val="宋体"/>
            <family val="3"/>
            <charset val="134"/>
          </rPr>
          <t>PC:</t>
        </r>
        <r>
          <rPr>
            <sz val="9"/>
            <color indexed="81"/>
            <rFont val="宋体"/>
            <family val="3"/>
            <charset val="134"/>
          </rPr>
          <t xml:space="preserve">
1：普通
2：高级
3：限时</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PC</author>
    <author>作者</author>
  </authors>
  <commentList>
    <comment ref="A1" authorId="0" shapeId="0" xr:uid="{00000000-0006-0000-1400-000001000000}">
      <text>
        <r>
          <rPr>
            <b/>
            <sz val="9"/>
            <rFont val="宋体"/>
            <family val="3"/>
            <charset val="134"/>
          </rPr>
          <t>PC:</t>
        </r>
        <r>
          <rPr>
            <sz val="9"/>
            <rFont val="宋体"/>
            <family val="3"/>
            <charset val="134"/>
          </rPr>
          <t xml:space="preserve">
1、存在的卡牌更新数据
2、不存在的卡牌新增数据</t>
        </r>
      </text>
    </comment>
    <comment ref="C1" authorId="0" shapeId="0" xr:uid="{00000000-0006-0000-1400-000002000000}">
      <text>
        <r>
          <rPr>
            <b/>
            <sz val="9"/>
            <rFont val="宋体"/>
            <family val="3"/>
            <charset val="134"/>
          </rPr>
          <t>PC:</t>
        </r>
        <r>
          <rPr>
            <sz val="9"/>
            <rFont val="宋体"/>
            <family val="3"/>
            <charset val="134"/>
          </rPr>
          <t xml:space="preserve">
1：N    2：NH
3：R    4：SR
5：SSR  6：SP
7：ER   8：SER</t>
        </r>
      </text>
    </comment>
    <comment ref="D1" authorId="0" shapeId="0" xr:uid="{00000000-0006-0000-1400-000003000000}">
      <text>
        <r>
          <rPr>
            <b/>
            <sz val="9"/>
            <rFont val="宋体"/>
            <family val="3"/>
            <charset val="134"/>
          </rPr>
          <t>PC:</t>
        </r>
        <r>
          <rPr>
            <sz val="9"/>
            <rFont val="宋体"/>
            <family val="3"/>
            <charset val="134"/>
          </rPr>
          <t xml:space="preserve">
特殊品质（不显示R/SR/SSR），例如生日卡、节日卡等</t>
        </r>
      </text>
    </comment>
    <comment ref="E1" authorId="0" shapeId="0" xr:uid="{00000000-0006-0000-1400-000004000000}">
      <text>
        <r>
          <rPr>
            <b/>
            <sz val="9"/>
            <rFont val="宋体"/>
            <family val="3"/>
            <charset val="134"/>
          </rPr>
          <t>PC:</t>
        </r>
        <r>
          <rPr>
            <sz val="9"/>
            <rFont val="宋体"/>
            <family val="3"/>
            <charset val="134"/>
          </rPr>
          <t xml:space="preserve">
卡牌和物品的来源不同时用分隔符分开填</t>
        </r>
      </text>
    </comment>
    <comment ref="F1" authorId="0" shapeId="0" xr:uid="{00000000-0006-0000-1400-000005000000}">
      <text>
        <r>
          <rPr>
            <b/>
            <sz val="9"/>
            <rFont val="宋体"/>
            <family val="3"/>
            <charset val="134"/>
          </rPr>
          <t>PC:</t>
        </r>
        <r>
          <rPr>
            <sz val="9"/>
            <rFont val="宋体"/>
            <family val="3"/>
            <charset val="134"/>
          </rPr>
          <t xml:space="preserve">
1：李泽言
2：许墨
3：周棋洛
4：白起
5：其他
8：凌肖</t>
        </r>
      </text>
    </comment>
    <comment ref="G1" authorId="0" shapeId="0" xr:uid="{00000000-0006-0000-1400-000006000000}">
      <text>
        <r>
          <rPr>
            <b/>
            <sz val="9"/>
            <rFont val="宋体"/>
            <family val="3"/>
            <charset val="134"/>
          </rPr>
          <t>PC:</t>
        </r>
        <r>
          <rPr>
            <sz val="9"/>
            <rFont val="宋体"/>
            <family val="3"/>
            <charset val="134"/>
          </rPr>
          <t xml:space="preserve">
卡牌获得时解锁的短电朋</t>
        </r>
      </text>
    </comment>
    <comment ref="H1" authorId="0" shapeId="0" xr:uid="{00000000-0006-0000-1400-000007000000}">
      <text>
        <r>
          <rPr>
            <b/>
            <sz val="9"/>
            <rFont val="宋体"/>
            <family val="3"/>
            <charset val="134"/>
          </rPr>
          <t>PC:</t>
        </r>
        <r>
          <rPr>
            <sz val="9"/>
            <rFont val="宋体"/>
            <family val="3"/>
            <charset val="134"/>
          </rPr>
          <t xml:space="preserve">
301 温情
302 幽默
303 羞涩
304 活力
305 认真
306 浪漫
307 勇气
308 纯真</t>
        </r>
      </text>
    </comment>
    <comment ref="I1" authorId="0" shapeId="0" xr:uid="{00000000-0006-0000-1400-000008000000}">
      <text>
        <r>
          <rPr>
            <b/>
            <sz val="9"/>
            <rFont val="宋体"/>
            <family val="3"/>
            <charset val="134"/>
          </rPr>
          <t>PC:</t>
        </r>
        <r>
          <rPr>
            <sz val="9"/>
            <rFont val="宋体"/>
            <family val="3"/>
            <charset val="134"/>
          </rPr>
          <t xml:space="preserve">
图鉴显示时间</t>
        </r>
      </text>
    </comment>
    <comment ref="J1" authorId="0" shapeId="0" xr:uid="{00000000-0006-0000-1400-000009000000}">
      <text>
        <r>
          <rPr>
            <b/>
            <sz val="9"/>
            <rFont val="宋体"/>
            <family val="3"/>
            <charset val="134"/>
          </rPr>
          <t>PC:</t>
        </r>
        <r>
          <rPr>
            <sz val="9"/>
            <rFont val="宋体"/>
            <family val="3"/>
            <charset val="134"/>
          </rPr>
          <t xml:space="preserve">
1：约会
2：小传
3：SP约会</t>
        </r>
      </text>
    </comment>
    <comment ref="K1" authorId="0" shapeId="0" xr:uid="{00000000-0006-0000-1400-00000A000000}">
      <text>
        <r>
          <rPr>
            <b/>
            <sz val="9"/>
            <rFont val="宋体"/>
            <family val="3"/>
            <charset val="134"/>
          </rPr>
          <t>PC:</t>
        </r>
        <r>
          <rPr>
            <sz val="9"/>
            <rFont val="宋体"/>
            <family val="3"/>
            <charset val="134"/>
          </rPr>
          <t xml:space="preserve">
type1：约会id
type2：男主id（1~4）|第二季（12,22,32,42）
type3：约会id</t>
        </r>
      </text>
    </comment>
    <comment ref="L1" authorId="0" shapeId="0" xr:uid="{00000000-0006-0000-1400-00000B000000}">
      <text>
        <r>
          <rPr>
            <b/>
            <sz val="9"/>
            <rFont val="宋体"/>
            <family val="3"/>
            <charset val="134"/>
          </rPr>
          <t>PC:</t>
        </r>
        <r>
          <rPr>
            <sz val="9"/>
            <rFont val="宋体"/>
            <family val="3"/>
            <charset val="134"/>
          </rPr>
          <t xml:space="preserve">
约会试读的stage ID</t>
        </r>
      </text>
    </comment>
    <comment ref="M1" authorId="0" shapeId="0" xr:uid="{00000000-0006-0000-1400-00000C000000}">
      <text>
        <r>
          <rPr>
            <b/>
            <sz val="9"/>
            <rFont val="宋体"/>
            <family val="3"/>
            <charset val="134"/>
          </rPr>
          <t>PC:</t>
        </r>
        <r>
          <rPr>
            <sz val="9"/>
            <rFont val="宋体"/>
            <family val="3"/>
            <charset val="134"/>
          </rPr>
          <t xml:space="preserve">
试读开始</t>
        </r>
      </text>
    </comment>
    <comment ref="N1" authorId="0" shapeId="0" xr:uid="{00000000-0006-0000-1400-00000D000000}">
      <text>
        <r>
          <rPr>
            <b/>
            <sz val="9"/>
            <rFont val="宋体"/>
            <family val="3"/>
            <charset val="134"/>
          </rPr>
          <t>PC:</t>
        </r>
        <r>
          <rPr>
            <sz val="9"/>
            <rFont val="宋体"/>
            <family val="3"/>
            <charset val="134"/>
          </rPr>
          <t xml:space="preserve">
试读结束</t>
        </r>
      </text>
    </comment>
    <comment ref="O1" authorId="0" shapeId="0" xr:uid="{00000000-0006-0000-1400-00000E000000}">
      <text>
        <r>
          <rPr>
            <b/>
            <sz val="9"/>
            <rFont val="宋体"/>
            <family val="3"/>
            <charset val="134"/>
          </rPr>
          <t>PC:</t>
        </r>
        <r>
          <rPr>
            <sz val="9"/>
            <rFont val="宋体"/>
            <family val="3"/>
            <charset val="134"/>
          </rPr>
          <t xml:space="preserve">
1：通用凌肖
2：专属凌肖（不填默认为2）</t>
        </r>
      </text>
    </comment>
    <comment ref="P1" authorId="0" shapeId="0" xr:uid="{00000000-0006-0000-1400-00000F000000}">
      <text>
        <r>
          <rPr>
            <b/>
            <sz val="9"/>
            <rFont val="宋体"/>
            <family val="3"/>
            <charset val="134"/>
          </rPr>
          <t>PC:</t>
        </r>
        <r>
          <rPr>
            <sz val="9"/>
            <rFont val="宋体"/>
            <family val="3"/>
            <charset val="134"/>
          </rPr>
          <t xml:space="preserve">
全屏演出裁切参数</t>
        </r>
      </text>
    </comment>
    <comment ref="T1" authorId="0" shapeId="0" xr:uid="{00000000-0006-0000-1400-000010000000}">
      <text>
        <r>
          <rPr>
            <b/>
            <sz val="9"/>
            <rFont val="宋体"/>
            <family val="3"/>
            <charset val="134"/>
          </rPr>
          <t>PC:</t>
        </r>
        <r>
          <rPr>
            <sz val="9"/>
            <rFont val="宋体"/>
            <family val="3"/>
            <charset val="134"/>
          </rPr>
          <t xml:space="preserve">
进阶短电朋奖励
er卡和sp卡的进阶短电朋也配在这，
有多个奖励时用|分隔</t>
        </r>
      </text>
    </comment>
    <comment ref="W1" authorId="0" shapeId="0" xr:uid="{00000000-0006-0000-1400-000011000000}">
      <text>
        <r>
          <rPr>
            <b/>
            <sz val="9"/>
            <rFont val="宋体"/>
            <family val="3"/>
            <charset val="134"/>
          </rPr>
          <t xml:space="preserve">PC:
</t>
        </r>
        <r>
          <rPr>
            <sz val="9"/>
            <rFont val="宋体"/>
            <family val="3"/>
            <charset val="134"/>
          </rPr>
          <t>1：新手送    2：免费卡
3：小钻卡    4/5：钻卡
6：主线卡（SSR的6/7互换）    
7：累充卡    9：大累充卡
17：氪金卡</t>
        </r>
      </text>
    </comment>
    <comment ref="Y1" authorId="0" shapeId="0" xr:uid="{00000000-0006-0000-1400-000012000000}">
      <text>
        <r>
          <rPr>
            <b/>
            <sz val="9"/>
            <rFont val="宋体"/>
            <family val="3"/>
            <charset val="134"/>
          </rPr>
          <t>PC:</t>
        </r>
        <r>
          <rPr>
            <sz val="9"/>
            <rFont val="宋体"/>
            <family val="3"/>
            <charset val="134"/>
          </rPr>
          <t xml:space="preserve">
1~22
101~120
201~223</t>
        </r>
      </text>
    </comment>
    <comment ref="Z1" authorId="0" shapeId="0" xr:uid="{00000000-0006-0000-1400-000013000000}">
      <text>
        <r>
          <rPr>
            <b/>
            <sz val="9"/>
            <rFont val="宋体"/>
            <family val="3"/>
            <charset val="134"/>
          </rPr>
          <t>PC:</t>
        </r>
        <r>
          <rPr>
            <sz val="9"/>
            <rFont val="宋体"/>
            <family val="3"/>
            <charset val="134"/>
          </rPr>
          <t xml:space="preserve">
1、数字越大掉落关卡越靠后
2、第二季卡牌使用1xx</t>
        </r>
      </text>
    </comment>
    <comment ref="AA1" authorId="0" shapeId="0" xr:uid="{00000000-0006-0000-1400-000014000000}">
      <text>
        <r>
          <rPr>
            <b/>
            <sz val="9"/>
            <rFont val="宋体"/>
            <family val="3"/>
            <charset val="134"/>
          </rPr>
          <t>PC:</t>
        </r>
        <r>
          <rPr>
            <sz val="9"/>
            <rFont val="宋体"/>
            <family val="3"/>
            <charset val="134"/>
          </rPr>
          <t xml:space="preserve">
数字越大越强力</t>
        </r>
      </text>
    </comment>
    <comment ref="AE1" authorId="0" shapeId="0" xr:uid="{00000000-0006-0000-1400-000015000000}">
      <text>
        <r>
          <rPr>
            <b/>
            <sz val="9"/>
            <rFont val="宋体"/>
            <family val="3"/>
            <charset val="134"/>
          </rPr>
          <t>PC:</t>
        </r>
        <r>
          <rPr>
            <sz val="9"/>
            <rFont val="宋体"/>
            <family val="3"/>
            <charset val="134"/>
          </rPr>
          <t xml:space="preserve">
如果有分支结局，用|分割</t>
        </r>
      </text>
    </comment>
    <comment ref="AJ1" authorId="1" shapeId="0" xr:uid="{00000000-0006-0000-1400-000016000000}">
      <text>
        <r>
          <rPr>
            <b/>
            <sz val="9"/>
            <rFont val="宋体"/>
            <family val="3"/>
            <charset val="134"/>
          </rPr>
          <t>作者:</t>
        </r>
        <r>
          <rPr>
            <sz val="9"/>
            <rFont val="宋体"/>
            <family val="3"/>
            <charset val="134"/>
          </rPr>
          <t xml:space="preserve">
1：l2d技术单面
2：spine技术单面
3：l2d技术双面
4:spine技术双面</t>
        </r>
      </text>
    </comment>
    <comment ref="AK1" authorId="1" shapeId="0" xr:uid="{00000000-0006-0000-1400-000017000000}">
      <text>
        <r>
          <rPr>
            <b/>
            <sz val="9"/>
            <rFont val="宋体"/>
            <family val="3"/>
            <charset val="134"/>
          </rPr>
          <t>作者:</t>
        </r>
        <r>
          <rPr>
            <sz val="9"/>
            <rFont val="宋体"/>
            <family val="3"/>
            <charset val="134"/>
          </rPr>
          <t xml:space="preserve">
1：背景变化
2：动作变化
</t>
        </r>
      </text>
    </comment>
    <comment ref="AM1" authorId="0" shapeId="0" xr:uid="{00000000-0006-0000-1400-000018000000}">
      <text>
        <r>
          <rPr>
            <b/>
            <sz val="9"/>
            <color indexed="81"/>
            <rFont val="宋体"/>
            <family val="3"/>
            <charset val="134"/>
          </rPr>
          <t>PC:</t>
        </r>
        <r>
          <rPr>
            <sz val="9"/>
            <color indexed="81"/>
            <rFont val="宋体"/>
            <family val="3"/>
            <charset val="134"/>
          </rPr>
          <t xml:space="preserve">
类似口红卡的方式
根据道具变换特效</t>
        </r>
      </text>
    </comment>
    <comment ref="AN1" authorId="0" shapeId="0" xr:uid="{00000000-0006-0000-1400-000019000000}">
      <text>
        <r>
          <rPr>
            <b/>
            <sz val="9"/>
            <rFont val="宋体"/>
            <family val="3"/>
            <charset val="134"/>
          </rPr>
          <t>PC:</t>
        </r>
      </text>
    </comment>
    <comment ref="AO1" authorId="0" shapeId="0" xr:uid="{00000000-0006-0000-1400-00001A000000}">
      <text>
        <r>
          <rPr>
            <b/>
            <sz val="9"/>
            <rFont val="宋体"/>
            <family val="3"/>
            <charset val="134"/>
          </rPr>
          <t>PC:</t>
        </r>
        <r>
          <rPr>
            <sz val="9"/>
            <rFont val="宋体"/>
            <family val="3"/>
            <charset val="134"/>
          </rPr>
          <t xml:space="preserve">
不填时默认为4</t>
        </r>
      </text>
    </comment>
    <comment ref="AP1" authorId="0" shapeId="0" xr:uid="{00000000-0006-0000-1400-00001B000000}">
      <text>
        <r>
          <rPr>
            <b/>
            <sz val="9"/>
            <rFont val="宋体"/>
            <family val="3"/>
            <charset val="134"/>
          </rPr>
          <t xml:space="preserve">PC:
</t>
        </r>
        <r>
          <rPr>
            <sz val="9"/>
            <rFont val="宋体"/>
            <family val="3"/>
            <charset val="134"/>
          </rPr>
          <t>0/不填：黄发
1：白发
进化前后如果不一致，用|分隔</t>
        </r>
      </text>
    </comment>
    <comment ref="AQ1" authorId="0" shapeId="0" xr:uid="{00000000-0006-0000-1400-00001C000000}">
      <text>
        <r>
          <rPr>
            <b/>
            <sz val="9"/>
            <rFont val="宋体"/>
            <family val="3"/>
            <charset val="134"/>
          </rPr>
          <t>PC:</t>
        </r>
        <r>
          <rPr>
            <sz val="9"/>
            <rFont val="宋体"/>
            <family val="3"/>
            <charset val="134"/>
          </rPr>
          <t xml:space="preserve">
有多个阶段都掉落的话用|分隔</t>
        </r>
      </text>
    </comment>
    <comment ref="AR1" authorId="0" shapeId="0" xr:uid="{00000000-0006-0000-1400-00001D000000}">
      <text>
        <r>
          <rPr>
            <b/>
            <sz val="9"/>
            <rFont val="宋体"/>
            <family val="3"/>
            <charset val="134"/>
          </rPr>
          <t>PC:</t>
        </r>
        <r>
          <rPr>
            <sz val="9"/>
            <rFont val="宋体"/>
            <family val="3"/>
            <charset val="134"/>
          </rPr>
          <t xml:space="preserve">
1、有多个阶段掉落时用|分隔，与前一格保持一致
2、单个阶段掉落多个时用英文冒号分割</t>
        </r>
      </text>
    </comment>
    <comment ref="AS1" authorId="0" shapeId="0" xr:uid="{00000000-0006-0000-1400-00001E000000}">
      <text>
        <r>
          <rPr>
            <b/>
            <sz val="9"/>
            <rFont val="宋体"/>
            <family val="3"/>
            <charset val="134"/>
          </rPr>
          <t>PC:</t>
        </r>
        <r>
          <rPr>
            <sz val="9"/>
            <rFont val="宋体"/>
            <family val="3"/>
            <charset val="134"/>
          </rPr>
          <t xml:space="preserve">
当卡面1和卡牌id不一致时配置此项</t>
        </r>
      </text>
    </comment>
    <comment ref="AT1" authorId="0" shapeId="0" xr:uid="{00000000-0006-0000-1400-00001F000000}">
      <text>
        <r>
          <rPr>
            <b/>
            <sz val="9"/>
            <rFont val="宋体"/>
            <family val="3"/>
            <charset val="134"/>
          </rPr>
          <t>PC:</t>
        </r>
        <r>
          <rPr>
            <sz val="9"/>
            <rFont val="宋体"/>
            <family val="3"/>
            <charset val="134"/>
          </rPr>
          <t xml:space="preserve">
当卡面2和卡牌id不一致时配置此项</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B1" authorId="0" shapeId="0" xr:uid="{34DB5275-554C-434D-837D-2B593496C4EF}">
      <text>
        <r>
          <rPr>
            <b/>
            <sz val="9"/>
            <color indexed="81"/>
            <rFont val="宋体"/>
            <family val="3"/>
            <charset val="134"/>
          </rPr>
          <t>PC:</t>
        </r>
        <r>
          <rPr>
            <sz val="9"/>
            <color indexed="81"/>
            <rFont val="宋体"/>
            <family val="3"/>
            <charset val="134"/>
          </rPr>
          <t xml:space="preserve">
1：只有一行表头
2：拥有多个页签</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B1" authorId="0" shapeId="0" xr:uid="{C2A1BB15-3C1E-4947-A7BC-1A7DE7A3F753}">
      <text>
        <r>
          <rPr>
            <b/>
            <sz val="9"/>
            <color indexed="81"/>
            <rFont val="宋体"/>
            <family val="3"/>
            <charset val="134"/>
          </rPr>
          <t>PC:</t>
        </r>
        <r>
          <rPr>
            <sz val="9"/>
            <color indexed="81"/>
            <rFont val="宋体"/>
            <family val="3"/>
            <charset val="134"/>
          </rPr>
          <t xml:space="preserve">
本列有数据时只操作本列内的表</t>
        </r>
      </text>
    </comment>
    <comment ref="C1" authorId="0" shapeId="0" xr:uid="{499DEE1F-7FA8-4258-B135-6B0C9812AFA1}">
      <text>
        <r>
          <rPr>
            <b/>
            <sz val="9"/>
            <color indexed="81"/>
            <rFont val="宋体"/>
            <family val="3"/>
            <charset val="134"/>
          </rPr>
          <t>PC:</t>
        </r>
        <r>
          <rPr>
            <sz val="9"/>
            <color indexed="81"/>
            <rFont val="宋体"/>
            <family val="3"/>
            <charset val="134"/>
          </rPr>
          <t xml:space="preserve">
本列填不想操作的表格</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F10" authorId="0" shapeId="0" xr:uid="{1923FD1B-4A35-4636-A92F-5D793E4D6652}">
      <text>
        <r>
          <rPr>
            <b/>
            <sz val="9"/>
            <color indexed="81"/>
            <rFont val="宋体"/>
            <family val="3"/>
            <charset val="134"/>
          </rPr>
          <t>PC:</t>
        </r>
        <r>
          <rPr>
            <sz val="9"/>
            <color indexed="81"/>
            <rFont val="宋体"/>
            <family val="3"/>
            <charset val="134"/>
          </rPr>
          <t xml:space="preserve">
注：#开头的页签无效</t>
        </r>
      </text>
    </comment>
    <comment ref="D11" authorId="0" shapeId="0" xr:uid="{C96F66B0-0EA1-4E0C-B816-59D9D6F3AF14}">
      <text>
        <r>
          <rPr>
            <b/>
            <sz val="9"/>
            <color indexed="81"/>
            <rFont val="宋体"/>
            <family val="3"/>
            <charset val="134"/>
          </rPr>
          <t>PC:</t>
        </r>
        <r>
          <rPr>
            <sz val="9"/>
            <color indexed="81"/>
            <rFont val="宋体"/>
            <family val="3"/>
            <charset val="134"/>
          </rPr>
          <t xml:space="preserve">
填1的表会更新数据</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B4" authorId="0" shapeId="0" xr:uid="{00000000-0006-0000-1700-000001000000}">
      <text>
        <r>
          <rPr>
            <b/>
            <sz val="9"/>
            <rFont val="宋体"/>
            <family val="3"/>
            <charset val="134"/>
          </rPr>
          <t>PC:</t>
        </r>
        <r>
          <rPr>
            <sz val="9"/>
            <rFont val="宋体"/>
            <family val="3"/>
            <charset val="134"/>
          </rPr>
          <t xml:space="preserve">
2：日语
4：英语
7：汉语</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B1" authorId="0" shapeId="0" xr:uid="{00000000-0006-0000-1800-000001000000}">
      <text>
        <r>
          <rPr>
            <b/>
            <sz val="9"/>
            <rFont val="宋体"/>
            <family val="3"/>
            <charset val="134"/>
          </rPr>
          <t xml:space="preserve">音频修改规则:
</t>
        </r>
        <r>
          <rPr>
            <sz val="9"/>
            <rFont val="宋体"/>
            <family val="3"/>
            <charset val="134"/>
          </rPr>
          <t>不填id则替换为空文件
填id则替换为新id</t>
        </r>
      </text>
    </comment>
  </commentList>
</comments>
</file>

<file path=xl/sharedStrings.xml><?xml version="1.0" encoding="utf-8"?>
<sst xmlns="http://schemas.openxmlformats.org/spreadsheetml/2006/main" count="14083" uniqueCount="7185">
  <si>
    <t xml:space="preserve">必定显示的表
</t>
  </si>
  <si>
    <t>目录</t>
  </si>
  <si>
    <t>活动配置</t>
  </si>
  <si>
    <t xml:space="preserve">battle pass
</t>
  </si>
  <si>
    <t>activity_info_data</t>
  </si>
  <si>
    <t>activity_common_config_data</t>
  </si>
  <si>
    <t>activity_goods_exchange</t>
  </si>
  <si>
    <t>activity_pack_info</t>
  </si>
  <si>
    <t>activity_battlepass_quest_info</t>
  </si>
  <si>
    <t>goods_info_data</t>
  </si>
  <si>
    <t>goods_auto_exchange</t>
  </si>
  <si>
    <t xml:space="preserve">BINGO
</t>
  </si>
  <si>
    <t>activity_group_reward_info_data</t>
  </si>
  <si>
    <t>activity_group_info_data</t>
  </si>
  <si>
    <t xml:space="preserve">星缘石
</t>
  </si>
  <si>
    <t>stone_random_info_data</t>
  </si>
  <si>
    <t>单人副本
白起沸腾</t>
  </si>
  <si>
    <t>task_line_info_data</t>
  </si>
  <si>
    <t>task_info_data</t>
  </si>
  <si>
    <t>task_event_info_data</t>
  </si>
  <si>
    <t>task_comment</t>
  </si>
  <si>
    <t>task_text_data</t>
  </si>
  <si>
    <t xml:space="preserve">记忆迷宫
</t>
  </si>
  <si>
    <t>activity_mainquest_awardbox</t>
  </si>
  <si>
    <t>activity_mainquests_buff_data</t>
  </si>
  <si>
    <t>goods_exchange_info_data</t>
  </si>
  <si>
    <t>李泽言
言传身教</t>
  </si>
  <si>
    <t>activity_examination_question</t>
  </si>
  <si>
    <t>activity_examination_comment</t>
  </si>
  <si>
    <t>card_info_data</t>
  </si>
  <si>
    <t xml:space="preserve">海滩活动
</t>
  </si>
  <si>
    <t>activity_singlecard_event3_data</t>
  </si>
  <si>
    <t>activity_singlecard_shop_data</t>
  </si>
  <si>
    <t>activity_singlecard_buff_data</t>
  </si>
  <si>
    <t xml:space="preserve">累消送
</t>
  </si>
  <si>
    <t>activity_add_spend</t>
  </si>
  <si>
    <t xml:space="preserve">累充
</t>
  </si>
  <si>
    <t xml:space="preserve">单笔充值送
</t>
  </si>
  <si>
    <t>pay_reward_info</t>
  </si>
  <si>
    <t>pay_info_data</t>
  </si>
  <si>
    <t xml:space="preserve">一元购
</t>
  </si>
  <si>
    <t>pay_item_code</t>
  </si>
  <si>
    <t>城市漫步
白起生日</t>
  </si>
  <si>
    <t>loop_task_event_info_data</t>
  </si>
  <si>
    <t>loop_task_info_data</t>
  </si>
  <si>
    <t xml:space="preserve">竞技场上新
</t>
  </si>
  <si>
    <t xml:space="preserve">辰光石兑换
</t>
  </si>
  <si>
    <t xml:space="preserve">activity_info_data
</t>
  </si>
  <si>
    <t>common_config_data</t>
  </si>
  <si>
    <t xml:space="preserve">竞技场兑换
</t>
  </si>
  <si>
    <t xml:space="preserve">免费礼包
</t>
  </si>
  <si>
    <t>goods_weightset_data</t>
  </si>
  <si>
    <t xml:space="preserve">月卡充值送
</t>
  </si>
  <si>
    <t xml:space="preserve">精英双倍
</t>
  </si>
  <si>
    <t xml:space="preserve">签到送
</t>
  </si>
  <si>
    <t>activity_daily_addup_info</t>
  </si>
  <si>
    <t>相关表</t>
  </si>
  <si>
    <t>捞取字段1</t>
  </si>
  <si>
    <t>捞取字段2</t>
  </si>
  <si>
    <t>捞取字段3</t>
  </si>
  <si>
    <t>捞取字段4</t>
  </si>
  <si>
    <t>捞取字段5</t>
  </si>
  <si>
    <t>捞取字段6</t>
  </si>
  <si>
    <t>捞取字段7</t>
  </si>
  <si>
    <t>捞取字段8</t>
  </si>
  <si>
    <t>捞取字段9</t>
  </si>
  <si>
    <t>捞取字段10</t>
  </si>
  <si>
    <t>检索字段</t>
  </si>
  <si>
    <t>card_id</t>
  </si>
  <si>
    <t>card_name#</t>
  </si>
  <si>
    <t>card_get#</t>
  </si>
  <si>
    <t>goods_id</t>
  </si>
  <si>
    <t>goods_name#</t>
  </si>
  <si>
    <t>goods_set#</t>
  </si>
  <si>
    <t>goods_desc#</t>
  </si>
  <si>
    <t>id</t>
  </si>
  <si>
    <t>desc#</t>
  </si>
  <si>
    <t>short_msg_info_data</t>
  </si>
  <si>
    <t>short_msg_id</t>
  </si>
  <si>
    <t>name#</t>
  </si>
  <si>
    <t/>
  </si>
  <si>
    <t>short_msg_text</t>
  </si>
  <si>
    <t>title#</t>
  </si>
  <si>
    <t>content#</t>
  </si>
  <si>
    <t>phone_msg_info_data</t>
  </si>
  <si>
    <t>phone_msg_id</t>
  </si>
  <si>
    <t>phone_title#</t>
  </si>
  <si>
    <t>phone_msg_option_info_data</t>
  </si>
  <si>
    <t>msg_option_id</t>
  </si>
  <si>
    <t>renming#</t>
  </si>
  <si>
    <t>sentence#</t>
  </si>
  <si>
    <t>voice</t>
  </si>
  <si>
    <t>phone_msg_id|msg_option_id</t>
  </si>
  <si>
    <t>friend_msg_info_data</t>
  </si>
  <si>
    <t>friend_msg_id</t>
  </si>
  <si>
    <t>friend_msg_title#</t>
  </si>
  <si>
    <t>friend_msg_text</t>
  </si>
  <si>
    <t>friend_msg_text_id</t>
  </si>
  <si>
    <t>reply_npc</t>
  </si>
  <si>
    <t>friend_msg_text#</t>
  </si>
  <si>
    <t>male_tape_info</t>
  </si>
  <si>
    <t>config_id</t>
  </si>
  <si>
    <t>male_tape_name#</t>
  </si>
  <si>
    <t>male_tape_audio</t>
  </si>
  <si>
    <t>male_tape_text</t>
  </si>
  <si>
    <t>male_tape_id</t>
  </si>
  <si>
    <t>sub_id</t>
  </si>
  <si>
    <t>male_tape_id|sub_id</t>
  </si>
  <si>
    <t>engagement_info_data</t>
  </si>
  <si>
    <t>engagement_id</t>
  </si>
  <si>
    <t>date_title#</t>
  </si>
  <si>
    <t>date_guide#</t>
  </si>
  <si>
    <t>date_desc#</t>
  </si>
  <si>
    <t>engagement_text</t>
  </si>
  <si>
    <t>text_id</t>
  </si>
  <si>
    <t>diary_text#</t>
  </si>
  <si>
    <t>extrastory_info</t>
  </si>
  <si>
    <t>extrastory_id</t>
  </si>
  <si>
    <t>extrastory_title#</t>
  </si>
  <si>
    <t>extrastory_desc#</t>
  </si>
  <si>
    <t>extrastory_text</t>
  </si>
  <si>
    <t>extra_story</t>
  </si>
  <si>
    <t>extra_story|id</t>
  </si>
  <si>
    <t>activity_story_list</t>
  </si>
  <si>
    <t>story_name#</t>
  </si>
  <si>
    <t>story_extra_info</t>
  </si>
  <si>
    <t>story_id</t>
  </si>
  <si>
    <t>story</t>
  </si>
  <si>
    <t>stage</t>
  </si>
  <si>
    <t>sentence#T</t>
  </si>
  <si>
    <t>stage|id</t>
  </si>
  <si>
    <t>activity_extrastory</t>
  </si>
  <si>
    <t>国服配置路径【数据源】
选择到excel_config文件夹</t>
  </si>
  <si>
    <t>表格</t>
  </si>
  <si>
    <t>检索列</t>
  </si>
  <si>
    <t>计算类型</t>
  </si>
  <si>
    <t>卡牌1id</t>
  </si>
  <si>
    <t>卡牌2id</t>
  </si>
  <si>
    <t>卡牌3id</t>
  </si>
  <si>
    <t>卡牌4id</t>
  </si>
  <si>
    <t>卡牌5id</t>
  </si>
  <si>
    <t>卡牌6id</t>
  </si>
  <si>
    <t>卡牌7id</t>
  </si>
  <si>
    <t>卡牌8id</t>
  </si>
  <si>
    <t>卡牌9id</t>
  </si>
  <si>
    <t>卡牌10id</t>
  </si>
  <si>
    <t>E:\evol_release_210513\Design\excel_config</t>
  </si>
  <si>
    <t>海外配置路径【更新数据】
选择到excel_config文件夹</t>
  </si>
  <si>
    <t>东南亚后缀</t>
  </si>
  <si>
    <t>#en-US</t>
  </si>
  <si>
    <t>#th-TH</t>
  </si>
  <si>
    <t>bat文件名</t>
  </si>
  <si>
    <t>1.一键处理表格.bat</t>
  </si>
  <si>
    <t>翻译后缀</t>
  </si>
  <si>
    <t xml:space="preserve">东南亚后缀
</t>
  </si>
  <si>
    <t>#E</t>
  </si>
  <si>
    <t>#T</t>
  </si>
  <si>
    <t>翻译文件路径
支持多选</t>
  </si>
  <si>
    <t>来源项目</t>
  </si>
  <si>
    <t>E:\evol_release_210108</t>
  </si>
  <si>
    <t>目标项目</t>
  </si>
  <si>
    <t>C:\Users\PC\Desktop\点就送</t>
  </si>
  <si>
    <t>是否覆盖</t>
  </si>
  <si>
    <t>是</t>
  </si>
  <si>
    <t>资源名</t>
  </si>
  <si>
    <t>资源路径</t>
  </si>
  <si>
    <t>\Assets\Builds\i6\Card</t>
  </si>
  <si>
    <r>
      <rPr>
        <sz val="10"/>
        <color theme="1"/>
        <rFont val="微软雅黑"/>
        <family val="2"/>
        <charset val="134"/>
      </rPr>
      <t>43310</t>
    </r>
    <r>
      <rPr>
        <sz val="10"/>
        <color theme="1"/>
        <rFont val="微软雅黑"/>
        <family val="2"/>
        <charset val="134"/>
      </rPr>
      <t>_h</t>
    </r>
  </si>
  <si>
    <t>\Assets\Builds\i6\Card_h</t>
  </si>
  <si>
    <t>白起·锋刃</t>
  </si>
  <si>
    <t>2020/7/16 05:00:00</t>
  </si>
  <si>
    <t>白起·长夜星火</t>
  </si>
  <si>
    <t>白起·灿烂之年</t>
  </si>
  <si>
    <t>2020/8/6 05:00:00</t>
  </si>
  <si>
    <t>凌肖·极速定律</t>
  </si>
  <si>
    <t>凌肖·高热</t>
  </si>
  <si>
    <t>凌肖·侵袭</t>
  </si>
  <si>
    <t>物品名来源</t>
  </si>
  <si>
    <t>名字列</t>
  </si>
  <si>
    <t>id列</t>
  </si>
  <si>
    <t>礼包相关表</t>
  </si>
  <si>
    <t>检索标题行</t>
  </si>
  <si>
    <t>数据开始行</t>
  </si>
  <si>
    <t>礼包总类型</t>
  </si>
  <si>
    <t>类型id</t>
  </si>
  <si>
    <t>礼包栏位</t>
  </si>
  <si>
    <t>栏位id</t>
  </si>
  <si>
    <t>子分类</t>
  </si>
  <si>
    <t>子id</t>
  </si>
  <si>
    <t>礼包标签</t>
  </si>
  <si>
    <t>标签id</t>
  </si>
  <si>
    <t>goods表</t>
  </si>
  <si>
    <t>道具名称</t>
  </si>
  <si>
    <t>道具ID</t>
  </si>
  <si>
    <t>pack_id</t>
  </si>
  <si>
    <t>商城礼包</t>
  </si>
  <si>
    <t>推荐供给</t>
  </si>
  <si>
    <t>热卖</t>
  </si>
  <si>
    <t>新品</t>
  </si>
  <si>
    <t>common表</t>
  </si>
  <si>
    <t>配置名称</t>
  </si>
  <si>
    <t>配置值</t>
  </si>
  <si>
    <t>rank_id</t>
  </si>
  <si>
    <t>推送礼包</t>
  </si>
  <si>
    <t>特权供给</t>
  </si>
  <si>
    <t>新手推荐</t>
  </si>
  <si>
    <t>推荐</t>
  </si>
  <si>
    <t>主页礼包</t>
  </si>
  <si>
    <t>钻石供给</t>
  </si>
  <si>
    <t>资源供给</t>
  </si>
  <si>
    <t>热销</t>
  </si>
  <si>
    <t>weekcard_info</t>
  </si>
  <si>
    <t>activity_pack_id</t>
  </si>
  <si>
    <t>阶梯礼包</t>
  </si>
  <si>
    <t>ASMR礼包</t>
  </si>
  <si>
    <t>羁绊培养</t>
  </si>
  <si>
    <t>特惠</t>
  </si>
  <si>
    <t>1元翻倍礼包</t>
  </si>
  <si>
    <t>周卡</t>
  </si>
  <si>
    <t>公司助力</t>
  </si>
  <si>
    <t>小屋界面礼包</t>
  </si>
  <si>
    <t>免费礼包</t>
  </si>
  <si>
    <t>1元翻倍</t>
  </si>
  <si>
    <t>主界面动态展示</t>
  </si>
  <si>
    <t>礼包ID</t>
  </si>
  <si>
    <t>商品码</t>
  </si>
  <si>
    <t>折扣商品码</t>
  </si>
  <si>
    <t>PID</t>
  </si>
  <si>
    <t>折扣PID</t>
  </si>
  <si>
    <t>VIP经验</t>
  </si>
  <si>
    <t>价格EN</t>
  </si>
  <si>
    <t>价格TH</t>
  </si>
  <si>
    <t>折扣价格EN</t>
  </si>
  <si>
    <t>折扣价格TH</t>
  </si>
  <si>
    <t>礼包类型</t>
  </si>
  <si>
    <t>礼包名称EN</t>
  </si>
  <si>
    <t>礼包名称TH</t>
  </si>
  <si>
    <t>礼包面板描述EN</t>
  </si>
  <si>
    <t>礼包面板描述TH</t>
  </si>
  <si>
    <t>限购规则</t>
  </si>
  <si>
    <t>商城礼包栏位</t>
  </si>
  <si>
    <t>礼包子分类</t>
  </si>
  <si>
    <t>商城礼包排位</t>
  </si>
  <si>
    <t>上架时间</t>
  </si>
  <si>
    <t>下架时间</t>
  </si>
  <si>
    <t>折扣开始时间</t>
  </si>
  <si>
    <t>折扣结束时间</t>
  </si>
  <si>
    <t>商城礼包icon</t>
  </si>
  <si>
    <t>主界面按钮icon</t>
  </si>
  <si>
    <t>礼包内容</t>
  </si>
  <si>
    <t>每日奖励</t>
  </si>
  <si>
    <t>周卡天数</t>
  </si>
  <si>
    <t>折扣限购规则</t>
  </si>
  <si>
    <t>打折礼包内容</t>
  </si>
  <si>
    <t>生命周期上架时间</t>
  </si>
  <si>
    <t>生命周期下架时间</t>
  </si>
  <si>
    <t>是否特权礼包</t>
  </si>
  <si>
    <t>商城banner</t>
  </si>
  <si>
    <t>商城banner排序</t>
  </si>
  <si>
    <t>周卡banner</t>
  </si>
  <si>
    <t>备注</t>
  </si>
  <si>
    <t>策划配</t>
  </si>
  <si>
    <t>名称</t>
  </si>
  <si>
    <t>前两行说明请不要修改，不用填的列可以直接空着但不要删</t>
  </si>
  <si>
    <t>打折礼包需要填这列，不打折不填</t>
  </si>
  <si>
    <t>原价</t>
  </si>
  <si>
    <t>（非打折礼包可以不填）</t>
  </si>
  <si>
    <t>（此处需要使用道具的正式名称，不要用黑话）
格式：道具名字*数量+道具名字*数量</t>
  </si>
  <si>
    <t>（购买立得奖励请填在上一列礼包内容中）
只有周卡需要填，普通礼包不填</t>
  </si>
  <si>
    <t>（填写格式：n次 | 每天n次 | 每周n次 | 每月n次 | 不限）</t>
  </si>
  <si>
    <t>有要求可填，没要求策划会默认配置成商城礼包
1 商城礼包\\
2 推送礼包\\
3 主页礼包\\
4 阶梯礼包</t>
  </si>
  <si>
    <t>有要求可填，没要求策划会默认配置成推荐供给
1 推荐供给\\
2 特权供给\\
3 钻石供给
4 恋爱供给
5 周卡</t>
  </si>
  <si>
    <t>1 热卖
2 新手推荐
3 资源供给
4 羁绊培养
5 公司助力</t>
  </si>
  <si>
    <t>同一栏位，数字小的礼包排名靠前</t>
  </si>
  <si>
    <t>1 新品\\2 推荐\\3 热销\\4 特惠</t>
  </si>
  <si>
    <t>周卡需要填</t>
  </si>
  <si>
    <t>折扣价格商品码</t>
  </si>
  <si>
    <t>礼包价格</t>
  </si>
  <si>
    <t>ios价格</t>
  </si>
  <si>
    <t>折扣价格</t>
  </si>
  <si>
    <t>ios折扣价格</t>
  </si>
  <si>
    <t>中文名称</t>
  </si>
  <si>
    <t>礼包名称</t>
  </si>
  <si>
    <t>礼包面板描述</t>
  </si>
  <si>
    <t>RMB礼包分类</t>
  </si>
  <si>
    <t>折扣次数规则</t>
  </si>
  <si>
    <t>特权礼包购买条件</t>
  </si>
  <si>
    <t>banner排序</t>
  </si>
  <si>
    <t>这是什么活动？有什么备注</t>
  </si>
  <si>
    <t>Packid（策划填）</t>
  </si>
  <si>
    <t>paycode（策划填）</t>
  </si>
  <si>
    <t>折后paycode（策划填）</t>
  </si>
  <si>
    <t>Product ID</t>
  </si>
  <si>
    <t>Product ID
（打折后）</t>
  </si>
  <si>
    <t>谷歌充值经验</t>
  </si>
  <si>
    <t>IOS充值经验</t>
  </si>
  <si>
    <t>国服价格</t>
  </si>
  <si>
    <t>售价
（谷歌，NT$）</t>
  </si>
  <si>
    <t>售价
（IOS，NT$）</t>
  </si>
  <si>
    <t>折扣售价
（谷歌，NT$）</t>
  </si>
  <si>
    <t>折扣售价
（IOS，NT$）</t>
  </si>
  <si>
    <t>礼包名称（简）</t>
  </si>
  <si>
    <t>礼包名称（繁）</t>
  </si>
  <si>
    <t>礼包说明（繁）</t>
  </si>
  <si>
    <t>内容 （繁）</t>
  </si>
  <si>
    <t>周卡每日奖励</t>
  </si>
  <si>
    <t>限购次数</t>
  </si>
  <si>
    <t>備註</t>
  </si>
  <si>
    <t>主界面礼包</t>
  </si>
  <si>
    <t>com.papegames.evol.kr.release.1dollar_2</t>
  </si>
  <si>
    <t>限时特惠-6元购</t>
  </si>
  <si>
    <t>특별 할인-천원팩</t>
  </si>
  <si>
    <t>星河许愿券*2</t>
  </si>
  <si>
    <t>5次</t>
  </si>
  <si>
    <t>钻石周卡（7天）</t>
  </si>
  <si>
    <t>루비 7일권</t>
  </si>
  <si>
    <t>钻石*300</t>
  </si>
  <si>
    <t>钻石*100</t>
  </si>
  <si>
    <t>3次</t>
  </si>
  <si>
    <t>com.papegames.evol.kr.release.sp2_3</t>
  </si>
  <si>
    <t>雾尽新晨礼包</t>
  </si>
  <si>
    <t>안개끝의아침팩</t>
  </si>
  <si>
    <t>그와 함께 짙은 안개 속에서 새벽빛을 맞이하는 소원을 빌어보아요.</t>
  </si>
  <si>
    <t>星河许愿券*10</t>
  </si>
  <si>
    <t>1次</t>
  </si>
  <si>
    <t>com.papegames.evol.kr.release.sp2_2</t>
  </si>
  <si>
    <t>深暮魅影礼包</t>
  </si>
  <si>
    <t>황혼의그림자팩</t>
  </si>
  <si>
    <t>어둠이 드리운 숲 속에 어떤 신기한 전설이 있을까요?</t>
  </si>
  <si>
    <t>星河许愿券*20</t>
  </si>
  <si>
    <t>com.papegames.evol.kr.release.summerpack_3</t>
  </si>
  <si>
    <t>浪漫约会礼包</t>
  </si>
  <si>
    <t>낭만데이트팩</t>
  </si>
  <si>
    <t>데이트를 오픈할 수 있는 유일한 열쇠.</t>
  </si>
  <si>
    <t>羁绊诺言*72</t>
  </si>
  <si>
    <t>4次</t>
  </si>
  <si>
    <t>解锁时光礼包</t>
  </si>
  <si>
    <t>추억소환팩</t>
  </si>
  <si>
    <t>시간이 당신을 위해 준비한 보물을 열어보세요.</t>
  </si>
  <si>
    <t>时光解锁券*98</t>
  </si>
  <si>
    <t>不限</t>
  </si>
  <si>
    <t>折扣礼包</t>
  </si>
  <si>
    <t>体力礼包</t>
  </si>
  <si>
    <t>강력하트팩</t>
  </si>
  <si>
    <t>2020/11/6 5:00:00
2020/11/20 5:00:00</t>
  </si>
  <si>
    <t>2020/11/08 23:59
2020/11/22 23:59:00</t>
  </si>
  <si>
    <t>体力*400+钻石*100</t>
  </si>
  <si>
    <t>每天3次</t>
  </si>
  <si>
    <t>超能体力礼包</t>
  </si>
  <si>
    <t>초강력하트팩</t>
  </si>
  <si>
    <t>体力*2000+钻石*200</t>
  </si>
  <si>
    <t>金币礼包</t>
  </si>
  <si>
    <t>특가골드팩</t>
  </si>
  <si>
    <t>2020/10/30 5:00:00
2020/11/13 5:00:00</t>
  </si>
  <si>
    <t>2020/11/1 23:59
2020/11/15 23:59:00</t>
  </si>
  <si>
    <t>金币*40000+钻石*100</t>
  </si>
  <si>
    <t>奢华金币</t>
  </si>
  <si>
    <t>호화골드팩</t>
  </si>
  <si>
    <t>金币*200000+钻石*200</t>
  </si>
  <si>
    <t>经验礼包</t>
  </si>
  <si>
    <t>초특가경험치팩</t>
  </si>
  <si>
    <t>告白心愿*10+钻石*100</t>
  </si>
  <si>
    <t>经验提升礼包</t>
  </si>
  <si>
    <t>경험치팩</t>
  </si>
  <si>
    <t>告白心愿*40+牵绊心愿*40+钻石*200</t>
  </si>
  <si>
    <t>国服配置路径：选择到excel_config文件夹</t>
  </si>
  <si>
    <t>常驻R卡</t>
  </si>
  <si>
    <t>活动R卡</t>
  </si>
  <si>
    <t>SR卡</t>
  </si>
  <si>
    <t>SSR/SP卡</t>
  </si>
  <si>
    <t>守护羁绊1</t>
  </si>
  <si>
    <t>守护羁绊2</t>
  </si>
  <si>
    <t>任务编号</t>
  </si>
  <si>
    <t>任务羁绊1</t>
  </si>
  <si>
    <t>任务羁绊2</t>
  </si>
  <si>
    <t>任务羁绊3</t>
  </si>
  <si>
    <t>任务羁绊4</t>
  </si>
  <si>
    <t>进阶
方案</t>
  </si>
  <si>
    <t>升星
方案</t>
  </si>
  <si>
    <t>属性
方案</t>
  </si>
  <si>
    <t>主属性</t>
  </si>
  <si>
    <t>副属性</t>
  </si>
  <si>
    <t>三属性</t>
  </si>
  <si>
    <t>四属性</t>
  </si>
  <si>
    <t>属性顺序</t>
  </si>
  <si>
    <t>升华
方案</t>
  </si>
  <si>
    <t>道具1</t>
  </si>
  <si>
    <t>星级</t>
  </si>
  <si>
    <t>金币消耗</t>
  </si>
  <si>
    <t>道具
消耗</t>
  </si>
  <si>
    <t>普通卡奖励</t>
  </si>
  <si>
    <t>主线卡奖励</t>
  </si>
  <si>
    <t>西月国模板</t>
  </si>
  <si>
    <t>普攻</t>
  </si>
  <si>
    <t>主动技</t>
  </si>
  <si>
    <t>被动技</t>
  </si>
  <si>
    <t>初始
能量</t>
  </si>
  <si>
    <t>属性
模板</t>
  </si>
  <si>
    <t>定位</t>
  </si>
  <si>
    <t>物法</t>
  </si>
  <si>
    <t>品质</t>
  </si>
  <si>
    <t>初始
属性</t>
  </si>
  <si>
    <t>升级
属性</t>
  </si>
  <si>
    <t>进化消耗</t>
  </si>
  <si>
    <t>等级</t>
  </si>
  <si>
    <t>技能</t>
  </si>
  <si>
    <t>分解奖励</t>
  </si>
  <si>
    <t>升星行数</t>
  </si>
  <si>
    <t>西月国属性</t>
  </si>
  <si>
    <t>合成金币</t>
  </si>
  <si>
    <t>合成碎片</t>
  </si>
  <si>
    <t>升华</t>
  </si>
  <si>
    <t>SER合成参数</t>
  </si>
  <si>
    <t>约会阶段</t>
  </si>
  <si>
    <t>约会奖励</t>
  </si>
  <si>
    <t>SP进阶参数</t>
  </si>
  <si>
    <t>进化代币</t>
  </si>
  <si>
    <t>碎片数</t>
  </si>
  <si>
    <t>进化道具</t>
  </si>
  <si>
    <t>道具数量</t>
  </si>
  <si>
    <t>等级需求</t>
  </si>
  <si>
    <t>等级上限</t>
  </si>
  <si>
    <t>属性</t>
  </si>
  <si>
    <t>卡面变化</t>
  </si>
  <si>
    <t>ER进阶参数</t>
  </si>
  <si>
    <t>4段消耗</t>
  </si>
  <si>
    <t>4段属性</t>
  </si>
  <si>
    <t>3段消耗</t>
  </si>
  <si>
    <t>3段属性</t>
  </si>
  <si>
    <t>SER初始属性</t>
  </si>
  <si>
    <t>升星间隔</t>
  </si>
  <si>
    <t>列间隔</t>
  </si>
  <si>
    <t>行间隔</t>
  </si>
  <si>
    <t>ER升华</t>
  </si>
  <si>
    <t>蓝</t>
  </si>
  <si>
    <t>橙</t>
  </si>
  <si>
    <t>粉</t>
  </si>
  <si>
    <t>绿</t>
  </si>
  <si>
    <t>新手送</t>
  </si>
  <si>
    <t>蓝橙粉</t>
  </si>
  <si>
    <t>100001,1,2000:</t>
  </si>
  <si>
    <t>100030,101,0</t>
  </si>
  <si>
    <t>100036,101,0</t>
  </si>
  <si>
    <t>李泽言防御1</t>
  </si>
  <si>
    <t>5:5</t>
  </si>
  <si>
    <t>100028,28,1</t>
  </si>
  <si>
    <t>,101,5</t>
  </si>
  <si>
    <t>合成消耗</t>
  </si>
  <si>
    <t>119243,101,2</t>
  </si>
  <si>
    <t>120002,101,2</t>
  </si>
  <si>
    <t>第一季</t>
  </si>
  <si>
    <t>免费</t>
  </si>
  <si>
    <t>蓝橙绿</t>
  </si>
  <si>
    <t>100001,1,5000:</t>
  </si>
  <si>
    <t>100030,101,2</t>
  </si>
  <si>
    <t>100036,101,2</t>
  </si>
  <si>
    <t>李泽言群攻1</t>
  </si>
  <si>
    <t>10:10</t>
  </si>
  <si>
    <t>100028,28,2</t>
  </si>
  <si>
    <t>,101,10</t>
  </si>
  <si>
    <t>还原消耗</t>
  </si>
  <si>
    <t>0,1,10000</t>
  </si>
  <si>
    <t>0,1,4000</t>
  </si>
  <si>
    <t>100001,1,60000</t>
  </si>
  <si>
    <t>0,28,28</t>
  </si>
  <si>
    <t>0,28,50</t>
  </si>
  <si>
    <t>1xx前期</t>
  </si>
  <si>
    <t>小额钻卡</t>
  </si>
  <si>
    <t>蓝粉橙</t>
  </si>
  <si>
    <t>100001,1,15000:</t>
  </si>
  <si>
    <t>100030,101,4</t>
  </si>
  <si>
    <t>100036,101,4</t>
  </si>
  <si>
    <t>李泽言控场1</t>
  </si>
  <si>
    <t>100001,1,30000:100028,28,64</t>
  </si>
  <si>
    <t>20:40</t>
  </si>
  <si>
    <t>100028,28,12:119069,101,2</t>
  </si>
  <si>
    <t>,101,30</t>
  </si>
  <si>
    <t>等级返还</t>
  </si>
  <si>
    <t>50:120003,101,0|51:120003,101,6|52:120003,101,12|53:120003,101,18|54:120003,101,25|55:120003,101,32|56:120003,101,39|57:120003,101,47|58:120003,101,55|59:120003,101,63|60:120003,101,72</t>
  </si>
  <si>
    <t>100028,28,5</t>
  </si>
  <si>
    <t>0,28,42</t>
  </si>
  <si>
    <t>0,28,74</t>
  </si>
  <si>
    <t>1xx第二季</t>
  </si>
  <si>
    <t>钻石卡</t>
  </si>
  <si>
    <t>蓝粉绿</t>
  </si>
  <si>
    <t>100001,1,30000:</t>
  </si>
  <si>
    <t>100030,101,6</t>
  </si>
  <si>
    <t>100036,101,5</t>
  </si>
  <si>
    <t>李泽言单攻1</t>
  </si>
  <si>
    <t>100001,1,60000:100028,28,128</t>
  </si>
  <si>
    <t>30:50</t>
  </si>
  <si>
    <t>100028,28,24:119070,101,2</t>
  </si>
  <si>
    <t>,101,50</t>
  </si>
  <si>
    <t>星级返还</t>
  </si>
  <si>
    <t>6:119243,101,1|7:119243,101,1</t>
  </si>
  <si>
    <t>0,2,30</t>
  </si>
  <si>
    <t>0,28,54</t>
  </si>
  <si>
    <t>2xx前期</t>
  </si>
  <si>
    <t>新钻卡</t>
  </si>
  <si>
    <t>蓝绿橙</t>
  </si>
  <si>
    <t>100001,1,60000:</t>
  </si>
  <si>
    <t>100030,101,8</t>
  </si>
  <si>
    <t>100036,101,6</t>
  </si>
  <si>
    <t>李泽言防御2</t>
  </si>
  <si>
    <t>100001,1,120000:100028,28,256</t>
  </si>
  <si>
    <t>40:60</t>
  </si>
  <si>
    <t>100028,28,48:119071,101,2</t>
  </si>
  <si>
    <t>,101,80</t>
  </si>
  <si>
    <t>西月国等级</t>
  </si>
  <si>
    <t>0:0,339,0|1:0,339,95|2:0,339,205|3:0,339,325|4:0,339,455|5:0,339,600|6:0,339,830|7:0,339,1090|8:0,339,1380|9:0,339,1695|10:0,339,2040|11:0,339,2455|12:0,339,2925|13:0,339,3445|14:0,339,4015|15:0,339,4640|16:0,339,5310|17:0,339,6065|18:0,339,6905|19:0,339,7830|20:0,339,8840|21:0,339,9895|22:0,339,11085|23:0,339,12405|24:0,339,13855|25:0,339,15440|26:0,339,17110|27:0,339,18875|28:0,339,20730|29:0,339,22680|30:0,339,24720|31:0,339,26910|32:0,339,29155|33:0,339,31460|34:0,339,33820|35:0,339,36240|36:0,339,38825|37:0,339,41495|38:0,339,44245|39:0,339,47080|40:0,339,49995|41:0,339,53005|42:0,339,56110|43:0,339,59310|44:0,339,62605|45:0,339,65995|46:0,339,69455|47:0,339,73025|48:0,339,76705|49:0,339,80495|50:0,339,84395</t>
  </si>
  <si>
    <t>100061,101,1</t>
  </si>
  <si>
    <t>2xx第二季</t>
  </si>
  <si>
    <t>蓝绿粉</t>
  </si>
  <si>
    <t>100001,1,90000:</t>
  </si>
  <si>
    <t>100030,101,12</t>
  </si>
  <si>
    <t>100036,101,8</t>
  </si>
  <si>
    <t>李泽言辅助1</t>
  </si>
  <si>
    <t>,101,80:119071,101,2</t>
  </si>
  <si>
    <t>西月国升阶</t>
  </si>
  <si>
    <t>0:111141,101,0|1:111141,101,24;111142,101,3;111143,101,3|2:111141,101,72;111144,101,6;111145,101,6;111142,101,3;111143,101,3|3:111141,101,152;111146,101,10;111147,101,10;111144,101,6;111145,101,6;111142,101,3;111143,101,3|4:111141,101,272;111148,101,15;111149,101,15;111146,101,10;111147,101,10;111144,101,6;111145,101,6;111142,101,3;111143,101,3|5:111141,101,448;111150,101,22;111151,101,22;111148,101,15;111149,101,15;111146,101,10;111147,101,10;111144,101,6;111145,101,6;111142,101,3;111143,101,3|6:111141,101,680;111152,101,29;111153,101,29;111150,101,22;111151,101,22;111148,101,15;111149,101,15;111146,101,10;111147,101,10;111144,101,6;111145,101,6;111142,101,3;111143,101,3|7:111141,101,968;111154,101,36;111155,101,36;111152,101,29;111153,101,29;111150,101,22;111151,101,22;111148,101,15;111149,101,15;111146,101,10;111147,101,10;111144,101,6;111145,101,6;111142,101,3;111143,101,3|8:111141,101,1312;111156,101,43;111157,101,43;111154,101,36;111155,101,36;111152,101,29;111153,101,29;111150,101,22;111151,101,22;111148,101,15;111149,101,15;111146,101,10;111147,101,10;111144,101,6;111145,101,6;111142,101,3;111143,101,3|9:111141,101,1712;111158,101,50;111159,101,50;111156,101,43;111157,101,43;111154,101,36;111155,101,36;111152,101,29;111153,101,29;111150,101,22;111151,101,22;111148,101,15;111149,101,15;111146,101,10;111147,101,10;111144,101,6;111145,101,6;111142,101,3;111143,101,3</t>
  </si>
  <si>
    <t>100066,101,20</t>
  </si>
  <si>
    <t>SSR主线卡，钻石副本卡</t>
  </si>
  <si>
    <t>橙蓝粉</t>
  </si>
  <si>
    <t>100030,101,15</t>
  </si>
  <si>
    <t>100036,101,12</t>
  </si>
  <si>
    <t>李泽言辅助2</t>
  </si>
  <si>
    <t>20:50</t>
  </si>
  <si>
    <t>100028,28,24:119243,101,2</t>
  </si>
  <si>
    <t>100001,1,40000:</t>
  </si>
  <si>
    <t>,101,60</t>
  </si>
  <si>
    <t>100066,101,30</t>
  </si>
  <si>
    <t>橙蓝绿</t>
  </si>
  <si>
    <t>李泽言单攻2</t>
  </si>
  <si>
    <t>60:60</t>
  </si>
  <si>
    <t>100066,101,40</t>
  </si>
  <si>
    <t>其他累充卡</t>
  </si>
  <si>
    <t>橙粉蓝</t>
  </si>
  <si>
    <t>李泽言群攻2</t>
  </si>
  <si>
    <t>100066,101,50</t>
  </si>
  <si>
    <t>橙粉绿</t>
  </si>
  <si>
    <t>李泽言控场2</t>
  </si>
  <si>
    <t>100066,101,60</t>
  </si>
  <si>
    <t>橙绿蓝</t>
  </si>
  <si>
    <t>许墨防御1</t>
  </si>
  <si>
    <t>100066,101,80</t>
  </si>
  <si>
    <t>橙绿粉</t>
  </si>
  <si>
    <t>许墨辅助1</t>
  </si>
  <si>
    <t>粉蓝橙</t>
  </si>
  <si>
    <t>许墨群攻1</t>
  </si>
  <si>
    <t>粉蓝绿</t>
  </si>
  <si>
    <t>许墨单攻1</t>
  </si>
  <si>
    <t>粉橙蓝</t>
  </si>
  <si>
    <t>许墨防御2</t>
  </si>
  <si>
    <t>粉橙绿</t>
  </si>
  <si>
    <t>许墨控场1</t>
  </si>
  <si>
    <t>氪金卡</t>
  </si>
  <si>
    <t>粉绿蓝</t>
  </si>
  <si>
    <t>许墨控场2</t>
  </si>
  <si>
    <t>粉绿橙</t>
  </si>
  <si>
    <t>许墨单攻2</t>
  </si>
  <si>
    <t>绿蓝橙</t>
  </si>
  <si>
    <t>许墨辅助2</t>
  </si>
  <si>
    <t>绿蓝粉</t>
  </si>
  <si>
    <t>许墨群攻2</t>
  </si>
  <si>
    <t>绿橙蓝</t>
  </si>
  <si>
    <t>周棋洛防御1</t>
  </si>
  <si>
    <t>绿橙粉</t>
  </si>
  <si>
    <t>周棋洛辅助1</t>
  </si>
  <si>
    <t>绿粉蓝</t>
  </si>
  <si>
    <t>周棋洛控场1</t>
  </si>
  <si>
    <t>绿粉橙</t>
  </si>
  <si>
    <t>周棋洛单攻1</t>
  </si>
  <si>
    <t>周棋洛防御2</t>
  </si>
  <si>
    <t>周棋洛群攻1</t>
  </si>
  <si>
    <t>周棋洛辅助2</t>
  </si>
  <si>
    <t>周棋洛单攻2</t>
  </si>
  <si>
    <t>周棋洛控场2</t>
  </si>
  <si>
    <t>周棋洛群攻2</t>
  </si>
  <si>
    <t>白起防御1</t>
  </si>
  <si>
    <t>白起辅助1</t>
  </si>
  <si>
    <t>白起控场1</t>
  </si>
  <si>
    <t>白起单攻1</t>
  </si>
  <si>
    <t>白起防御2</t>
  </si>
  <si>
    <t>白起群攻1</t>
  </si>
  <si>
    <t>白起控场2</t>
  </si>
  <si>
    <t>白起单攻2</t>
  </si>
  <si>
    <t>白起辅助2</t>
  </si>
  <si>
    <t>白起群攻2</t>
  </si>
  <si>
    <t>凌肖群攻1</t>
  </si>
  <si>
    <t>凌肖群攻2</t>
  </si>
  <si>
    <t>凌肖群攻3</t>
  </si>
  <si>
    <t>N/NH卡物理</t>
  </si>
  <si>
    <t>N/NH卡法术</t>
  </si>
  <si>
    <t>python文件夹</t>
  </si>
  <si>
    <t xml:space="preserve">活动
</t>
  </si>
  <si>
    <t xml:space="preserve">数据迁移
</t>
  </si>
  <si>
    <t>捞文本配置</t>
  </si>
  <si>
    <t>卡牌数据迁移</t>
  </si>
  <si>
    <t>卡牌本地化解析</t>
  </si>
  <si>
    <t xml:space="preserve">礼包
</t>
  </si>
  <si>
    <t>礼包参数配置</t>
  </si>
  <si>
    <t>东南亚礼包</t>
  </si>
  <si>
    <t>韩服礼包</t>
  </si>
  <si>
    <t>日服礼包</t>
  </si>
  <si>
    <t>台服礼包</t>
  </si>
  <si>
    <t>欧美礼包</t>
  </si>
  <si>
    <t>越南礼包</t>
  </si>
  <si>
    <t xml:space="preserve">24小时
</t>
  </si>
  <si>
    <t>24小时数据生成</t>
  </si>
  <si>
    <t xml:space="preserve">资源
</t>
  </si>
  <si>
    <t>资源迁移</t>
  </si>
  <si>
    <t>下载列表生成</t>
  </si>
  <si>
    <t>资源检查&amp;修改</t>
  </si>
  <si>
    <t xml:space="preserve">卡牌生成
</t>
  </si>
  <si>
    <t>数据有效性</t>
  </si>
  <si>
    <t>卡牌生成</t>
  </si>
  <si>
    <t>卡牌QA</t>
  </si>
  <si>
    <t>卡牌数值</t>
  </si>
  <si>
    <t>brand</t>
  </si>
  <si>
    <t>宠物</t>
  </si>
  <si>
    <t>宠物标签</t>
  </si>
  <si>
    <t>宠物有效性</t>
  </si>
  <si>
    <t>宠物模型</t>
  </si>
  <si>
    <t>阿尘</t>
  </si>
  <si>
    <t>赤城</t>
  </si>
  <si>
    <t>红豆</t>
  </si>
  <si>
    <t>娉娉</t>
  </si>
  <si>
    <t>爱丽</t>
  </si>
  <si>
    <t>毛球</t>
  </si>
  <si>
    <t>心铭</t>
  </si>
  <si>
    <t>label_type</t>
  </si>
  <si>
    <t>get_type</t>
  </si>
  <si>
    <t>name</t>
  </si>
  <si>
    <t>color</t>
  </si>
  <si>
    <t>exclusive_group</t>
  </si>
  <si>
    <t>group_name</t>
  </si>
  <si>
    <t>label_depend</t>
  </si>
  <si>
    <t>标签分类</t>
  </si>
  <si>
    <t>获得方式</t>
  </si>
  <si>
    <t>标签名</t>
  </si>
  <si>
    <t>背景色</t>
  </si>
  <si>
    <t>互斥组</t>
  </si>
  <si>
    <t>互斥组名</t>
  </si>
  <si>
    <t>依赖标签</t>
  </si>
  <si>
    <t>猫猫</t>
  </si>
  <si>
    <t>物种</t>
  </si>
  <si>
    <t>狗狗</t>
  </si>
  <si>
    <t>田园</t>
  </si>
  <si>
    <t>品种</t>
  </si>
  <si>
    <t>狸花</t>
  </si>
  <si>
    <t>毛色</t>
  </si>
  <si>
    <t>奶牛</t>
  </si>
  <si>
    <t>大橘</t>
  </si>
  <si>
    <t>瞳色</t>
  </si>
  <si>
    <t>半指手套</t>
  </si>
  <si>
    <t>中筒袜</t>
  </si>
  <si>
    <t>好多手套</t>
  </si>
  <si>
    <t>尾巴</t>
  </si>
  <si>
    <t>媒婆痣</t>
  </si>
  <si>
    <t>痣</t>
  </si>
  <si>
    <t>嘴巴腮红</t>
  </si>
  <si>
    <t>嘴巴腮</t>
  </si>
  <si>
    <t>性格</t>
  </si>
  <si>
    <t>食性</t>
  </si>
  <si>
    <t>性别</t>
  </si>
  <si>
    <t>card_name</t>
  </si>
  <si>
    <t>card_rare</t>
  </si>
  <si>
    <t>special_sprare_tags</t>
  </si>
  <si>
    <t>card_get</t>
  </si>
  <si>
    <t>male_role_id</t>
  </si>
  <si>
    <t>card_achieve_rewards</t>
  </si>
  <si>
    <t>card_tag</t>
  </si>
  <si>
    <t>handbook_time</t>
  </si>
  <si>
    <t>engagement_type</t>
  </si>
  <si>
    <t>engagement_list</t>
  </si>
  <si>
    <t>engagement_demo_id</t>
  </si>
  <si>
    <t>engagement_demo_start</t>
  </si>
  <si>
    <t>engagement_demo_end</t>
  </si>
  <si>
    <t>type_judge</t>
  </si>
  <si>
    <t>fullshow_offset</t>
  </si>
  <si>
    <t>skip</t>
  </si>
  <si>
    <t>升星短电朋</t>
  </si>
  <si>
    <t>进化短电朋</t>
  </si>
  <si>
    <t>喊话</t>
  </si>
  <si>
    <t>ER卡属性调整</t>
  </si>
  <si>
    <t>属性方案</t>
  </si>
  <si>
    <t>升星方案</t>
  </si>
  <si>
    <t>进阶方案</t>
  </si>
  <si>
    <t>周棋洛发色</t>
  </si>
  <si>
    <t>ER卡进阶剧情</t>
  </si>
  <si>
    <t>ER卡进阶次数</t>
  </si>
  <si>
    <t>SP卡面技术</t>
  </si>
  <si>
    <t>SP卡面二阶段选项变化</t>
  </si>
  <si>
    <t>约会标题</t>
  </si>
  <si>
    <t>约会好感需求</t>
  </si>
  <si>
    <t>约会短电朋掉落阶段</t>
  </si>
  <si>
    <t>约会短电朋</t>
  </si>
  <si>
    <t>约会描述</t>
  </si>
  <si>
    <t>约会日记1</t>
  </si>
  <si>
    <t>约会日记2</t>
  </si>
  <si>
    <t>约会日记3</t>
  </si>
  <si>
    <t>约会日记4</t>
  </si>
  <si>
    <t>约会日记5</t>
  </si>
  <si>
    <t>特殊卡面1</t>
  </si>
  <si>
    <t>特殊卡面2</t>
  </si>
  <si>
    <t>李泽言·漫言日长</t>
  </si>
  <si>
    <t>0,馥郁日光活动获得</t>
  </si>
  <si>
    <t>1370,253,1</t>
  </si>
  <si>
    <t>2021/7/1 5:00</t>
  </si>
  <si>
    <t>1151,252,1</t>
  </si>
  <si>
    <t>有些事，你不需要很快给我回答。</t>
  </si>
  <si>
    <t>华锐参加了面向中小学生的企业文化展，我作为志愿者也参与其中。我和李泽言在展会的咖啡馆“摸鱼”时碰到了两个小朋友，恶作剧之心的驱使下，我在他们面前假扮自己是李泽言的上司，却被他反将了一军……</t>
  </si>
  <si>
    <t>我作为志愿者参与了华锐的企业文化展。休息时间，李泽言带我到咖啡馆吃点心，并参加了相关的小活动，李泽言却在这时对我开了一个小小的玩笑……</t>
  </si>
  <si>
    <t>我们意外和两个小朋友坐在了一桌，我临时起意，在他们面前扮演起了李泽言的上司，而李泽言三言两语就拿回了“总裁”的话语权。</t>
  </si>
  <si>
    <t>展览结束后，我们决定步行去餐厅，路上李泽言向我解释了他关于“人生只有一次”的想法，我感慨万分，并且对他小时候的梦想产生了好奇。</t>
  </si>
  <si>
    <t>许墨·梅子青时</t>
  </si>
  <si>
    <t>0,四季同行活动限定</t>
  </si>
  <si>
    <t>2374,253,1</t>
  </si>
  <si>
    <t>2021/6/25 5:00</t>
  </si>
  <si>
    <t>140431,251,1</t>
  </si>
  <si>
    <t>2375,252,1</t>
  </si>
  <si>
    <t>一川烟草，满城风絮，闲情都几许。</t>
  </si>
  <si>
    <t>山野之约</t>
  </si>
  <si>
    <t>许墨要去山里回访小朋友，顺便带为节目苦恼的我一起去走走。在回访顺利结束后，我们听小朋友的奶奶提及山里的青梅林。尽管听说已经下市，我和许墨还是决定去碰碰运气，走到另一座山头后却有了意外的收获……</t>
  </si>
  <si>
    <t>周六一早，我和许墨共同出发去山野。针对一年前的“山野儿童心理资助”项目，许墨今日要去回访遥遥，一个之前因太内向被欺负而害怕上学的小女孩。我很好奇遥遥的现状，许墨让我自己亲眼去验证结果。</t>
  </si>
  <si>
    <t>没想到遥遥现在变得很开朗，而这些都得益于许墨和他的同事所进行的心理引导。遥遥现在已经学会了肯定自己，许墨只需要定期回访就行。任务已完成，许墨问我打算先去哪儿转转，遥遥的奶奶却热情地招呼我们一起吃饭。</t>
  </si>
  <si>
    <t>山里盛产青梅，奶奶拿出了自己泡的青梅酒招待我们，我很喜欢这样酸甜辣爽的口感，也想亲手摘青梅，但奶奶说一个礼拜前青梅都下市了。吃完饭，许墨提议照旧去青梅林走走，但果子果然都已经没有了。我们在溪水边休息了一会儿，趁许墨不注意我悄悄洒了点水在他脸上。</t>
  </si>
  <si>
    <t>许墨说，也许溪水流过来的另一座山头也会有青梅，我们决定继续往前走，没想到下一个山头竟然真的有野生的青梅果子。我兴奋地和许墨一起采摘，这样惬意的午后我感觉很惬意也很安宁，也令原本对节目苦恼的我有了新的感悟和启发……</t>
  </si>
  <si>
    <t>周棋洛·星星软糖</t>
  </si>
  <si>
    <t>0,步履不停活动限定</t>
  </si>
  <si>
    <t>3144,252,1</t>
  </si>
  <si>
    <t>3380,253,1</t>
  </si>
  <si>
    <t>3145,252,1</t>
  </si>
  <si>
    <t>我会成为你的夏天。</t>
  </si>
  <si>
    <t>采声之约</t>
  </si>
  <si>
    <t>周棋洛最近在创作新曲，为了在里面加入更特别的元素，我们来到一个远离喧嚣的村庄准备采集声音。</t>
  </si>
  <si>
    <t>周棋洛最近在创作新曲，为了在里面加入更特别的元素，我们来到一个远离喧嚣的村庄来采集声音。但在半途中就遇见乡村恶霸——鹅老大，它不仅拦住我们的去路，还叫嚣地拍着翅膀……</t>
  </si>
  <si>
    <t>但没想到的是，鹅老大最后竟然拜倒在了“摸头杀”下，周棋洛说没有人能抵挡得了“摸头杀”，为了证明什么，他轻轻低下头似乎在向我发出最真挚的邀请。</t>
  </si>
  <si>
    <t>我们正式开启了采声之行，周棋洛还带上了新歌的“主人公”瓷娃娃，他认为既然这首歌是表达了要去寻找曾经失落的“碎片”，这个娃娃当然不能缺席。</t>
  </si>
  <si>
    <t>我们回去的路上发现后院还有一个小水池，为了消减热意，我们走了进去。在我聊天的中他忽然有了一个新的灵感，他说其实我们可以用身边的美好，重新装饰，变成现在的自己，也是更好的自己。</t>
  </si>
  <si>
    <t>0,活动限定</t>
  </si>
  <si>
    <t>2021/7/8 5:00</t>
  </si>
  <si>
    <t>占位</t>
  </si>
  <si>
    <t>白起·消凉</t>
  </si>
  <si>
    <t>0,2021年7月签到奖励</t>
  </si>
  <si>
    <t>4341,253,1</t>
  </si>
  <si>
    <t>再炎热的夏天，风都会在你身边。</t>
  </si>
  <si>
    <t>0,暂无来源</t>
  </si>
  <si>
    <t>2038/1/1 00:00</t>
  </si>
  <si>
    <t>10177:1574:2310:8158</t>
  </si>
  <si>
    <t>1831:224:459:1384</t>
  </si>
  <si>
    <t>8984:422:4477:8334</t>
  </si>
  <si>
    <t>1769:192:609:1337</t>
  </si>
  <si>
    <t>6867:5068:2310:7973</t>
  </si>
  <si>
    <t>1261:640:291:1716</t>
  </si>
  <si>
    <t>5254:5529:6040:5393</t>
  </si>
  <si>
    <t>444:1191:1615:657</t>
  </si>
  <si>
    <t>6406:5346:6501:3966</t>
  </si>
  <si>
    <t>1236:654:1639:377</t>
  </si>
  <si>
    <t>5254:2589:6679:7694</t>
  </si>
  <si>
    <t>649:305:1251:1702</t>
  </si>
  <si>
    <t>7142:3967:7140:3966</t>
  </si>
  <si>
    <t>1673:582:1275:377</t>
  </si>
  <si>
    <t>6406:422:6504:8888</t>
  </si>
  <si>
    <t>709:192:1242:1764</t>
  </si>
  <si>
    <t>5254:1574:6499:8892</t>
  </si>
  <si>
    <t>649:252:1241:1764</t>
  </si>
  <si>
    <t>5254:4149:7420:5393</t>
  </si>
  <si>
    <t>649:387:1687:1184</t>
  </si>
  <si>
    <t>8981:4793:2310:6133</t>
  </si>
  <si>
    <t>1769:625:291:1222</t>
  </si>
  <si>
    <t>凌肖·任晴雨肆意</t>
  </si>
  <si>
    <t>0,任晴雨肆意活动限定</t>
  </si>
  <si>
    <t>6210,253,1</t>
  </si>
  <si>
    <t>2021/6/16 5:00</t>
  </si>
  <si>
    <t>140429,251,1</t>
  </si>
  <si>
    <t>8046,252,1</t>
  </si>
  <si>
    <t>我决定好要怎么跟你在一起了。</t>
  </si>
  <si>
    <t>夏至之约</t>
  </si>
  <si>
    <t>我和凌肖原本计划的生日活动被一场博物馆科普活动所打乱，不过也因为这一场活动，我见到了凌肖的另一面……</t>
  </si>
  <si>
    <t>听说凌肖已经从外地回来，我一大早就前往他家，想和他一起在滑板场度过他的生日，没想到凌肖却突然有事，并不在家，他会在哪里呢……</t>
  </si>
  <si>
    <t>凌肖居然在博物馆当起了一日志愿者，而且还带着一帮小朋友！我第一次见到这样的凌肖，感觉好新奇，似乎对他的了解又变化了一点……</t>
  </si>
  <si>
    <t>凌肖是真的很喜欢他的专业，也很喜欢历史吧？他在讲解那些文物时的神采，比他滑板涂鸦弹贝斯时更加耀眼。结束志愿者活动后，我突发奇想，想为凌肖盖个章，结果一不小心盖错了地方，尴尬了……</t>
  </si>
  <si>
    <t>终于来到了滑板场，我本想向凌肖证明一下自己这段时间练习的成果，没想到还是摔了一跤，不过万幸的是，我的生日计划还在顺利推进，甚至还被凌肖要走了“计划外”的礼物……</t>
  </si>
  <si>
    <t>凌肖·玲珑藏心</t>
  </si>
  <si>
    <t>6211,253,1</t>
  </si>
  <si>
    <t>6212,253,1</t>
  </si>
  <si>
    <t>我找到的东西，就是我的。</t>
  </si>
  <si>
    <t>李泽言·余澜</t>
  </si>
  <si>
    <t>0,记忆回廊活动限定</t>
  </si>
  <si>
    <t>1149,252,1</t>
  </si>
  <si>
    <t>2021/6/3 5:00</t>
  </si>
  <si>
    <t>1366,253,1</t>
  </si>
  <si>
    <t>1150,252,1</t>
  </si>
  <si>
    <t>我不需要对除她以外的人坦白什么。</t>
  </si>
  <si>
    <t>许墨·偏离</t>
  </si>
  <si>
    <t>2145,252,1</t>
  </si>
  <si>
    <t>2368,253,1</t>
  </si>
  <si>
    <t>2146,252,1</t>
  </si>
  <si>
    <t>我想要的结果，只有一个。</t>
  </si>
  <si>
    <t>周棋洛·碎裂无声</t>
  </si>
  <si>
    <t>3142,252,1</t>
  </si>
  <si>
    <t>3375,253,1</t>
  </si>
  <si>
    <t>3143,252,1</t>
  </si>
  <si>
    <t>还有更重要的事在等着我。</t>
  </si>
  <si>
    <t>白起·岔口</t>
  </si>
  <si>
    <t>4146,252,1</t>
  </si>
  <si>
    <t>4375,253,1</t>
  </si>
  <si>
    <t>4147,252,1</t>
  </si>
  <si>
    <t>你是我不向世界认输的理由。</t>
  </si>
  <si>
    <t>凌肖·肆无忌惮</t>
  </si>
  <si>
    <t>8047,252,1</t>
  </si>
  <si>
    <t>6209,253,1</t>
  </si>
  <si>
    <t>8048,252,1</t>
  </si>
  <si>
    <t>这一次，游戏规则该由我来定了。</t>
  </si>
  <si>
    <t>许墨·心窍</t>
  </si>
  <si>
    <t>0,每日充值活动限定</t>
  </si>
  <si>
    <t>2370,253,1</t>
  </si>
  <si>
    <t>2147,252,1</t>
  </si>
  <si>
    <t>你会像这样，一直追随着我的脚步吗？</t>
  </si>
  <si>
    <t>幻书之约</t>
  </si>
  <si>
    <t>许墨最近又忙了起来，我有些挂念就去了研究所想去找他。只是，他并不在那里，阿明也说他也有很多天没有见过许教授。我来到他的办公室里，桌面上摆放着他的手机和一本厚厚的书，我心里感到疑惑，许墨不应该会如此粗心大意。他刚离开没多久吗？还是说……</t>
  </si>
  <si>
    <t>许墨最近忙了起来，我有些挂念就去了研究所想去找他，没想到没找到许墨，竟然在他的桌面上找到了一本有些特别的书？！而一晃神的刹那，我竟发现自己身处一个欧洲古典风格的宅邸大厅里……</t>
  </si>
  <si>
    <t>面前名为“法斯伯爵”的人明显就是许墨，只不过他的一些行为和举止实在有些不像他的风格……难道许墨已经被书中的角色同化了吗？</t>
  </si>
  <si>
    <t>许墨向我讲述了一下关于这本书的神奇之处以及他多次研究的经历，我想起了阿明之前说过的话，突然觉得此时的许墨莫名的有些遥远。</t>
  </si>
  <si>
    <t>我向许墨诉说了自己心中所坚定的事，没想到这让我们从书中出来了，并写下了书中的结局。也许不论是“法斯伯爵”还是我们，故事都在继续。</t>
  </si>
  <si>
    <t>白起·炽盛</t>
  </si>
  <si>
    <t>4374,253,1</t>
  </si>
  <si>
    <t>4145,252,1</t>
  </si>
  <si>
    <t>翻越万水千山，我都在走向你。</t>
  </si>
  <si>
    <t>风浪之约</t>
  </si>
  <si>
    <t>最近半个月一直在不停加班的我，不得不拒绝了白起的几次邀约，眼看手头的项目终于就要彻底结束，我忽然被白起拉走，开启了一个猝不及防的旅途。</t>
  </si>
  <si>
    <t>最近一直在加班的我，终于要结束手上的工作。本想着过两天要将那些错过的邀约一一都补回来时，白起忽然出现在公司的电梯口，接着他拿上行李包拉着我离开了公司！</t>
  </si>
  <si>
    <t>等我反应过来时，我已经坐在了火车上。我很快意识到这是白起早就准备好的“突然袭击”，他将所有旅行的准备工作都做得相当完美，而且竟然还带来了我的办公电脑……！</t>
  </si>
  <si>
    <t>最后，我们终于到达了目的地——海边。却没想到白起不仅仅是带我来看海放松放松，还要带我一起驾驶帆船，途中我们遇上了风浪，但白起游刃有余地迎风前行，无所畏惧。</t>
  </si>
  <si>
    <t>我和白起一起躺在甲板上享受这片刻的宁静时光，我很开心白起能带我来到这里，扫去这半个月以来积攒的压力。可白起却告诉我，如果下一次我还遇到类似的情况，他还会像现在这样带我逃离压力的漩涡。</t>
  </si>
  <si>
    <t>许墨·破局心窍</t>
  </si>
  <si>
    <t>6041:5345:5301:5532</t>
  </si>
  <si>
    <t>1615:654:447:1191</t>
  </si>
  <si>
    <t>许墨·陷落心窍</t>
  </si>
  <si>
    <t>6217:4152:4149:7699</t>
  </si>
  <si>
    <t>1227:592:387:1702</t>
  </si>
  <si>
    <t>许墨·雨幕心窍</t>
  </si>
  <si>
    <t>5856:2035:8795:5532</t>
  </si>
  <si>
    <t>1208:276:1759:664</t>
  </si>
  <si>
    <t>许墨·拟扣心门心窍</t>
  </si>
  <si>
    <t>1849:2310:7694:10362</t>
  </si>
  <si>
    <t>254:480:1329:1841</t>
  </si>
  <si>
    <t>许墨·落日余温心窍</t>
  </si>
  <si>
    <t>3276:422:9256:9262</t>
  </si>
  <si>
    <t>504:164:1442:1784</t>
  </si>
  <si>
    <t>许墨·断线心窍</t>
  </si>
  <si>
    <t>1849:1574:9073:9723</t>
  </si>
  <si>
    <t>406:201:1478:1808</t>
  </si>
  <si>
    <t>许墨·自深深处心窍</t>
  </si>
  <si>
    <t>5577:422:6316:9901</t>
  </si>
  <si>
    <t>666:192:1232:1817</t>
  </si>
  <si>
    <t>许墨·梦仙林心窍</t>
  </si>
  <si>
    <t>6771:1574:4149:9726</t>
  </si>
  <si>
    <t>1255:252:592:1808</t>
  </si>
  <si>
    <t>许墨·独享况味心窍</t>
  </si>
  <si>
    <t>6775:422:5301:9721</t>
  </si>
  <si>
    <t>1256:192:652:1808</t>
  </si>
  <si>
    <t>许墨·私藏暇光心窍</t>
  </si>
  <si>
    <t>5393:5254:4149:7420</t>
  </si>
  <si>
    <t>1184:649:387:1687</t>
  </si>
  <si>
    <t>许墨·人潮漫卷心窍</t>
  </si>
  <si>
    <t>4016:4149:8520:5532</t>
  </si>
  <si>
    <t>380:592:1745:1191</t>
  </si>
  <si>
    <t>白起·风起时炽盛</t>
  </si>
  <si>
    <t>5532:3276:5529:7879</t>
  </si>
  <si>
    <t>1191:341:664:1711</t>
  </si>
  <si>
    <t>白起·锋刃炽盛</t>
  </si>
  <si>
    <t>5532:6041:5345:5301</t>
  </si>
  <si>
    <t>1191:1615:654:447</t>
  </si>
  <si>
    <t>白起·长夜星火炽盛</t>
  </si>
  <si>
    <t>7699:6217:4152:4149</t>
  </si>
  <si>
    <t>1702:1227:592:387</t>
  </si>
  <si>
    <t>白起·灿烂之年炽盛</t>
  </si>
  <si>
    <t>5532:5856:2035:8795</t>
  </si>
  <si>
    <t>664:1208:276:1759</t>
  </si>
  <si>
    <t>白起·无畏炽盛</t>
  </si>
  <si>
    <t>9723:1849:1574:9073</t>
  </si>
  <si>
    <t>1808:406:201:1478</t>
  </si>
  <si>
    <t>白起·留白心绪炽盛</t>
  </si>
  <si>
    <t>9260:3276:422:9258</t>
  </si>
  <si>
    <t>1783:504:164:1442</t>
  </si>
  <si>
    <t>白起·隐夜炽盛</t>
  </si>
  <si>
    <t>9901:5577:422:6316</t>
  </si>
  <si>
    <t>1817:666:192:1232</t>
  </si>
  <si>
    <t>白起·醉行歌炽盛</t>
  </si>
  <si>
    <t>9726:6771:1574:4149</t>
  </si>
  <si>
    <t>1808:1255:252:592</t>
  </si>
  <si>
    <t>白起·斑驳印记炽盛</t>
  </si>
  <si>
    <t>10362:1849:2310:7694</t>
  </si>
  <si>
    <t>1841:254:480:1329</t>
  </si>
  <si>
    <t>白起·私人记号炽盛</t>
  </si>
  <si>
    <t>9721:6775:422:5301</t>
  </si>
  <si>
    <t>1808:1256:192:652</t>
  </si>
  <si>
    <t>白起·银河来信炽盛</t>
  </si>
  <si>
    <t>5532:4016:4149:8520</t>
  </si>
  <si>
    <t>1191:380:592:1745</t>
  </si>
  <si>
    <t>李泽言·生津滋味</t>
  </si>
  <si>
    <t>0,2021年6月签到奖励</t>
  </si>
  <si>
    <t>1359,253,1</t>
  </si>
  <si>
    <t>2021/6/1 5:00</t>
  </si>
  <si>
    <t>1360,253,1</t>
  </si>
  <si>
    <t>人间有味是清欢。</t>
  </si>
  <si>
    <t>周棋洛·心球大战</t>
  </si>
  <si>
    <t>0,云朵泡泡活动限定</t>
  </si>
  <si>
    <t>3369,253,1</t>
  </si>
  <si>
    <t>2021/5/28 5:00</t>
  </si>
  <si>
    <t>3370,253,1</t>
  </si>
  <si>
    <t>辛辛苦苦练出来的招式，你一定要看仔细咯！</t>
  </si>
  <si>
    <t>许墨·完美演绎</t>
  </si>
  <si>
    <t>2359,253,1</t>
  </si>
  <si>
    <t>2360,253,1</t>
  </si>
  <si>
    <t>如果时光倒流，我能成为你的玩伴吗？</t>
  </si>
  <si>
    <t>李泽言·无措风范</t>
  </si>
  <si>
    <t>1357,253,1</t>
  </si>
  <si>
    <t>1358,253,1</t>
  </si>
  <si>
    <t>每个人都会有不擅长的事情，大惊小怪。</t>
  </si>
  <si>
    <t>白起·加急特训</t>
  </si>
  <si>
    <t>4367,253,1</t>
  </si>
  <si>
    <t>4368,253,1</t>
  </si>
  <si>
    <t>不要笑，这只是一个小小的失败。</t>
  </si>
  <si>
    <t>凌肖·高手就位</t>
  </si>
  <si>
    <t>6202,253,1</t>
  </si>
  <si>
    <t>6203,253,1</t>
  </si>
  <si>
    <t>这次就让你见识见识，什么叫高手的风采。</t>
  </si>
  <si>
    <t>许墨·520R</t>
  </si>
  <si>
    <t>周棋洛·520R</t>
  </si>
  <si>
    <t>白起·520R</t>
  </si>
  <si>
    <t>凌肖·520R</t>
  </si>
  <si>
    <t>许墨·心有所许</t>
  </si>
  <si>
    <t>0,恋声专线活动限定</t>
  </si>
  <si>
    <t>2361,253,1</t>
  </si>
  <si>
    <t>2021/5/18 5:00</t>
  </si>
  <si>
    <t>2362,253,1</t>
  </si>
  <si>
    <t>你想在我的“心”上写些什么吗？</t>
  </si>
  <si>
    <t>108:3:117:44</t>
  </si>
  <si>
    <t>电台之约</t>
  </si>
  <si>
    <t>许墨邀请我一同参加一个广播节目，节目的内容是分享主题为“占有欲”的戏剧作品。在节目中，我们扮演了戏剧作品中的角色，我因此开始好奇许墨的“占有欲”是怎样的……</t>
  </si>
  <si>
    <t>许墨为了让参加这档节目，提前做了一些功课。我为此感到有些吃味，许墨看穿了我的小心思，向我承诺他以后参加节目都会先问我的意见。</t>
  </si>
  <si>
    <t>节目中，许墨选了一封来自初中生的听众来信，他劝慰这位听众占有欲并不是一种病态的心理，而是爱的本能。</t>
  </si>
  <si>
    <t>许墨选读了一段戏剧作品中的独白，我被他精彩生动的表现所吸引，并因此感到好奇——许墨本人的占有欲是什么样的呢。</t>
  </si>
  <si>
    <t>节目结束后，导播邀请我和许墨录制一段戏剧对白的彩蛋。在对词时，许墨回答了他带我来参加节目的初衷，以及我最想知道的那个问题。</t>
  </si>
  <si>
    <t>许墨·见字如晤</t>
  </si>
  <si>
    <t>140414,251,1</t>
  </si>
  <si>
    <t>2363,253,1</t>
  </si>
  <si>
    <t>140415,251,1</t>
  </si>
  <si>
    <t>让我来占据你人生的所有时刻吧。</t>
  </si>
  <si>
    <t>180:74:4:163</t>
  </si>
  <si>
    <t>李泽言·相遇转角</t>
  </si>
  <si>
    <t>76,1004</t>
  </si>
  <si>
    <t>1353,253,1</t>
  </si>
  <si>
    <t>2021/5/13 5:00</t>
  </si>
  <si>
    <t>1148,252,1</t>
  </si>
  <si>
    <t>只不过是推开一扇窗，不敢了吗？</t>
  </si>
  <si>
    <t>出差之约</t>
  </si>
  <si>
    <t>我前去参加一项十分重要的国际会议，下飞机后主办方却告诉我由于安排失误，我只能和另一位参加会议的嘉宾同乘一辆车，我打开车门，却不期然撞上了一双熟悉的眼睛……</t>
  </si>
  <si>
    <t>我去国外参加一项国际会议，由于主办方的安排失误，我只能和另一位嘉宾共用一辆车，但我没想到的事，另一位嘉宾竟然就是李泽言。</t>
  </si>
  <si>
    <t>李泽言询问我来参加会议的目的，我告诉他是为了争取更多的投资，并开玩笑说既然遇上了一位重量级嘉宾，那我可要好好和他套套近乎才行，李泽言笑了一声说他拭目以待。</t>
  </si>
  <si>
    <t>开完第一场会议之后，我准备先回度假区休息，离开会场的时候遇到了李泽言，在和他一起回度假区的路上意外遇到了一只十分亲近他的小猫。</t>
  </si>
  <si>
    <t>我带着粥和小猫去慰问仍在工作的李泽言，在和李泽言说话的空隙里，小猫忽然从窗外跳进了他房间，我左右看了看，也攀住窗子跳了进去，告诉李泽言我这也算是携粥跳窗来见他，李泽言说原来这就是我所说的“投他所好”。</t>
  </si>
  <si>
    <t>许墨·人潮漫卷</t>
  </si>
  <si>
    <t>76,2004</t>
  </si>
  <si>
    <t>2356,253,1</t>
  </si>
  <si>
    <t>2144,252,1</t>
  </si>
  <si>
    <t>如果是你，很多选择我都愿意试一试。</t>
  </si>
  <si>
    <t>交错之约</t>
  </si>
  <si>
    <t>我来到一家举办艺术展览的新型商场，这一次的主题是“交错”。原本只是抱着兴趣去看看，却没想到我遇见了许墨，而他……</t>
  </si>
  <si>
    <t>我带着好奇心走进了一间昏暗的房间，房间的正中央被一道雾面玻璃隔成了两个空间，而我在对面的尽头看到了一个很像许墨的人，但他似乎并没有看见我，与我擦肩而过。</t>
  </si>
  <si>
    <t>走出房间的我还沉浸在刚刚的状态里，但许墨的声音却从我耳边传来，他怎么会一下子出现在我的面前？正当我疑惑时，许墨告诉我那个房间里是十五分钟前的他。</t>
  </si>
  <si>
    <t>我们走在商场里看着四周摆放着不同载体的艺术展品，我的好奇油然而生，于是我想问问他是怎么看待这次的主题，却没想到我们再一次被联系在了一起。</t>
  </si>
  <si>
    <t>分别后再次重遇的我们，中间隔着一道长达百米的露天电梯。我忽然明白了这个扶梯也在呼应“交错”的主题，但这一次我要做出改变，我要主动遇见许墨，不再错过。</t>
  </si>
  <si>
    <t>周棋洛·阳光盛惠</t>
  </si>
  <si>
    <t>76,3004</t>
  </si>
  <si>
    <t>3363,253,1</t>
  </si>
  <si>
    <t>3141,252,1</t>
  </si>
  <si>
    <t>你是比阳光还要更耀眼的存在。</t>
  </si>
  <si>
    <t>厨艺之约</t>
  </si>
  <si>
    <t>公司打算让周棋洛参加一档厨艺类的综艺节目，我去找他时，发现他正在家偷偷练习厨艺……</t>
  </si>
  <si>
    <t>最近为了给新节目制造噱头，公司想让周棋洛参加一档观察类的综艺节目。这期节目的选材是经营餐厅，为了增加趣味性，还设置了厨艺比拼的环节。我于是决定找周棋洛聊聊这件事。</t>
  </si>
  <si>
    <t>我来到周棋洛家，发现他其实在偷偷练习厨艺。在我的帮助下，他似乎对自己的厨艺更有自信了。</t>
  </si>
  <si>
    <t>节目录制当天，我在休息室找到了周棋洛，我问他一会打算做什么，他说先暂时保密，等下会给我一个惊喜……</t>
  </si>
  <si>
    <t>周棋洛果然给了我一个惊喜，并且他做的食物还获得了“最佳人气奖”，他告诉我，这个奖杯也有我的一份……</t>
  </si>
  <si>
    <t>白起·银河来信</t>
  </si>
  <si>
    <t>76,4004</t>
  </si>
  <si>
    <t>4364,253,1</t>
  </si>
  <si>
    <t>4144,252,1</t>
  </si>
  <si>
    <t>所有无声的信号，只要你读懂就够了。</t>
  </si>
  <si>
    <t>流星之约</t>
  </si>
  <si>
    <t>我收到了一封意味不明的邀请函，恰好白起打来电话，告诉我有一件案子的线索和我的公司有关，我们在约好的地点碰面后，我告诉了白起邀请函的事，白起说这是一份犯罪预告函……</t>
  </si>
  <si>
    <t>白起打电话来说有事找我，于是我们约在了公司附近的一家小餐馆里，我从公司离开去赴约的时候，却忽然收到了衣服奇怪的邀请函。</t>
  </si>
  <si>
    <t>我见到了白起，告诉了他邀请函的事，白起说这也和他想跟我讲的事情有关，从目前的线索看来，这封信是一份犯罪预告函，而凭借着信上模糊的信息， 我和白起推测出了嫌疑人的犯罪地点。</t>
  </si>
  <si>
    <t>白起带着我赶往天文台，在途中我们却遭遇了堵车，为了不打草惊蛇，白起决定临时借用路人的摩托带我过去，我坐在摩托后座，在呼啸的风声中紧紧环住白起的腰，记忆似乎被带到了从前。</t>
  </si>
  <si>
    <t>我们赶到了天文馆，特行队队员疏散了群众，我和白起进入天文馆，千钧一发的时候白起成功阻止了嫌疑人的计划，在漫天坠落的星光中，这一刻并肩的记忆也被永远珍藏。</t>
  </si>
  <si>
    <t>凌肖·棱角</t>
  </si>
  <si>
    <t>76,8004</t>
  </si>
  <si>
    <t>6199,253,1</t>
  </si>
  <si>
    <t>8044,252,1</t>
  </si>
  <si>
    <t>是不是真的有兴趣，细节可骗不了人。</t>
  </si>
  <si>
    <t>创意之约</t>
  </si>
  <si>
    <t>在沉浸式游戏里做成了一个木雕柿串，我很想真的亲手做一个一模一样的出来，于是跟凌肖一起来到木雕体验馆，谁知后来，我的目标竟然被他“超车”了……</t>
  </si>
  <si>
    <t>我在沉浸式游戏里做成了一个木雕柿串，看着寓意祝福的木雕，我很想亲手做一个出来，正好凌肖约我出来，我带他来到体验馆门口。</t>
  </si>
  <si>
    <t>在凌肖有一搭没一搭的帮忙下，我开始了正式的木雕体验。被他嘲笑过后，我将凌肖赶去了身后，但当我再次寻求帮助时他却拒绝了我。</t>
  </si>
  <si>
    <t>凌肖也要来一把刻刀，然而他却自己动手做起了木雕。一个小男孩问他为什么要做木雕鱼，一点也不威风，凌肖说，木雕鱼可比大老虎有意思多了。</t>
  </si>
  <si>
    <t>原来，木雕鱼的寓意竟然和柿串一样，都是祝福的象征。凌肖很快就做完了他的木雕，我的柿串却还需要再来一次。我对他的木雕鱼爱不释手，凌肖说真喜欢的话也不是不能送给我，但条件就是……</t>
  </si>
  <si>
    <t>李泽言·心墙相遇转角</t>
  </si>
  <si>
    <t>9072:5945:422:6781</t>
  </si>
  <si>
    <t>1774:685:192:1256</t>
  </si>
  <si>
    <t>李泽言·围城相遇转角</t>
  </si>
  <si>
    <t>7879:4793:2589:6957</t>
  </si>
  <si>
    <t>1711:625:305:1265</t>
  </si>
  <si>
    <t>李泽言·热望相遇转角</t>
  </si>
  <si>
    <t>5762:9439:422:6596</t>
  </si>
  <si>
    <t>676:1793:192:1246</t>
  </si>
  <si>
    <t>李泽言·浮香相遇转角</t>
  </si>
  <si>
    <t>4149:9900:4152:4016</t>
  </si>
  <si>
    <t>1119:1817:592:380</t>
  </si>
  <si>
    <t>李泽言·猎行之时相遇转角</t>
  </si>
  <si>
    <t>5301:9717:4613:2589</t>
  </si>
  <si>
    <t>1179:1807:616:305</t>
  </si>
  <si>
    <t>李泽言·制胜时刻相遇转角</t>
  </si>
  <si>
    <t>4149:6960:4791:6317</t>
  </si>
  <si>
    <t>387:1663:625:1232</t>
  </si>
  <si>
    <t>李泽言·一眸之隔相遇转角</t>
  </si>
  <si>
    <t>6037:8338:5252:2589</t>
  </si>
  <si>
    <t>1217:1735:649:305</t>
  </si>
  <si>
    <t>李泽言·今夕景相遇转角</t>
  </si>
  <si>
    <t>5301:4793:4616:7511</t>
  </si>
  <si>
    <t>1179:625:411:1692</t>
  </si>
  <si>
    <t>李泽言·盛意满怀相遇转角</t>
  </si>
  <si>
    <t>4149:5945:4611:7515</t>
  </si>
  <si>
    <t>387:1212:616:1692</t>
  </si>
  <si>
    <t>李泽言·静谧晖光相遇转角</t>
  </si>
  <si>
    <t>4149:8520:5532:4016</t>
  </si>
  <si>
    <t>592:1745:1191:380</t>
  </si>
  <si>
    <t>许墨·破局人潮漫卷</t>
  </si>
  <si>
    <t>6781:9072:5945:422</t>
  </si>
  <si>
    <t>1256:1774:685:192</t>
  </si>
  <si>
    <t>许墨·陷落人潮漫卷</t>
  </si>
  <si>
    <t>6957:7879:4793:2589</t>
  </si>
  <si>
    <t>1265:1711:625:305</t>
  </si>
  <si>
    <t>许墨·雨幕人潮漫卷</t>
  </si>
  <si>
    <t>6596:5762:9439:422</t>
  </si>
  <si>
    <t>1246:676:1793:192</t>
  </si>
  <si>
    <t>许墨·拟扣心门人潮漫卷</t>
  </si>
  <si>
    <t>2589:6037:8338:5252</t>
  </si>
  <si>
    <t>305:1217:1735:649</t>
  </si>
  <si>
    <t>许墨·落日余温人潮漫卷</t>
  </si>
  <si>
    <t>4016:4149:9900:4152</t>
  </si>
  <si>
    <t>380:1119:1817:592</t>
  </si>
  <si>
    <t>许墨·断线人潮漫卷</t>
  </si>
  <si>
    <t>2589:5301:9717:4613</t>
  </si>
  <si>
    <t>305:1179:1807:616</t>
  </si>
  <si>
    <t>许墨·自深深处人潮漫卷</t>
  </si>
  <si>
    <t>6317:4149:6960:4791</t>
  </si>
  <si>
    <t>1232:387:1663:625</t>
  </si>
  <si>
    <t>许墨·梦仙林人潮漫卷</t>
  </si>
  <si>
    <t>7511:5301:4793:4616</t>
  </si>
  <si>
    <t>1692:1179:625:411</t>
  </si>
  <si>
    <t>许墨·独享况味人潮漫卷</t>
  </si>
  <si>
    <t>7515:4149:5945:4611</t>
  </si>
  <si>
    <t>1692:387:1212:616</t>
  </si>
  <si>
    <t>许墨·私藏暇光人潮漫卷</t>
  </si>
  <si>
    <t>6133:8981:4793:2310</t>
  </si>
  <si>
    <t>1222:1769:625:291</t>
  </si>
  <si>
    <t>周棋洛·迷藏阳光盛惠</t>
  </si>
  <si>
    <t>422:5945:6781:9072</t>
  </si>
  <si>
    <t>192:685:1256:1774</t>
  </si>
  <si>
    <t>周棋洛·假象阳光盛惠</t>
  </si>
  <si>
    <t>2589:4793:6957:7879</t>
  </si>
  <si>
    <t>305:625:1265:1711</t>
  </si>
  <si>
    <t>周棋洛·梦想起点阳光盛惠</t>
  </si>
  <si>
    <t>422:9439:6596:5762</t>
  </si>
  <si>
    <t>192:1793:1246:676</t>
  </si>
  <si>
    <t>周棋洛·快乐供应阳光盛惠</t>
  </si>
  <si>
    <t>4152:9900:4016:4149</t>
  </si>
  <si>
    <t>1119:1817:380:592</t>
  </si>
  <si>
    <t>周棋洛·光的缝隙阳光盛惠</t>
  </si>
  <si>
    <t>4613:9717:2589:5301</t>
  </si>
  <si>
    <t>616:1807:305:1179</t>
  </si>
  <si>
    <t>周棋洛·注目阳光盛惠</t>
  </si>
  <si>
    <t>4791:6960:6317:4149</t>
  </si>
  <si>
    <t>625:1663:1232:387</t>
  </si>
  <si>
    <t>周棋洛·欲忘言阳光盛惠</t>
  </si>
  <si>
    <t>4616:4793:7511:5301</t>
  </si>
  <si>
    <t>411:625:1692:1179</t>
  </si>
  <si>
    <t>周棋洛·心动节拍阳光盛惠</t>
  </si>
  <si>
    <t>4611:5945:7515:4149</t>
  </si>
  <si>
    <t>616:1212:1692:387</t>
  </si>
  <si>
    <t>周棋洛·美妙一瞬阳光盛惠</t>
  </si>
  <si>
    <t>422:8521:4016:9258</t>
  </si>
  <si>
    <t>192:1347:585:1783</t>
  </si>
  <si>
    <t>周棋洛·满分拥抱阳光盛惠</t>
  </si>
  <si>
    <t>5252:8338:2589:6037</t>
  </si>
  <si>
    <t>649:1735:305:1217</t>
  </si>
  <si>
    <t>周棋洛·追光阳光盛惠</t>
  </si>
  <si>
    <t>5532:8520:4016:4149</t>
  </si>
  <si>
    <t>1191:1745:380:592</t>
  </si>
  <si>
    <t>白起·风起时银河来信</t>
  </si>
  <si>
    <t>422:4016:9256:8523</t>
  </si>
  <si>
    <t>192:585:1783:1347</t>
  </si>
  <si>
    <t>白起·锋刃银河来信</t>
  </si>
  <si>
    <t>422:6781:9072:5945</t>
  </si>
  <si>
    <t>192:1256:1774:685</t>
  </si>
  <si>
    <t>白起·长夜星火银河来信</t>
  </si>
  <si>
    <t>2589:6957:7879:4793</t>
  </si>
  <si>
    <t>305:1265:1711:625</t>
  </si>
  <si>
    <t>白起·灿烂之年银河来信</t>
  </si>
  <si>
    <t>422:6596:5762:9439</t>
  </si>
  <si>
    <t>192:1246:676:1793</t>
  </si>
  <si>
    <t>白起·无畏银河来信</t>
  </si>
  <si>
    <t>4613:2589:5301:9717</t>
  </si>
  <si>
    <t>616:305:1179:1807</t>
  </si>
  <si>
    <t>白起·留白心绪银河来信</t>
  </si>
  <si>
    <t>4150:4016:4149:9902</t>
  </si>
  <si>
    <t>1119:380:592:1817</t>
  </si>
  <si>
    <t>白起·隐夜银河来信</t>
  </si>
  <si>
    <t>4791:6317:4149:6960</t>
  </si>
  <si>
    <t>625:1232:387:1663</t>
  </si>
  <si>
    <t>白起·醉行歌银河来信</t>
  </si>
  <si>
    <t>4616:7511:5301:4793</t>
  </si>
  <si>
    <t>411:1692:1179:625</t>
  </si>
  <si>
    <t>白起·斑驳印记银河来信</t>
  </si>
  <si>
    <t>5252:2589:6037:8338</t>
  </si>
  <si>
    <t>649:305:1217:1735</t>
  </si>
  <si>
    <t>白起·私人记号银河来信</t>
  </si>
  <si>
    <t>4611:7515:4149:5945</t>
  </si>
  <si>
    <t>616:1692:387:1212</t>
  </si>
  <si>
    <t>凌肖·极速定律棱角</t>
  </si>
  <si>
    <t>4793:2589:7879:6957</t>
  </si>
  <si>
    <t>625:305:1711:1265</t>
  </si>
  <si>
    <t>凌肖·高热棱角</t>
  </si>
  <si>
    <t>5945:422:9072:6781</t>
  </si>
  <si>
    <t>685:192:1774:1256</t>
  </si>
  <si>
    <t>凌肖·侵袭棱角</t>
  </si>
  <si>
    <t>9439:422:5762:6596</t>
  </si>
  <si>
    <t>1793:192:676:1246</t>
  </si>
  <si>
    <t>凌肖·奔涌棱角</t>
  </si>
  <si>
    <t>9717:4613:5301:2589</t>
  </si>
  <si>
    <t>1807:616:1179:305</t>
  </si>
  <si>
    <t>凌肖·狂热节拍棱角</t>
  </si>
  <si>
    <t>6960:4791:4149:6317</t>
  </si>
  <si>
    <t>1663:625:387:1232</t>
  </si>
  <si>
    <t>凌肖·完美突击棱角</t>
  </si>
  <si>
    <t>8982:422:9075:3741</t>
  </si>
  <si>
    <t>1371:192:1774:570</t>
  </si>
  <si>
    <t>周棋洛·鱼香四溢</t>
  </si>
  <si>
    <t>0,2021年5月签到奖励</t>
  </si>
  <si>
    <t>3358,253,1</t>
  </si>
  <si>
    <t>2021/5/1 5:00</t>
  </si>
  <si>
    <t>3359,253,1</t>
  </si>
  <si>
    <t>我所有的甜蜜都有你的一半。</t>
  </si>
  <si>
    <t>李泽言·声色洪流</t>
  </si>
  <si>
    <t>0,限时累充送活动限定</t>
  </si>
  <si>
    <t>1145,252,1</t>
  </si>
  <si>
    <t>1146,252,1</t>
  </si>
  <si>
    <t>在我所有看不见的改变里，都有你的影子。</t>
  </si>
  <si>
    <t>留痕之约</t>
  </si>
  <si>
    <t>李泽言出差的一周，我总觉得时间比平时更难捱，希望他能早些回来。在他回来后，我却在他身上发现了一些新的变化……</t>
  </si>
  <si>
    <t>李泽言出差的第六天，他打电话来让我帮忙找一份文件。我趁机试了试他留在桌上的眼镜，有些好奇，他眼中的时间会是什么样子的呢？</t>
  </si>
  <si>
    <t>我在一间西装定制店做采访时，遇到了提前回来的李泽言。看着被店员围在中间的他，我忽然发现，他好像比之前瘦了……</t>
  </si>
  <si>
    <t>聊天的间隙，我无意中发现李泽言在缠我的头发，原来是他看出我的头发长长了。他说这些细节的变化就是时间存在的证据，也许“重逢”会让我们重新看见那些习以为常的时光。</t>
  </si>
  <si>
    <t>慈善晚宴上出了些小插曲，顺利解决后，李泽言说可以给我一个阶段性奖励。在理解了他的用心后，我发觉即使朝夕相处已经让我们离得很近，可他依然将我的成长和变化都看在眼里。</t>
  </si>
  <si>
    <t>许墨·花期之至</t>
  </si>
  <si>
    <t>2347,253,1</t>
  </si>
  <si>
    <t>140408,251,1</t>
  </si>
  <si>
    <t>2348,253,1</t>
  </si>
  <si>
    <t>映在你眼中的花朵，也盛放在我心田。</t>
  </si>
  <si>
    <t>向春之约</t>
  </si>
  <si>
    <t>最近许墨似乎在忙着一个很重要的实验，许久没有见到他的我得知他周末有一场讲座，决定去看看他，但到了现场见到他之后，我却感觉到许墨似乎又瘦了……</t>
  </si>
  <si>
    <t>我许久没有见到许墨，听阿明说他周末在书店里有一场讲座，于是我早早地赶到了书店，并见到了许墨，正要和他说话的时候，却被一个听众插了进来。</t>
  </si>
  <si>
    <t>这位听众希望许墨能帮忙推荐几本脑科学相关的书籍，许墨答应了，就在许墨找书的时候，我发现他似乎又瘦了，看来实验十分忙碌，他大概好久没有好好休息过了。</t>
  </si>
  <si>
    <t>讲座结束后，许墨送我回家，我告诉许墨最近他家里的植物都是我在照顾，很多都开花了，许墨答应我去看看。他看到了被我照顾得很好的花，并问我能否教他怎么修剪枝叶。</t>
  </si>
  <si>
    <t>我告诉许墨，这段时间我很想他，也很担心他，许墨说正在进行的实验确实让他有些疲惫，但他没想到这会让我这么担心，最后许墨告诉我，是我把他从实验中拉了出来，看到了这个小小角落里春天的光。</t>
  </si>
  <si>
    <t>李泽言·流砂之潮</t>
  </si>
  <si>
    <t>0,盛宴热响活动限定</t>
  </si>
  <si>
    <t>1143,252,1</t>
  </si>
  <si>
    <t>2021/4/28 5:00</t>
  </si>
  <si>
    <t>1346,253,1</t>
  </si>
  <si>
    <t>1144,252,1</t>
  </si>
  <si>
    <t>等到沙漠成海，我会在河流奔涌处与你相见。</t>
  </si>
  <si>
    <t>砂海之约</t>
  </si>
  <si>
    <t>我在去沙漠之国寻找沙漠玫瑰的路上救了一个人，他告诉我他叫做李泽言。我和李泽言一起走出了沙漠，但就在我使用能力不慎晕倒之后，再醒来时却发现了李泽言的真实身份。</t>
  </si>
  <si>
    <t>我在沙漠里捡起了一个男人，他被沙子掩埋，被我救起来后竟然用整整一袋红宝石作为谢礼，我只留下了一颗宝石，并告诉他只要他没事就好了，男人似乎有些惊讶，然后告诉我他叫做李泽言。</t>
  </si>
  <si>
    <t>我因为使用能力晕倒，醒来后竟然到了一座宫殿中，这时我看到了李泽言，他竟然就是这座宫殿的主人，不仅如此，他还向我提出了一个交易。</t>
  </si>
  <si>
    <t>我的奇异能力被别的部落的人盯上，被绑架到了沙漠里，危急万分的时候，李泽言率领军队赶来救了我，但就在这时，沙漠中忽然卷起了一股沙尘暴……</t>
  </si>
  <si>
    <t>我触碰到了流沙中的地下河，和李泽言成功复苏了索西亚河流。我也找到了传说中的沙漠玫瑰，而就在之后的神典上，我打算离开的时候，却被李泽言握住了手腕……</t>
  </si>
  <si>
    <t>许墨·寂静夜谭</t>
  </si>
  <si>
    <t>2141,252,1</t>
  </si>
  <si>
    <t>2349,253,1</t>
  </si>
  <si>
    <t>2142,252,1</t>
  </si>
  <si>
    <t>更让我期待的，是你眼中的好奇与欣喜。</t>
  </si>
  <si>
    <t>神奇之约</t>
  </si>
  <si>
    <t>我在逃避巫师抓捕的路上闯入了一座花园宫殿，里面有个陌生的年轻男子许墨。在许墨家借宿的这段时间，他的学识向我打开了新世界的大门，但这时巫师的追兵却赶来了……</t>
  </si>
  <si>
    <t>我偷听到巫师想抓我献祭祈雨的消息，连夜从部落逃跑。在我从树林的陡坡滚落下去后，我无意间来到一座花园宫殿，里面有一个陌生的年轻男人。</t>
  </si>
  <si>
    <t>年轻男人叫许墨，看起来很温和，主动提出给我医药箱涂伤口，我渐渐放松下来。当许墨想和我对弈一局的时候，我忽然灵光一闪，提出如果我赢了就收留我一段时间的要求，许墨答应了。</t>
  </si>
  <si>
    <t>我在许墨家住了下来，发现他有一个巨大的藏书室，里面放着我闻所未闻的书籍。他还有一个摆满器具的屋子，能让石头流出金子、纸树盛开花。在这样的相处中，我对许墨和他眼中的世界越来越好奇。</t>
  </si>
  <si>
    <t>不设防中，我被追兵抓回了部落，巫师擅自决定将我献祭，许墨却赶到了并出手救下了我。当一切都解决后，他突然提议让我跟他回去。一片脸热中，我惊讶地瞪大了双眼……</t>
  </si>
  <si>
    <t>周棋洛·骄阳情歌</t>
  </si>
  <si>
    <t>3138,252,1</t>
  </si>
  <si>
    <t>3357,253,1</t>
  </si>
  <si>
    <t>3139,252,1</t>
  </si>
  <si>
    <t>我会在阳光下给予你一切，毫无保留。</t>
  </si>
  <si>
    <t>传颂之约</t>
  </si>
  <si>
    <t>我在集市上遇到了一位神秘的情报贩子“周棋洛”，在共同目标的驱使下我们成为了一对流浪艺人搭档，一同潜入坏蛋的老巢，展开了一场冒险。</t>
  </si>
  <si>
    <t>我在集市上意外解救了一位金发少年，他告诉我他叫周棋洛，我们发现彼此有一位共同的敌人——嚣张跋扈的富商金砂老爷，为了各自的目的，我们决定合作扮演成一对流浪艺人。</t>
  </si>
  <si>
    <t>没想到周棋洛唱歌居然这么好听！我们这一对艺人搭档凭借精湛的歌舞，顺利地进入了金砂老爷的府邸，结果刚进府没多久周棋洛就被传唤走了，我担心他的安全悄悄跟了出去，没想到，却见到了周棋洛的另一面……</t>
  </si>
  <si>
    <t>有家丁要来抓捕我和周棋洛！情急之下我们四处躲避，最后误打误撞居然来到了金砂老爷的藏宝室中。脱险之后我们正打算离开，但地板上出现的异样却让我们大吃一惊——原来，这座府邸下面还有一座密室！</t>
  </si>
  <si>
    <t>在地下的密室中，我们终于找到金砂老爷的罪证，但也被金砂老爷逮了个正着，千钧一发之际，我为周棋洛挡下了一箭，只希望他能快点将黑暗中的罪恶公布于众……</t>
  </si>
  <si>
    <t>白起·月色过境</t>
  </si>
  <si>
    <t>4141,252,1</t>
  </si>
  <si>
    <t>4357,253,1</t>
  </si>
  <si>
    <t>4142,252,1</t>
  </si>
  <si>
    <t>记住，没有任何人可以干涉你。</t>
  </si>
  <si>
    <t>祝福之约</t>
  </si>
  <si>
    <t>我是一名被神祝福的少女，十年后神将赠与我世间最宝贵的财富。从此，我变成了人人眼中的“宝藏图”，所有人都想将我占为己有。直到我遇见了一个名叫白起的大盗……</t>
  </si>
  <si>
    <t>我被奴隶主带进了大盗白起的营地里，他想通过我和白起做一笔交易，但我的心里却打着别的主意。如果我能帮国王除掉白起，就能获得永久的自由，所以我必须要试一试。</t>
  </si>
  <si>
    <t>没想到白起对这场交易根本不屑一顾，将奴隶主赶出了营地。而我为了留下来，使出了浑身解数。但却在中途得知，白起竟然要打劫皇宫？！</t>
  </si>
  <si>
    <t>我正式留在了营地，通过这几天的观察白起每天都会出去劫富济贫，晚上又满载而归。每一次白起受伤我都会为他包扎，渐渐地，我发现自己做不到国王给我下达的命令……</t>
  </si>
  <si>
    <t>在一次和白起的谈心中，我不禁被他的话深深触动，同时愧疚感也一直撕扯着我。我决定将一切的真相告诉白起，可没想到我还是被国王再一次抓住了……</t>
  </si>
  <si>
    <t>许墨·私藏暇光</t>
  </si>
  <si>
    <t>2346,253,1</t>
  </si>
  <si>
    <t>2140,252,1</t>
  </si>
  <si>
    <t>想要藏起，你的每一道光影。</t>
  </si>
  <si>
    <t>曛暖之约</t>
  </si>
  <si>
    <t>许墨最近出了一本新书，并且他告诉我自己还受邀举办一场新书发布会……</t>
  </si>
  <si>
    <t>周末，我陪许墨在研究所加班，期间我一直在翻看他的新书。许墨突然告诉我他最近收到恋语大学张校长的邀请，希望他能举办一场新书发布会……</t>
  </si>
  <si>
    <t>许墨对于这场新书发布会的效果有所存疑。但是在和我的聊天之后，许墨接受了这个邀请。</t>
  </si>
  <si>
    <t>发布会当天，我忙完工作后，来到了许墨的新书发布会现场。恰在此时，主持人问了许墨一个让我有些害羞的问题……</t>
  </si>
  <si>
    <t>发布会结束后，我带着许墨来到靠窗的位置，这里已经摆满了红茶和甜点。除此之外，我还为许墨准备了另一个小“惊喜”……</t>
  </si>
  <si>
    <t>许墨·破局私藏暇光</t>
  </si>
  <si>
    <t>8158:10177:1574:2310</t>
  </si>
  <si>
    <t>1384:1831:224:459</t>
  </si>
  <si>
    <t>许墨·陷落私藏暇光</t>
  </si>
  <si>
    <t>8334:8984:422:4477</t>
  </si>
  <si>
    <t>1337:1769:192:609</t>
  </si>
  <si>
    <t>许墨·雨幕私藏暇光</t>
  </si>
  <si>
    <t>7973:6867:5068:2310</t>
  </si>
  <si>
    <t>1716:1261:640:291</t>
  </si>
  <si>
    <t>许墨·拟扣心门私藏暇光</t>
  </si>
  <si>
    <t>3966:7142:3967:7140</t>
  </si>
  <si>
    <t>582:1673:377:1275</t>
  </si>
  <si>
    <t>许墨·落日余温私藏暇光</t>
  </si>
  <si>
    <t>5393:5254:5529:6040</t>
  </si>
  <si>
    <t>657:444:1191:1615</t>
  </si>
  <si>
    <t>许墨·断线私藏暇光</t>
  </si>
  <si>
    <t>3966:6406:5346:6501</t>
  </si>
  <si>
    <t>377:1236:654:1639</t>
  </si>
  <si>
    <t>许墨·自深深处私藏暇光</t>
  </si>
  <si>
    <t>7694:5254:2589:6679</t>
  </si>
  <si>
    <t>1702:649:305:1251</t>
  </si>
  <si>
    <t>许墨·梦仙林私藏暇光</t>
  </si>
  <si>
    <t>8888:6406:422:6504</t>
  </si>
  <si>
    <t>1764:709:192:1242</t>
  </si>
  <si>
    <t>许墨·独享况味私藏暇光</t>
  </si>
  <si>
    <t>8892:5254:1574:6499</t>
  </si>
  <si>
    <t>1764:649:252:1241</t>
  </si>
  <si>
    <t>白起·云霄</t>
  </si>
  <si>
    <t>0,晴空万里活动限定</t>
  </si>
  <si>
    <t>4139,252,1</t>
  </si>
  <si>
    <t>4356,253,1</t>
  </si>
  <si>
    <t>4140,252,1</t>
  </si>
  <si>
    <t>半空里的风景，还想跟你再看无数次。</t>
  </si>
  <si>
    <t>起航之约</t>
  </si>
  <si>
    <t>在我去学校领取正式飞行执照这一天，白起突然出现，要开飞机带我飞一轮。半空里，我想起了之前训练的时候看到过的很多个日夜，不由问起白起，他第一次飞入云层，看到晚霞、看到星空的时候都想到什么。</t>
  </si>
  <si>
    <t>去学校领取正式飞行执照时，我路过停机坪，看见一辆小型机正缓慢落地，而驾驶舱内的人影格外面熟。我在原地站了好一会，等飞机停稳，果然看见白起在舱内对我招了招手。</t>
  </si>
  <si>
    <t>白起坦言他提前跟学校打了招呼，要给我一个惊喜，毕竟我辛苦学习这么久，毕业这天要有点仪式感，而且我从上课第一天起就说要做的副驾驶，现在正是时候。</t>
  </si>
  <si>
    <t>他蹲下来给我松了安全带将我拉起来，摁到了左侧，重新系上安全带。他说差点忘了我已经是拿了执照的人，可以独立飞行了，今天他来做我的副驾驶。</t>
  </si>
  <si>
    <t>我向他说起自己想开飞机、想去潜水、想登雪山、想走沙漠，想去探索这个世界的念头，是因心里拥有了一个支点，而他也告诉我，他越来越习惯琐碎的生活细节，也是由于拥有了这个支点。</t>
  </si>
  <si>
    <t>周棋洛·金灿琴音</t>
  </si>
  <si>
    <t>2021/4/5 5:00</t>
  </si>
  <si>
    <t>140406,251,1</t>
  </si>
  <si>
    <t>这一刻的你，值得我的所有憧憬。</t>
  </si>
  <si>
    <t>完满之约</t>
  </si>
  <si>
    <t>周棋洛今年的生日我们一起来到了加州，这里曾是周棋洛曾经呆过四年的地方，我希望今年的生日可以陪他做一些他想做的事，在跟随他的过程中，我逐渐看到一个更为真实的周棋洛。</t>
  </si>
  <si>
    <t>周棋洛的生日到了，今年他受高中母校邀请来到加州进行了一场特别的演出。</t>
  </si>
  <si>
    <t>演出结束后，我向周棋洛送上了祝福，并表示今年的生日希望陪他做一些他想做的事情，他有些惊讶但是接受了我的建议，没想到第一件事竟然是……“翘课”？！</t>
  </si>
  <si>
    <t>我跟着周棋洛的步伐，陪他做着当年的周棋洛想做但却没有做成的事，最后他带着我来到一片小小的海湾旁，那里停着一艘船……</t>
  </si>
  <si>
    <t>周棋洛在海边向我分享着那首有些寂寞的歌，而这也正是我提前就准备好的礼物。我拉着他一起回到当年他比赛的那个瞭望台，合奏的音符在一片星火中被轻轻奏响。亲爱的周棋洛，生日快乐。</t>
  </si>
  <si>
    <t>周棋洛·漫游音符</t>
  </si>
  <si>
    <t>你让快乐成为一件更简单的事。</t>
  </si>
  <si>
    <t>李泽言·在口难逃</t>
  </si>
  <si>
    <t>0,糖色闹剧活动限定</t>
  </si>
  <si>
    <t>这就是你说的百分百“惊喜”？</t>
  </si>
  <si>
    <t>许墨·可爱花招</t>
  </si>
  <si>
    <t>如果不是确定了日期，我还以为今天会是一个“可爱的节日”。</t>
  </si>
  <si>
    <t>周棋洛·萌熊来袭</t>
  </si>
  <si>
    <t>有最勇敢的熊仔做帮手，还不快来兑现奖励！</t>
  </si>
  <si>
    <t>白起·惊奇分贝</t>
  </si>
  <si>
    <t>在将它“缉拿归案”前，它有权保持沉默。</t>
  </si>
  <si>
    <t>凌肖·像素奇趣</t>
  </si>
  <si>
    <t>想看到我特别的表情，你还得更努力才行。</t>
  </si>
  <si>
    <t>许墨·循循善诱</t>
  </si>
  <si>
    <t>0,2021年4月签到奖励</t>
  </si>
  <si>
    <t>2343,253,1</t>
  </si>
  <si>
    <t>2021/4/1 5:00</t>
  </si>
  <si>
    <t>2344,253,1</t>
  </si>
  <si>
    <t>这位同学，可以帮我整理一下教案吗？</t>
  </si>
  <si>
    <t>李泽言·自娱自乐</t>
  </si>
  <si>
    <t>2,0:30,0</t>
  </si>
  <si>
    <t>1342,253,1</t>
  </si>
  <si>
    <t>2021/3/24 5:00</t>
  </si>
  <si>
    <t>1343,253,1</t>
  </si>
  <si>
    <t>小孩子的游戏，也能玩得这么开心。</t>
  </si>
  <si>
    <t>许墨·娓娓道来</t>
  </si>
  <si>
    <t>2341,253,1</t>
  </si>
  <si>
    <t>2342,253,1</t>
  </si>
  <si>
    <t>想一直给你说故事，多少次都不会厌倦</t>
  </si>
  <si>
    <t>李泽言·寸步</t>
  </si>
  <si>
    <t>0,星河印象活动限定</t>
  </si>
  <si>
    <t>1140,252,1</t>
  </si>
  <si>
    <t>1344,253,1</t>
  </si>
  <si>
    <t>1141,252,1</t>
  </si>
  <si>
    <t>现在就定论胜败为时尚早，一切未到终局。</t>
  </si>
  <si>
    <t>许墨·画地为牢</t>
  </si>
  <si>
    <t>2138,252,1</t>
  </si>
  <si>
    <t>2345,253,1</t>
  </si>
  <si>
    <t>2139,252,1</t>
  </si>
  <si>
    <t>我很乐意成为你的人质。</t>
  </si>
  <si>
    <t>周棋洛·孤星</t>
  </si>
  <si>
    <t>3134,252,1</t>
  </si>
  <si>
    <t>3353,253,1</t>
  </si>
  <si>
    <t>3135,252,1</t>
  </si>
  <si>
    <t>当我抬起头时，看见了另一个星球的光。</t>
  </si>
  <si>
    <t>白起·夜色入侵</t>
  </si>
  <si>
    <t>4137,252,1</t>
  </si>
  <si>
    <t>4355,253,1</t>
  </si>
  <si>
    <t>4138,252,1</t>
  </si>
  <si>
    <t>想要和我做交易，光有诚意还不够。</t>
  </si>
  <si>
    <t>李泽言·静谧晖光</t>
  </si>
  <si>
    <t>1345,253,1</t>
  </si>
  <si>
    <t>1142,252,1</t>
  </si>
  <si>
    <t>在通向你的路上，我从未停下过脚步。</t>
  </si>
  <si>
    <t>庆典之约</t>
  </si>
  <si>
    <t>为了给新节目取材，我来到欧洲的一座小城参加了当地的节日庆典。然而，就在我打电话跟李泽言分享自己的见闻时，他却忽然告诉我，他下周也会过来……</t>
  </si>
  <si>
    <t>望着花园里的美景，感受着周围热闹的节日气氛，我情不自禁地想到了李泽言，并打给了他。他似乎也从我的语气里察觉到了什么……</t>
  </si>
  <si>
    <t>李泽言来到了欧洲，重逢的喜悦萦绕在我们的心头。热闹的街上，到处都是彩带和气球，以及许多奇装异服的人。看着李泽言有些纳闷的表情，我告诉他这里正在举办“狂欢节”的庆典活动……</t>
  </si>
  <si>
    <t>我打算带李泽言去之前在电话里跟他提过的花园，然而就在我们准备走上主街时，却被停滞的人潮拦住了脚步……</t>
  </si>
  <si>
    <t>走出花园，一位工作人员主动上前为我们拍下了合照。看着照片中的我们，李泽言问起我带他来花园的缘故，我见绕不过，只好向他坦白藏在心底的那些情愫……</t>
  </si>
  <si>
    <t>周棋洛·追光</t>
  </si>
  <si>
    <t>3352,253,1</t>
  </si>
  <si>
    <t>3133,252,1</t>
  </si>
  <si>
    <t>在喜欢的人面前，当然不能输了。</t>
  </si>
  <si>
    <t>胜负之约</t>
  </si>
  <si>
    <t>近日，我们得知一位国外的街舞大神要空降恋语市，于是我和周棋洛决定去观摩学习一番，只是没想到去了那里以后，竟然有人要和周棋洛斗舞！？</t>
  </si>
  <si>
    <t>购买了街舞活动门票后，我们约好当天晚上在我家碰头，可却没想到周棋洛一大早就出现在我的面前，并且还发现了我最近的一个小秘密——练习格斗游戏。</t>
  </si>
  <si>
    <t>为了能和周棋洛有更好的游戏体验，这段时间我一直在偷偷练习，没想到真的小有成效！不知道是因为练习还是我的胜负欲大爆发，我竟然险胜了周棋洛！</t>
  </si>
  <si>
    <t>天黑后，我们便出发来到了举办活动的厂房里，没想到不到一会儿几位青年男子盯上了，我还以为周棋洛就要暴露身份时，对方竟然提议要和周棋洛斗舞！</t>
  </si>
  <si>
    <t xml:space="preserve">很快，两个人便前后开始斗舞，周棋洛一出场便惊艳了所有人，令我没想到的是，上午我们打游戏时看似“佛系”的他，此刻却如此坚定的想要赢得任何一场对决。 </t>
  </si>
  <si>
    <t>李泽言·心墙静谧晖光</t>
  </si>
  <si>
    <t>5345:5301:5532:6041</t>
  </si>
  <si>
    <t>654:447:1191:1615</t>
  </si>
  <si>
    <t>李泽言·围城静谧晖光</t>
  </si>
  <si>
    <t>4152:4149:7699:6217</t>
  </si>
  <si>
    <t>592:387:1702:1227</t>
  </si>
  <si>
    <t>李泽言·热望静谧晖光</t>
  </si>
  <si>
    <t>2035:8795:5532:5856</t>
  </si>
  <si>
    <t>276:1759:664:1208</t>
  </si>
  <si>
    <t>李泽言·浮香静谧晖光</t>
  </si>
  <si>
    <t>422:9256:9262:3276</t>
  </si>
  <si>
    <t>164:1442:1784:504</t>
  </si>
  <si>
    <t>李泽言·猎行之时静谧晖光</t>
  </si>
  <si>
    <t>1574:9073:9723:1849</t>
  </si>
  <si>
    <t>201:1478:1808:406</t>
  </si>
  <si>
    <t>李泽言·制胜时刻静谧晖光</t>
  </si>
  <si>
    <t>422:6316:9901:5577</t>
  </si>
  <si>
    <t>192:1232:1817:666</t>
  </si>
  <si>
    <t>李泽言·一眸之隔静谧晖光</t>
  </si>
  <si>
    <t>2310:7694:10362:1849</t>
  </si>
  <si>
    <t>480:1329:1841:254</t>
  </si>
  <si>
    <t>李泽言·今夕景静谧晖光</t>
  </si>
  <si>
    <t>1574:4149:9726:6771</t>
  </si>
  <si>
    <t>252:592:1808:1255</t>
  </si>
  <si>
    <t>李泽言·盛意满怀静谧晖光</t>
  </si>
  <si>
    <t>422:5301:9721:6775</t>
  </si>
  <si>
    <t>192:652:1808:1256</t>
  </si>
  <si>
    <t>周棋洛·迷藏追光</t>
  </si>
  <si>
    <t>5532:5301:6041:5345</t>
  </si>
  <si>
    <t>1191:447:1615:654</t>
  </si>
  <si>
    <t>周棋洛·假象追光</t>
  </si>
  <si>
    <t>7699:4149:6217:4152</t>
  </si>
  <si>
    <t>1702:592:1227:387</t>
  </si>
  <si>
    <t>周棋洛·梦想起点追光</t>
  </si>
  <si>
    <t>5532:8795:5856:2035</t>
  </si>
  <si>
    <t>664:1759:1208:276</t>
  </si>
  <si>
    <t>周棋洛·快乐供应追光</t>
  </si>
  <si>
    <t>9262:9256:3276:422</t>
  </si>
  <si>
    <t>1784:1442:504:164</t>
  </si>
  <si>
    <t>周棋洛·光的缝隙追光</t>
  </si>
  <si>
    <t>9723:9073:1849:1574</t>
  </si>
  <si>
    <t>1808:1478:406:201</t>
  </si>
  <si>
    <t>周棋洛·注目追光</t>
  </si>
  <si>
    <t>9901:6316:5577:422</t>
  </si>
  <si>
    <t>1817:1232:666:192</t>
  </si>
  <si>
    <t>周棋洛·欲忘言追光</t>
  </si>
  <si>
    <t>9726:4149:6771:1574</t>
  </si>
  <si>
    <t>1808:592:1255:252</t>
  </si>
  <si>
    <t>周棋洛·心动节拍追光</t>
  </si>
  <si>
    <t>9721:5301:6775:422</t>
  </si>
  <si>
    <t>1808:652:1256:192</t>
  </si>
  <si>
    <t>周棋洛·美妙一瞬追光</t>
  </si>
  <si>
    <t>5532:7877:3276:5531</t>
  </si>
  <si>
    <t>1191:1711:341:664</t>
  </si>
  <si>
    <t>周棋洛·满分拥抱追光</t>
  </si>
  <si>
    <t>10362:7694:1849:2310</t>
  </si>
  <si>
    <t>1841:1329:254:480</t>
  </si>
  <si>
    <t>李泽言·幽香沁情</t>
  </si>
  <si>
    <t>0,花中情缘活动限定</t>
  </si>
  <si>
    <t>2021/3/10 5:00</t>
  </si>
  <si>
    <t>1334,253,1</t>
  </si>
  <si>
    <t>心意我收下了，永久存续。</t>
  </si>
  <si>
    <t>许墨·馥乐入心</t>
  </si>
  <si>
    <t>现在这一刻，在我心里永远不会褪色。</t>
  </si>
  <si>
    <t>周棋洛·心韵寄音</t>
  </si>
  <si>
    <t>这一次，我想把我听到的世界告诉你。</t>
  </si>
  <si>
    <t>白起·晚花欲绽</t>
  </si>
  <si>
    <t>你和春天一起到来，就是对我最好的礼物。</t>
  </si>
  <si>
    <t>凌肖·交沁烙印</t>
  </si>
  <si>
    <t>这礼物不错，下次演出我就戴着它了。</t>
  </si>
  <si>
    <t>白起·乐意滋味</t>
  </si>
  <si>
    <t>2021/3/1 5:00</t>
  </si>
  <si>
    <t>4342,253,1</t>
  </si>
  <si>
    <t>想一起品尝不一样的滋味吗？</t>
  </si>
  <si>
    <t>周棋洛·满分拥抱</t>
  </si>
  <si>
    <t>3339,253,1</t>
  </si>
  <si>
    <t>2021/2/23 5:00</t>
  </si>
  <si>
    <t>3129,252,1</t>
  </si>
  <si>
    <t>你可以随时在我的怀抱里充电。</t>
  </si>
  <si>
    <t>探班之约</t>
  </si>
  <si>
    <t>我受邀去欧洲某个小镇拍摄旅游纪录片，与往常不同的是，这一次我竟然是拍摄嘉宾。周棋洛得知此事后，特意从邻国的拍摄场地飞来探班，他在片场默默地为我扫除了一切拍摄障碍……</t>
  </si>
  <si>
    <t>我制作的一档“云旅游”网综在当地走红，当地电视台邀请我去游玩并接受拍摄采访。周棋洛得知后，远程视频为我上了一节“表演课”。</t>
  </si>
  <si>
    <t>由于在镜头前表现得很不自然，我根据周棋洛交给我的“放松秘诀”，在橱窗前调整自己的状态，却在睁眼后看到了橱窗玻璃后的周棋洛。</t>
  </si>
  <si>
    <t>在随后的拍摄过程中，周棋洛为我默默扫除了一切拍摄“障碍”。有他的陪伴，我不知不觉进入了拍摄状态。</t>
  </si>
  <si>
    <t>周棋洛在拍摄结束前的半个小时不见了。拍摄结束后我匆忙赶到火车站，还好火车晚点，他还没有离开。我们坐在长椅上，互诉着今天的心情……</t>
  </si>
  <si>
    <t>周棋洛·迷藏bp</t>
  </si>
  <si>
    <t>5252:5119:4614:7233</t>
  </si>
  <si>
    <t>1176:642:411:1678</t>
  </si>
  <si>
    <t>周棋洛·假象bp</t>
  </si>
  <si>
    <t>7419:3967:4790:6040</t>
  </si>
  <si>
    <t>1687:377:625:1217</t>
  </si>
  <si>
    <t>周棋洛·梦想起点bp</t>
  </si>
  <si>
    <t>5252:8613:4429:3923</t>
  </si>
  <si>
    <t>1176:1750:606:375</t>
  </si>
  <si>
    <t>周棋洛·快乐供应bp</t>
  </si>
  <si>
    <t>8982:9074:1849:2310</t>
  </si>
  <si>
    <t>1371:1774:267:496</t>
  </si>
  <si>
    <t>周棋洛·光的缝隙bp</t>
  </si>
  <si>
    <t>9443:8891:422:3462</t>
  </si>
  <si>
    <t>1793:1404:173:528</t>
  </si>
  <si>
    <t>周棋洛·注目bp</t>
  </si>
  <si>
    <t>9621:6134:4150:2310</t>
  </si>
  <si>
    <t>1802:1222:592:291</t>
  </si>
  <si>
    <t>周棋洛·欲忘言bp</t>
  </si>
  <si>
    <t>9446:3967:5344:3462</t>
  </si>
  <si>
    <t>1793:582:1181:351</t>
  </si>
  <si>
    <t>周棋洛·心动节拍bp</t>
  </si>
  <si>
    <t>9441:5119:5348:2310</t>
  </si>
  <si>
    <t>1793:642:1181:291</t>
  </si>
  <si>
    <t>周棋洛·美妙一瞬bp</t>
  </si>
  <si>
    <t>5252:7695:1849:7419</t>
  </si>
  <si>
    <t>649:1702:267:1289</t>
  </si>
  <si>
    <t>李泽言·榛果诱惑</t>
  </si>
  <si>
    <t>1318,253,1</t>
  </si>
  <si>
    <t>2021/2/1 5:00</t>
  </si>
  <si>
    <t>1319,253,1</t>
  </si>
  <si>
    <t>美食当前能卸下防备的本领，和某人一样。</t>
  </si>
  <si>
    <t>李泽言·金桔报喜</t>
  </si>
  <si>
    <t>看在你挑选的份儿上，勉强收下这盆“祝福”。</t>
  </si>
  <si>
    <t>许墨·年岁生花</t>
  </si>
  <si>
    <t>一起让我们在今年许下的愿望发芽吧。</t>
  </si>
  <si>
    <t>周棋洛·甜源广进</t>
  </si>
  <si>
    <t>这份拥有全世界的心情，来源于你。</t>
  </si>
  <si>
    <t>白起·瑞舞生风</t>
  </si>
  <si>
    <t>我们约定好，今年也要笑颜常开。</t>
  </si>
  <si>
    <t>凌肖·爆竹声辉</t>
  </si>
  <si>
    <t>敢不敢在新年和我玩一次刺激的？</t>
  </si>
  <si>
    <t>李泽言·盛意满怀</t>
  </si>
  <si>
    <t>0,心跳定律活动限定</t>
  </si>
  <si>
    <t>1321,253,1</t>
  </si>
  <si>
    <t>1134,252,1</t>
  </si>
  <si>
    <t>我可以是你勇敢的底气。</t>
  </si>
  <si>
    <t>冰场之约</t>
  </si>
  <si>
    <t>公司拍摄的冰雪纪录片获奖后，我邀请李泽言一起去滑冰，没想到给他做了一次“老师”。除此之外，这次经历又意外地照亮了最近笼罩着我的迷茫……</t>
  </si>
  <si>
    <t>我邀请李泽言来到我“承包”的滑冰场，打算一起滑冰放松一下。我一直默认李泽言对什么事都很擅长，没想到他竟然不会滑冰……</t>
  </si>
  <si>
    <t>难得可以做李泽言的“老师”，我一边教他滑冰，一边趁机恶作剧，见到了他没那么从容的一面。这样的李泽言，也很可爱。</t>
  </si>
  <si>
    <t>李泽言学得很快，准备在他面前表现一下自己时，我不小心和一个小朋友撞在了一起，李泽言眼疾手快地接住了我。而后我才发现，他始终履行着要拉紧彼此的约定……</t>
  </si>
  <si>
    <t>从冰场出来，我和李泽言聊起最近的迷茫，李泽言点醒了我。他说他知道自己是我的目标，所以不会停下，给我不断向前的动力。而走向更高处的路上，他也会始终牵紧我的手。</t>
  </si>
  <si>
    <t>许墨·独享况味</t>
  </si>
  <si>
    <t>2325,253,1</t>
  </si>
  <si>
    <t>2132,252,1</t>
  </si>
  <si>
    <t>你让我每个普通的日常，都变成独一无二的瞬间。</t>
  </si>
  <si>
    <t>品味之约</t>
  </si>
  <si>
    <t>闲散的假日，正当我打算认真做个“假期计划”时，许墨恰好接到了需要他加班的电话。我当即决定跟许墨去上班，开启“许墨生态观察计划”……</t>
  </si>
  <si>
    <t>我和许墨一起在客厅看电影消磨假日的时光，被一通请他回去加班的电话打断。本就没有做假日计划的我灵光一现，决定跟许墨一起去加班，看看办公中的“许墨教授”，过着怎样的日常。</t>
  </si>
  <si>
    <t>在许墨办公室沙发上看着他办公的我，从心底觉得这样平凡又有些不同的日子让人安心又幸福。不知不觉间，他的办公室多了不少我送他的东西，这样算不算我也让他的生活更美好了呢？</t>
  </si>
  <si>
    <t>许墨的工作似乎意外地繁琐，直到中午还是没有做完。决心“考察”一下许墨日常生活的我，和他一起来到最高生科所旁的简餐厅，看看许墨平时会吃些怎样的食物。</t>
  </si>
  <si>
    <t>我们分享过彼此的食物，一起尝过效率至上，但并不怎么好吃的三明治，一起试了看起来很奇怪，但味道出乎意料美味的披萨。有彼此在身边，总是会这样发现生活中熠熠生辉的小小花火。</t>
  </si>
  <si>
    <t>周棋洛·心动节拍</t>
  </si>
  <si>
    <t>3332,253,1</t>
  </si>
  <si>
    <t>3127,252,1</t>
  </si>
  <si>
    <t>此刻你心跳的节拍，是不是和我一样？</t>
  </si>
  <si>
    <t>节拍之约</t>
  </si>
  <si>
    <t>天气正好的周末，我和周棋洛出门打算运动一下，顺便尝一下网红甜点街上的美食，然而一个不速之客的出现，打乱了我们原本的计划……</t>
  </si>
  <si>
    <t>难得的周末，天气晴朗，提前结束了工作的我和周棋洛决定出门运动一下。</t>
  </si>
  <si>
    <t>阳光正好，我们漫无目的地在街上慢跑。休息时，周棋洛一把抓住我，脚步雀跃地朝另一个方向走去。不一会，我们到达了目的地。我又好气又好笑地看着眼前的一切——原来这就是他一直想去的网红甜点街。</t>
  </si>
  <si>
    <t>看着眼前众多的美食店铺，我们正在蠢蠢欲动，却突然被一个不速之客拦住。一个主播想采访我们，我警惕地看着他，刚想拒绝，主播却似乎发现了周棋洛的身份，周围人的目光也一下子聚集过来……</t>
  </si>
  <si>
    <t>我和周棋洛又回到了家中，一番商量后，我们决定玩一款叫做《心跳节拍》的游戏。虽然都是初次玩，但周棋洛却渐渐与我拉开了差距，看到有些丧气的我，周棋洛主动当起了我的私人教练……</t>
  </si>
  <si>
    <t>白起·私人记号</t>
  </si>
  <si>
    <t>4335,253,1</t>
  </si>
  <si>
    <t>1,0,13.68,1:11,0,13.68,1</t>
  </si>
  <si>
    <t>4133,252,1</t>
  </si>
  <si>
    <t>以后这种小事，都交给我吧。</t>
  </si>
  <si>
    <t>挑战之约</t>
  </si>
  <si>
    <t>工作日的下午，为了庆祝前段时间项目的顺利完成，我打算和同事们请假去吃烤肉。但是当我走到公司楼下，白起却突然出现在我们面前，还提出要和我一起去约会……</t>
  </si>
  <si>
    <t>办公室里，顾梦和悦悦一脸八卦地问起了我最近很火的“感情可持续度测试”题，我的得分很低。我表示具体问题要具体分析，并迅速转移了话题，然而角落里，韩野却背着我搞起了小动作……</t>
  </si>
  <si>
    <t>为了庆祝前段时间项目的顺利完成，我本来和大家约好了下午一起请假出去吃烤肉，但是不知为什么，白起却突然出现在了公司楼下，而且提出要和我去约会……</t>
  </si>
  <si>
    <t>因为其他人都称自己接下来还有事，于是我便坐上小黑，和白起来到了一家大型商场。白起说正好听韩野说我要置办年货，所以带我过来，或者我们也可以去做些其他的事。明白了白起用意的我，告诉他其实只要和喜欢的人一起，不管什么时候，干什么都很开心。</t>
  </si>
  <si>
    <t>临近傍晚时分，我们终于提着大包小包回到了家。就在我整理今天的“战利品”时，目光不经意地扫过了桌上还未拆封的指甲油套装，心里一下子冒出一个“馊主意”……</t>
  </si>
  <si>
    <t>凌肖·完美突击</t>
  </si>
  <si>
    <t>6175,253,1</t>
  </si>
  <si>
    <t>1,0,22.43,1:11,0,22.43,1</t>
  </si>
  <si>
    <t>8039,252,1</t>
  </si>
  <si>
    <t>这点筹码可不够，少说也得用一天的时间来陪我。</t>
  </si>
  <si>
    <t>陪伴之约</t>
  </si>
  <si>
    <t>得知凌肖一个人在家很无聊，我带着食材去陪他过年却被他吐槽没劲。接着他提议了一个更有趣的游戏，并让屋内的气氛渐渐升温……</t>
  </si>
  <si>
    <t>我带着食材来到凌肖家里打算教他包春卷，他却说没劲，还用面粉将我画成花猫脸。面对炸毛的我，凌肖突然提议玩点真正有趣的。</t>
  </si>
  <si>
    <t>在被我故意否决了海盗桶之后，最终我们决定玩大富翁。在如愿兑换到道具卡之后，我迫不及待地对凌肖使用了陷害卡，惩罚是“说一件自己的糗事”。</t>
  </si>
  <si>
    <t>在我的“威逼利诱”下凌肖终于说了一件儿时糗事，我笑得很开心。凌肖表示别高兴得太早，没想到一语成谶——我掷完骰子恰好是惩罚位。我推着道具暗戳戳地企图往前多滑一格，却被凌肖一把抢走小汽车。</t>
  </si>
  <si>
    <t>没想到我的惩罚竟然是“完成对方提出的任何要求”。凌肖嘚瑟地要求我闭眼听指挥，黑暗中我摸索着往前走，没想到尽头却是捧着礼盒的凌肖。拆开礼物发现竟然是一本《如何高效管理时间》，见我气鼓鼓，凌肖却解释说……</t>
  </si>
  <si>
    <t>李泽言·柔怀心言</t>
  </si>
  <si>
    <t>1327,253,1</t>
  </si>
  <si>
    <t>140389,251,1</t>
  </si>
  <si>
    <t>1328,253,1</t>
  </si>
  <si>
    <t>有我在，放心做你想做的事。</t>
  </si>
  <si>
    <t>讨教之约</t>
  </si>
  <si>
    <t>我和李泽言同时受邀参加传媒年会，我却在会场遇到了一位对我存有误解的业内前辈。多亏李泽言的鼓励和安排，我最终与这位前辈解开了误会，重拾了做节目的信心……</t>
  </si>
  <si>
    <t>在飞往邻市参加年会的路上，我思绪重重地挂念着前不久被业内前辈批评的事情，李泽言却在这时补刀说这位前辈也会出现在年会……</t>
  </si>
  <si>
    <t>果然年会上同行们都纷纷提及了此事。我委婉地向李泽言道出了我和前辈的龃龉，他在上台演讲前，鼓励我主动向这位前辈请教经验。</t>
  </si>
  <si>
    <t>没想到我的座位居然在前辈的旁边，我鼓起勇气解开了我们之间的误会。年会结束后，我请李泽言喝咖啡，顺便小小地捉弄了他一下。</t>
  </si>
  <si>
    <t>回到酒店洗漱完毕，我却发现吹风机坏了。我向隔壁的李泽言借吹风机，他却主动替我吹起了头发。原来，他早就知道我这么多天以来的心结……</t>
  </si>
  <si>
    <t>许墨·黯色汐流</t>
  </si>
  <si>
    <t>2133,252,1</t>
  </si>
  <si>
    <t>2328,253,1</t>
  </si>
  <si>
    <t>2134,252,1</t>
  </si>
  <si>
    <t>感情汹涌如海，便无法保持沉默。</t>
  </si>
  <si>
    <t>从心之约</t>
  </si>
  <si>
    <t>在节目拍摄的午休时间，我与许墨约定了一起在公园吃午餐。我们说起了有关“心动”这件事的种种，之后，许墨以另一种形式对我敞露心扉……</t>
  </si>
  <si>
    <t>最近公司承接了一档恋爱类综艺，今天是新一期节目拍摄的第一天，恰好许墨也在附近有个讲座，我们约在了公园一期吃午餐。</t>
  </si>
  <si>
    <t>我向许墨说起了节目拍摄中，有女嘉宾想要向男嘉宾告白的事，许墨感慨，坦率表达自己的情感是一件很需要勇气的事。</t>
  </si>
  <si>
    <t>拍摄提前结束，我前往许墨家中等待他回来，看见墙上挂的一排画作上，画的都是我，我觉得有些单调，就动手画了一副新的。</t>
  </si>
  <si>
    <t>说起“心动”的种子，许墨坦诚地向我表示，是一种欲望被满足、忧虑被填平的快乐让他实在无法抵御这种本能，他愿意臣服这种本能。</t>
  </si>
  <si>
    <t>白起·星河欲坠时</t>
  </si>
  <si>
    <t>0,限时累充送活动限定|26,64040:25,64040</t>
  </si>
  <si>
    <t>40005,332,1|904009,333,1|904010,333,1</t>
  </si>
  <si>
    <t>你占领了我每个永恒的瞬间。</t>
  </si>
  <si>
    <t>星河欲坠时</t>
  </si>
  <si>
    <t>我在清晨见到了任务归来的白起，他带领分队破获了一起国际大案，并因此得奖，我自告奋勇地帮他组织了一次团建，但却没有料到自己竟然在团建现场喝醉了……</t>
  </si>
  <si>
    <t>白起带领特警分队破获了一起跨国案件，市政府因此特意为他授予荣誉奖项，但白起结束任务后却没有去领奖，而是直接来了我家。</t>
  </si>
  <si>
    <t>我了解了前因后果后建议白起带着队员们组织一次团建，好好犒劳一下在任务中表现勇猛的特警们，白起思考片刻，答接受了我的提议，我兴冲冲地帮他预定了酒吧。</t>
  </si>
  <si>
    <t>在酒吧我见到了和白起一起出任务的队员们，看到了和平时不太一样的一群年轻特警，在和顾征的交谈中，我了解到了一些白起以前的事。</t>
  </si>
  <si>
    <t>白起担心我喝醉，制止了我继续喝酒，但这时我已经有些醉了，我看着白起在队员中间神采飞扬的样子，想到他的过往，忍不住借着酒劲向他允诺了很多。</t>
  </si>
  <si>
    <t>白起说我需要醒醒酒，他带着我来到了休息室，但在休息室里，我却被白起抵在了门上亲吻，他的情绪似乎也因为我的话而波动起来……</t>
  </si>
  <si>
    <t>李泽言·偏爱</t>
  </si>
  <si>
    <t>1,0,36,0.95</t>
  </si>
  <si>
    <t>10005,332,1|901009,333,1|901010,333,1</t>
  </si>
  <si>
    <t>不用怀疑，我的心始终归属于你。</t>
  </si>
  <si>
    <t>偏爱</t>
  </si>
  <si>
    <t>今年我又一次和李泽言去邻省过年，在李泽言的房间里，我稍稍窥见了他的过去，小时候的记忆也随之浮上心头。但我没想到的是，这段回忆竟能让我见到一个不太一样的李泽言……</t>
  </si>
  <si>
    <t>我和李泽言一起去李爸爸家过年，和姑姑聊天时很真诚地说了很多关于李泽言的话。李泽言无意中听到后却没有什么特别的反应，似乎已经习惯了。我忽然意识到很久没有见到会为我害羞的李泽言了。</t>
  </si>
  <si>
    <t>为了试着见到李泽言的另一面，我准备用手边的红酒和冰糖来逗他一下。但我高估了自己“临场发挥”的水平，不小心弄巧成拙，还反而给了李泽言反攻的机会。</t>
  </si>
  <si>
    <t>晚上我路过李泽言的房间，他刚好没有睡，似乎是在等我。虽然没有太多的生活痕迹，但这个房间里有很多他读书时的物件，角落里甚至还有他小时候喜欢玩的足球。想起两个人小时候啼笑皆非的相遇，我无意中提起了当时对他的称呼。李泽言的反应有些奇怪，他是害羞了吗……？</t>
  </si>
  <si>
    <t>回到恋语市，李泽言带我去他在市郊的房子“度假”。由于没找到自己的睡衣，我借机向李泽言借了一件衬衫，试图再次看到他害羞的反应。然而还没等我的计划开始，我就不小心睡着了……</t>
  </si>
  <si>
    <t>第二天我早早起来准备爱心早餐，将之前的小心思抛在了脑后。本以为李泽言会和前一天一样，没想到他主动提起了在李爸爸家的那一晚，还引导着我回忆了一遍当晚发生的事。我意识到他想要的是什么，也终于如愿以偿地见到了为我害羞的李泽言。</t>
  </si>
  <si>
    <t>许墨·贪恋</t>
  </si>
  <si>
    <t>0,热恋密码活动限定|26,62030:25,62030</t>
  </si>
  <si>
    <t>1,-47.54,12.9,1</t>
  </si>
  <si>
    <t>20003,332,1|902005,333,1|902006,333,1</t>
  </si>
  <si>
    <t>这一次，我把主动权交到你的手上。</t>
  </si>
  <si>
    <t>贪恋</t>
  </si>
  <si>
    <t>久违的假期，我决定和许墨一起去温泉旅馆度过这段只属于我们两人的时光。然而过程中，我却一直默默地惦记着另一件事……</t>
  </si>
  <si>
    <t>我意外得知了科学界的权威奖项——科拉沃奖会推迟公布获奖名单的消息，而原本呼声最高的候选者许墨，似乎也因为评选标准的变化，出现了强有力的竞争对手。看到这个新闻的我，心里不仅蒙上了一层担忧……</t>
  </si>
  <si>
    <t>许墨拒绝了媒体的采访，并表示只想和我一起度过这个属于我们的假期。而我也因为他的这番话，内心产生了一些波动。</t>
  </si>
  <si>
    <t>我和许墨一起喝着清酒，期间许墨突然提到了以前玩过的一个游戏，我一下子来了兴趣。通过这个游戏，我的心情渐渐放松起来，而许墨也告诉我，他之所以和我玩游戏，其实还有另一个目的……</t>
  </si>
  <si>
    <t>因为雪小了些，我们决定去泡温泉，然而出乎意料的是，这里的温泉并不像我们曾经泡的那样，中间会有木板隔开。我跟许墨泡在同一个温泉池里，气氛有些紧张和微妙……</t>
  </si>
  <si>
    <t>回到房间，映入眼帘的是我提前为许墨准备的另一个礼物——“奖状蛋糕”。他说看来我确实是很在意奖项的事，于是打开手机，和我一起看获奖名单，我的心情一下子又紧张起来……</t>
  </si>
  <si>
    <t>周棋洛·温存</t>
  </si>
  <si>
    <t>0,热恋密码活动限定|26,63030:25,63030</t>
  </si>
  <si>
    <t>30003,332,1|903005,333,1|903006,333,1</t>
  </si>
  <si>
    <t>和你的每一天，都比我预想的更甜蜜。</t>
  </si>
  <si>
    <t>温存</t>
  </si>
  <si>
    <t>远哥出差，将苹果箱委托我和周棋洛照顾，在短短的几天时间里，我们和狗狗度过了一个充满泡沫香气的假期……</t>
  </si>
  <si>
    <t>难得的休息日，我和周棋洛带苹果箱去宠物店美容。看到被打扮得这么可爱的苹果箱，我们也觉得应该让它多认识一些其他的朋友。</t>
  </si>
  <si>
    <t>我们来到附近的宠物公园，没想到居然偶遇了苹果箱的好朋友，原来不需要我们的插手，苹果箱已经成了这片小区的万人迷狗狗了~</t>
  </si>
  <si>
    <t>放苹果箱和小伙伴们一块去玩耍后，我和周棋洛也打算找个地方歇一歇，没想到还没坐一会儿，草坪上的狗狗们不知为何打起来了！危急时刻，竟然是苹果箱挺身而出，成为了狗狗里的超级英雄！晚上一定要给它加个罐头~</t>
  </si>
  <si>
    <t>因为这一段插曲，做好的美容也彻底泡了汤，我和周棋洛决定带苹果箱自己回家洗个澡，但狗狗却意外地不怎么配合，反倒溅了我和周棋洛一身水，这下我们变成湿淋淋的一家人了……</t>
  </si>
  <si>
    <t>好不容易收拾完毕，我忽然在客厅里发现了一本有周棋洛专栏采访的杂志，在我正看得入神的时候，周棋洛悄无声息地来到了我的身后，他狡猾表示看采访可没法全面了解他，不如和他来一场私人采访……</t>
  </si>
  <si>
    <t>白起·执迷</t>
  </si>
  <si>
    <t>0,热恋密码活动限定|26,64030:25,64030</t>
  </si>
  <si>
    <t>1,8.31,62.8,0.9</t>
  </si>
  <si>
    <t>40004,332,1|904007,333,1|904008,333,1</t>
  </si>
  <si>
    <t>你没有离开这里的机会了。</t>
  </si>
  <si>
    <t>执迷</t>
  </si>
  <si>
    <t>距离上次和白起见面已经过去了两个月，即使年三十也没有等来白起任何的消息。在情人节当天我收到了邀请函，和大学时就很照顾我的前辈一起参加了一个订婚晚宴，没想到在那里竟然遇见了白起……！</t>
  </si>
  <si>
    <t>白起去执行任务了，从他两个月前大半夜来我家之后，我再也没有见过他。眼看年三十都已经过去，我也没有收到他的任何消息。因为收到邀请，我和陈哥一起参加了一个订婚晚宴，期间我一直感觉到一股莫名的注视，没想到竟然是……！</t>
  </si>
  <si>
    <t>没想到白起也在这个晚宴上，只不过他似乎并不是以“白起”的身份参加的。看到他我瞬间安下心来，未免打扰他的行动我也并没有靠近。但就在我和陈哥聊天时，白起竟突然过来搭话？</t>
  </si>
  <si>
    <t>在狭小的房间里，我和白起互诉思念之情。在我准备离开的时候，房门突然被敲响，门外的人似乎在怀疑白起隐藏身份的事。我拒绝了白起让我躲起来的建议，表达了我想要和他一起面对一切的决心，将白起推到了沙发上……</t>
  </si>
  <si>
    <t>我们顺利地打发了强行闯入的人，我和白起分开回到了各自原有的位置上，继续着我们在这里应该做的事情。我默默在心里祈祷着，希望白起能平安顺利地完成任务……</t>
  </si>
  <si>
    <t>即使白起告诉我任务结束了，我还是非常懵，有强烈的不真实感。白起慢慢地告诉我他的任务目标，在这不长不短的两个月中，他大概一直在不顾自己地奔波着，我想让他快去好好休息一下，不料他却拽着我一起倒在懒人沙发上。两个月的思念，在这个深夜拥抱着久久等待的人</t>
  </si>
  <si>
    <t>周棋洛·美妙一瞬</t>
  </si>
  <si>
    <t>3338,253,1</t>
  </si>
  <si>
    <t>1,2,51,0.86:11,2,51,0.86</t>
  </si>
  <si>
    <t>3128,252,1</t>
  </si>
  <si>
    <t>爱与被爱，都是幸福的能力。</t>
  </si>
  <si>
    <t>星芒之约</t>
  </si>
  <si>
    <t>受到赛德尔夫人的邀请，我和周棋洛去往法国参加了她举办的慈善音乐会。演出结束后，周棋洛带我和赛德尔夫人见了面，她在无意中透露，其实周棋洛还为我准备了另一个计划……</t>
  </si>
  <si>
    <t>我和周棋洛参加赛德尔夫人举办的慈善独唱音乐会，这场音乐会的募捐所得将全部用于自闭症儿童的救助与治疗。然而，就在我怀着期待的心情等待着演出开始时，一个自闭症儿童的怪异举动却吸引了在场观众的注意。</t>
  </si>
  <si>
    <t>在周棋洛的安抚下，男孩渐渐平静下来，危机被巧妙化解，演出也顺利开始。音乐会结束后，周棋洛带我去后台见到了赛德尔夫人，她在无意中透露，其实周棋洛还为我准备了另一个计划……</t>
  </si>
  <si>
    <t>我好奇地问周棋洛他的计划是什么，但周棋洛却说没什么，他只是阳光明媚的天气里做点开心的事情。我们在街上的店铺里租赁了一辆自行车，周棋洛载着我来到了一个广场。广场上，有老人拉着手风琴，一旁的少女在扬声哼唱，我跟周棋洛朝一个花墙篱笆走去，惊喜地发现在它的另一边，河流上正停栖着一只摆满鲜花的小船。</t>
  </si>
  <si>
    <t>我和周棋洛坐上了小船，原来这就是他为我准备的另一个计划。感动之余，我靠在周棋洛的肩上，忽然想起了一件事……</t>
  </si>
  <si>
    <t>周棋洛·迷藏美妙一瞬</t>
  </si>
  <si>
    <t>1,2,135,0.9</t>
  </si>
  <si>
    <t>422:5302:6041:10454</t>
  </si>
  <si>
    <t>192:652:1217:1846</t>
  </si>
  <si>
    <t>周棋洛·假象美妙一瞬</t>
  </si>
  <si>
    <t>1,0,19,1</t>
  </si>
  <si>
    <t>2589:4150:6217:9261</t>
  </si>
  <si>
    <t>305:592:1227:1783</t>
  </si>
  <si>
    <t>周棋洛·梦想起点美妙一瞬</t>
  </si>
  <si>
    <t>1,0,69,1</t>
  </si>
  <si>
    <t>422:8796:5856:7144</t>
  </si>
  <si>
    <t>192:1759:681:1275</t>
  </si>
  <si>
    <t>周棋洛·快乐供应美妙一瞬</t>
  </si>
  <si>
    <t>1,0,128,0.88</t>
  </si>
  <si>
    <t>4152:9257:3276:5531</t>
  </si>
  <si>
    <t>592:1783:341:1191</t>
  </si>
  <si>
    <t>周棋洛·光的缝隙美妙一瞬</t>
  </si>
  <si>
    <t>1,-73.9,24.11,1.03</t>
  </si>
  <si>
    <t>4613:9074:1849:6683</t>
  </si>
  <si>
    <t>616:1774:267:1251</t>
  </si>
  <si>
    <t>周棋洛·注目美妙一瞬</t>
  </si>
  <si>
    <t>1,0,9,1</t>
  </si>
  <si>
    <t>4791:6317:5577:5531</t>
  </si>
  <si>
    <t>420:1630:1193:664</t>
  </si>
  <si>
    <t>周棋洛·欲忘言美妙一瞬</t>
  </si>
  <si>
    <t>1,-54,44,1</t>
  </si>
  <si>
    <t>4616:4150:6771:6683</t>
  </si>
  <si>
    <t>616:387:1653:1251</t>
  </si>
  <si>
    <t>周棋洛·心动节拍美妙一瞬</t>
  </si>
  <si>
    <t>4611:5302:6775:5531</t>
  </si>
  <si>
    <t>411:652:1654:1191</t>
  </si>
  <si>
    <t>李泽言·心墙盛意满怀</t>
  </si>
  <si>
    <t>1,-5,117,1.05</t>
  </si>
  <si>
    <t>5345:2726:4611:9540</t>
  </si>
  <si>
    <t>1181:312:616:1798</t>
  </si>
  <si>
    <t>李泽言·围城盛意满怀</t>
  </si>
  <si>
    <t>1,-3,147,0.87</t>
  </si>
  <si>
    <t>4152:1574:6778:9716</t>
  </si>
  <si>
    <t>592:252:1256:1807</t>
  </si>
  <si>
    <t>李泽言·热望盛意满怀</t>
  </si>
  <si>
    <t>1,55,79,1</t>
  </si>
  <si>
    <t>2035:6220:4611:9355</t>
  </si>
  <si>
    <t>276:1227:616:1788</t>
  </si>
  <si>
    <t>李泽言·浮香盛意满怀</t>
  </si>
  <si>
    <t>1,0,165,1</t>
  </si>
  <si>
    <t>422:6681:8341:6775</t>
  </si>
  <si>
    <t>192:724:1735:1256</t>
  </si>
  <si>
    <t>李泽言·猎行之时盛意满怀</t>
  </si>
  <si>
    <t>1,-33,19,1</t>
  </si>
  <si>
    <t>1574:6498:8802:5348</t>
  </si>
  <si>
    <t>252:1241:1759:654</t>
  </si>
  <si>
    <t>李泽言·制胜时刻盛意满怀</t>
  </si>
  <si>
    <t>1,0,55.41,1</t>
  </si>
  <si>
    <t>422:3741:8980:9076</t>
  </si>
  <si>
    <t>192:570:1371:1774</t>
  </si>
  <si>
    <t>李泽言·一眸之隔盛意满怀</t>
  </si>
  <si>
    <t>1,0,70,1</t>
  </si>
  <si>
    <t>2310:5119:9441:5348</t>
  </si>
  <si>
    <t>291:642:1793:1181</t>
  </si>
  <si>
    <t>李泽言·今夕景盛意满怀</t>
  </si>
  <si>
    <t>1574:1574:8805:10270</t>
  </si>
  <si>
    <t>360:177:1512:1836</t>
  </si>
  <si>
    <t>许墨·破局独享况味</t>
  </si>
  <si>
    <t>1,68,-50,1.13</t>
  </si>
  <si>
    <t>9540:5345:2726:4611</t>
  </si>
  <si>
    <t>1798:1181:312:616</t>
  </si>
  <si>
    <t>许墨·陷落独享况味</t>
  </si>
  <si>
    <t>1,8,87,0.88</t>
  </si>
  <si>
    <t>9716:4152:1574:6778</t>
  </si>
  <si>
    <t>1807:592:252:1256</t>
  </si>
  <si>
    <t>许墨·雨幕独享况味</t>
  </si>
  <si>
    <t>9355:2035:6220:4611</t>
  </si>
  <si>
    <t>1788:276:1227:616</t>
  </si>
  <si>
    <t>许墨·拟扣心门独享况味</t>
  </si>
  <si>
    <t>1,0,407,0.88</t>
  </si>
  <si>
    <t>5348:2310:5119:9441</t>
  </si>
  <si>
    <t>1181:291:642:1793</t>
  </si>
  <si>
    <t>许墨·落日余温独享况味</t>
  </si>
  <si>
    <t>1,0,66,1</t>
  </si>
  <si>
    <t>6775:422:6681:8341</t>
  </si>
  <si>
    <t>1256:192:724:1735</t>
  </si>
  <si>
    <t>许墨·断线独享况味</t>
  </si>
  <si>
    <t>1,0,660,1</t>
  </si>
  <si>
    <t>5348:1574:6498:8802</t>
  </si>
  <si>
    <t>654:252:1241:1759</t>
  </si>
  <si>
    <t>许墨·自深深处独享况味</t>
  </si>
  <si>
    <t>1,0,0,1</t>
  </si>
  <si>
    <t>9076:422:3741:8980</t>
  </si>
  <si>
    <t>1774:192:570:1371</t>
  </si>
  <si>
    <t>许墨·梦仙林独享况味</t>
  </si>
  <si>
    <t>10270:1574:1574:8805</t>
  </si>
  <si>
    <t>1836:360:177:1512</t>
  </si>
  <si>
    <t>周棋洛·迷藏心动节拍</t>
  </si>
  <si>
    <t>4611:2726:9540:5345</t>
  </si>
  <si>
    <t>616:312:1798:1181</t>
  </si>
  <si>
    <t>周棋洛·假象心动节拍</t>
  </si>
  <si>
    <t>6778:1574:9716:4152</t>
  </si>
  <si>
    <t>1256:252:1807:592</t>
  </si>
  <si>
    <t>周棋洛·梦想起点心动节拍</t>
  </si>
  <si>
    <t>4611:6220:9355:2035</t>
  </si>
  <si>
    <t>616:1227:1788:276</t>
  </si>
  <si>
    <t>周棋洛·快乐供应心动节拍</t>
  </si>
  <si>
    <t>8341:6681:6775:422</t>
  </si>
  <si>
    <t>1735:724:1256:192</t>
  </si>
  <si>
    <t>周棋洛·光的缝隙心动节拍</t>
  </si>
  <si>
    <t>8802:6498:5348:1574</t>
  </si>
  <si>
    <t>1759:1241:654:252</t>
  </si>
  <si>
    <t>周棋洛·注目心动节拍</t>
  </si>
  <si>
    <t>8980:3741:9076:422</t>
  </si>
  <si>
    <t>1371:570:1774:192</t>
  </si>
  <si>
    <t>周棋洛·欲忘言心动节拍</t>
  </si>
  <si>
    <t>8805:1574:10270:1574</t>
  </si>
  <si>
    <t>1512:360:1836:177</t>
  </si>
  <si>
    <t>白起·风起时私人记号</t>
  </si>
  <si>
    <t>1,2,51,0.86:2,0,13.68,1</t>
  </si>
  <si>
    <t>4611:6775:5529:5304</t>
  </si>
  <si>
    <t>411:1654:1191:652</t>
  </si>
  <si>
    <t>白起·锋刃私人记号</t>
  </si>
  <si>
    <t>1,4,110,0.86:2,0,13.68,1</t>
  </si>
  <si>
    <t>4611:9540:5345:2726</t>
  </si>
  <si>
    <t>616:1798:1181:312</t>
  </si>
  <si>
    <t>白起·长夜星火私人记号</t>
  </si>
  <si>
    <t>1,-59,98,1:2,0,13.68,1</t>
  </si>
  <si>
    <t>6778:9716:4152:1574</t>
  </si>
  <si>
    <t>1256:1807:592:252</t>
  </si>
  <si>
    <t>白起·灿烂之年私人记号</t>
  </si>
  <si>
    <t>2,0,13.68,1</t>
  </si>
  <si>
    <t>4611:9355:2035:6220</t>
  </si>
  <si>
    <t>616:1788:276:1227</t>
  </si>
  <si>
    <t>白起·无畏私人记号</t>
  </si>
  <si>
    <t>1,0,-14,1:2,0,13.68,1</t>
  </si>
  <si>
    <t>8802:5348:1574:6498</t>
  </si>
  <si>
    <t>1759:654:252:1241</t>
  </si>
  <si>
    <t>白起·留白心绪私人记号</t>
  </si>
  <si>
    <t>1,0,70,1:2,0,13.68,1</t>
  </si>
  <si>
    <t>8339:6775:422:6683</t>
  </si>
  <si>
    <t>1735:1256:192:724</t>
  </si>
  <si>
    <t>白起·隐夜私人记号</t>
  </si>
  <si>
    <t>1,0,14,1:2,0,13.68,1</t>
  </si>
  <si>
    <t>8980:9076:422:3741</t>
  </si>
  <si>
    <t>1371:1774:192:570</t>
  </si>
  <si>
    <t>白起·醉行歌私人记号</t>
  </si>
  <si>
    <t>1,0,54.37,1:2,0,13.68,1</t>
  </si>
  <si>
    <t>8805:10270:1574:1574</t>
  </si>
  <si>
    <t>1512:1836:360:177</t>
  </si>
  <si>
    <t>白起·斑驳印记私人记号</t>
  </si>
  <si>
    <t>1,0,195.9,0.9:2,0,13.68,1</t>
  </si>
  <si>
    <t>9441:5348:2310:5119</t>
  </si>
  <si>
    <t>1793:1181:291:642</t>
  </si>
  <si>
    <t>凌肖·极速定律完美突击</t>
  </si>
  <si>
    <t>1,-63,-6,1:2,0,22.43,1</t>
  </si>
  <si>
    <t>4611:2589:9078:5942</t>
  </si>
  <si>
    <t>616:305:1774:1212</t>
  </si>
  <si>
    <t>凌肖·高热完美突击</t>
  </si>
  <si>
    <t>1,1,131,0.86:2,0,22.43,1</t>
  </si>
  <si>
    <t>5763:422:10271:5766</t>
  </si>
  <si>
    <t>1203:192:1836:676</t>
  </si>
  <si>
    <t>凌肖·侵袭完美突击</t>
  </si>
  <si>
    <t>2,0,22.43,1</t>
  </si>
  <si>
    <t>9257:422:6961:5581</t>
  </si>
  <si>
    <t>1783:192:1265:666</t>
  </si>
  <si>
    <t>凌肖·奔涌完美突击</t>
  </si>
  <si>
    <t>1,0,0,1:2,0,22.43,1</t>
  </si>
  <si>
    <t>9535:4613:6500:1574</t>
  </si>
  <si>
    <t>1798:616:1241:252</t>
  </si>
  <si>
    <t>凌肖·狂热节拍完美突击</t>
  </si>
  <si>
    <t>1,54,572,1:2,0,22.43,1</t>
  </si>
  <si>
    <t>6778:4791:5348:5302</t>
  </si>
  <si>
    <t>1654:420:1181:652</t>
  </si>
  <si>
    <t>李泽言·所愿如常</t>
  </si>
  <si>
    <t>1135,252,1</t>
  </si>
  <si>
    <t>1329,253,1</t>
  </si>
  <si>
    <t>1136,252,1</t>
  </si>
  <si>
    <t>在我这里，你永远都是自由的。</t>
  </si>
  <si>
    <t>田园之约</t>
  </si>
  <si>
    <t>新的一年，我和李泽言开启了我们的“春之旅行”。不过我们来到的这个度假村有些特别，那就是这里不提供任何餐食，也就是说这几天的三餐都要靠我们自己解决……</t>
  </si>
  <si>
    <t>原本想要向李泽言介绍这个度假村的特点时，却被他提前说了出来。原来这家度假村的投资方案前不久到了李泽言的手里……</t>
  </si>
  <si>
    <t>原本只是打算在冰箱里提供的食材随便应付一顿，却没想到在庭院里看到一只鸡走过，美味的想法在脑中闪现，我拉着李泽言向庭院走去……</t>
  </si>
  <si>
    <t>饱餐一顿后，我们走出了小木屋走在度假村里闲逛。不久，我们便走到一片果园前，这里的农夫邀请我们体验种植果树的特别的项目。</t>
  </si>
  <si>
    <t>在回去的路上，我们遇到了之前的农夫。他热情地邀请我们去参加他们的“烤肉宴”。在那里我听到了他们的故事，不禁产生了思考。而就在我和李泽言一来一往的讨论中，他再一次将心中的话说了出来……</t>
  </si>
  <si>
    <t>周棋洛·暖冬</t>
  </si>
  <si>
    <t xml:space="preserve">0,四季同行活动限定 </t>
  </si>
  <si>
    <t>3329,253,1</t>
  </si>
  <si>
    <t>2021/1/16 5:00</t>
  </si>
  <si>
    <t>140376,251,1</t>
  </si>
  <si>
    <t>3330,253,1</t>
  </si>
  <si>
    <t>你的心跳，让整个冬天变得与众不同。</t>
  </si>
  <si>
    <t>冬游之约</t>
  </si>
  <si>
    <t>拍摄间隙的休息日里，我和周棋洛在这座陌生城市里闲逛，谁知最后一站他不小心带错了路，这个意外的小插曲却令我们拥有了一段奇妙的“游戏奇遇”……</t>
  </si>
  <si>
    <t>逛了一天下来，不知不觉黄昏了。在我提议回酒店的时候，周棋洛说再带我去最后一个地方。谁知路越走越偏，出现在我们眼前的竟然是铁管堆。</t>
  </si>
  <si>
    <t>尽管走错了路，但我们没有原路返回，反而决定翻过这堆铁管试试看，没想到眼前出现了一个还未正式营业的游戏厅。老板见周棋洛的确很“识货”，高兴地表示所有游戏机免费畅玩。</t>
  </si>
  <si>
    <t>游戏厅里恰好有熊宝宝扭蛋机，谁知一连五六轮周棋洛都没抽到想要的红色小熊。最后我决定试一轮，没想到一下子抽中了。我故意使坏说要不要送他得再考虑一下，周棋洛表示那就来一场比赛吧！</t>
  </si>
  <si>
    <t>我稀里糊涂地就被周棋洛“套路”了进去，用他小时候常玩的音乐机来一决胜负。谁知因为下意识亲手来帮我按图标，最后竟然是我赢了最高分。周棋洛表示愿赌服输，而我的要求则是……</t>
  </si>
  <si>
    <t>许墨·帷幕低语</t>
  </si>
  <si>
    <t>0,以心之名活动限定</t>
  </si>
  <si>
    <t>2127,252,1</t>
  </si>
  <si>
    <t>2021/1/20 5:00</t>
  </si>
  <si>
    <t>2320,253,1</t>
  </si>
  <si>
    <t>2128,252,1</t>
  </si>
  <si>
    <t>当你在我身旁时，仿佛一切都有了答案。</t>
  </si>
  <si>
    <t>剧场之约</t>
  </si>
  <si>
    <t>许墨作为我的节目顾问，和我一起参与了纪录片拍摄，拍摄对象是一群热爱话剧表演的大学生。这天，他们邀请我和许墨来当他们话剧演出的主持人……</t>
  </si>
  <si>
    <t>正在拍摄纪录片的我，忽然被大学生们叫住。他们纷纷向我和许墨答谢这段时间对他们的帮助，并真诚地邀请我和许墨当他们话剧演出的主持人……</t>
  </si>
  <si>
    <t>我和许墨答应了学生们的邀请。考虑到第二天就要正式彩排，我们连忙来到服装租赁的地方，挑选两套合适的礼服。在面对成百上千的礼服中，许墨为我拿来一件清爽的白色长裙。</t>
  </si>
  <si>
    <t>第一次正式彩排的当天，舞台现场发生了很多的意外，学生们都有些兴致怏怏。我试图安抚学生们的情绪，却没想到许墨的一番举动让大家重新振作起来。</t>
  </si>
  <si>
    <t>临近演出前，我为学生们准备了一些心意。但在去往后台的路上时，我的衣服却意外散开！我一时还没反应过来，许墨便揽着我走进幕后的角落里，狭小的空间不禁让我面红心跳……</t>
  </si>
  <si>
    <t>李泽言·此心安处</t>
  </si>
  <si>
    <t>0,此心安处活动限定</t>
  </si>
  <si>
    <t>2021/1/8 5:00</t>
  </si>
  <si>
    <t>归属之约</t>
  </si>
  <si>
    <t>李泽言的生日又快到了，今年我也想给他一些和以往都不一样的惊喜。但没想到，我也会在他的生日这天收获很多惊喜……</t>
  </si>
  <si>
    <t>我照例去李泽言家做生日装饰，意外地替他签收了一个来自动物园的快递。我对他认养的熊猫很好奇，希望以后能和他一起去看望它们。</t>
  </si>
  <si>
    <t>李泽言的生日在工作日，他却在这天给自己和我都放了假，决定带我去动物园看熊猫。</t>
  </si>
  <si>
    <t>李泽言总能很快地分辨出自己认养的两只熊猫，令我有些惊讶。我意外得知言言的生日和李泽言是同一天，便借着这个机会为两位寿星送上了生日祝福。</t>
  </si>
  <si>
    <t>回到家，我让李泽言寻找我提前藏好的礼物，并帮他找到了藏在被子下的领带。他罕见地坦言对我准备的生日一直都很满意，还做出了一个独属于我的承诺。</t>
  </si>
  <si>
    <t>李泽言·可爱万岁</t>
  </si>
  <si>
    <t>1316,253,1</t>
  </si>
  <si>
    <t>1137,252,1</t>
  </si>
  <si>
    <t>世界上第一可爱的，不就在我面前吗？</t>
  </si>
  <si>
    <t>周棋洛·欢心萌动</t>
  </si>
  <si>
    <t>0,2021年1月签到奖励</t>
  </si>
  <si>
    <t>3322,253,1</t>
  </si>
  <si>
    <t>2021/1/1 5:00</t>
  </si>
  <si>
    <t>3323,253,1</t>
  </si>
  <si>
    <t>你想说什么？我竖起耳朵听着呢。</t>
  </si>
  <si>
    <t>许墨·雪落有影</t>
  </si>
  <si>
    <t>0,雪愿冬景活动限定</t>
  </si>
  <si>
    <t>140355,251,1</t>
  </si>
  <si>
    <t>2020/12/24 5:00</t>
  </si>
  <si>
    <t>140372,251,1</t>
  </si>
  <si>
    <t>2126,252,1</t>
  </si>
  <si>
    <t>我很高兴那一刻，你也在想着我。</t>
  </si>
  <si>
    <t>摆摊之约</t>
  </si>
  <si>
    <t>正在发愁今年将如何度过圣诞节的我，意外地发现了一个有趣的圣诞市集活动。我决定和许墨以“摊主”的身份共同打造一个与众不同的圣诞摊位……</t>
  </si>
  <si>
    <t>决定参加这个活动后，我和许墨开始商量如何才能打造出一个“创意摊铺”。思考许久后，我忽然有了与许墨紧紧相关的灵感，那就是开一家“圣诞心愿屋”！</t>
  </si>
  <si>
    <t>圣诞当天，我们提前来到店铺里开始室内装饰，但在装扮橱窗的过程中，我和许墨迎来了属于我们的第一场雪。那一刻，他说出在他心中对初雪的定义。</t>
  </si>
  <si>
    <t>心愿屋马上就要开始营业了，第一次摆摊的我不免有些紧张。许墨为了让我放松下来，临时假扮了顾客的身份，并且用一份惊喜交换了我手中的心愿卡。</t>
  </si>
  <si>
    <t>圣诞市集进入了尾声，等人潮散去后，我终于打开了许墨送我的惊喜——精致的雪花标本。而我也在“雪花”的见证下，实现了许墨今晚许下的圣诞愿望。</t>
  </si>
  <si>
    <t>白起·夜雪迢迢</t>
  </si>
  <si>
    <t>4129,252,1</t>
  </si>
  <si>
    <t>140356,251,1</t>
  </si>
  <si>
    <t>140373,251,1</t>
  </si>
  <si>
    <t>最值得铭记的，是这一刻的心跳。</t>
  </si>
  <si>
    <t>心驰之约</t>
  </si>
  <si>
    <t>今年，我和白起来到了梦寐以求的北欧过圣诞！电影中的场景一一在眼前展现，而我也为白起准备了一份神秘的礼物。只是令我没想到的是，白起送给我的圣诞礼物竟然是……</t>
  </si>
  <si>
    <t>在飞机上和白起一起再看了一遍圣诞电影，没多久，我们就抵达了这次的目的地：北欧。</t>
  </si>
  <si>
    <t>时间还早，放下行李后我和白起一起在街市闲逛。站在充满了浓厚圣诞氛围、又飘着雪的街道上，我们决定从品尝姜饼开始。</t>
  </si>
  <si>
    <t>天色渐渐晚了，在听到钟声后我决定是时候送出神秘礼物了——由圣诞老人派来的驯鹿车，和车上的红色围巾。我得意地告诉白起，围巾角落的银杏可是我亲手绣上去的。</t>
  </si>
  <si>
    <t>当地平安夜的压轴活动：广场零点倒数就要开始了。令我不可置信的是，被选中按倒数铃铛的竟然是我和白起！正当我为这样的幸运感到不可思议时，看着眼前笃定微笑的白起，我忽然意识到这一切或许是……</t>
  </si>
  <si>
    <t>李泽言·雪季愿曲</t>
  </si>
  <si>
    <t>1126,252,1</t>
  </si>
  <si>
    <t>140374,251,1</t>
  </si>
  <si>
    <t>1127,252,1</t>
  </si>
  <si>
    <t>今晚的冒失鬼，又多了一个。</t>
  </si>
  <si>
    <t>完美之约</t>
  </si>
  <si>
    <t>圣诞节前夕，我“买通”魏谦把李泽言圣诞节那天的行程空出来，因为我一直希望和李泽言过一个完美的圣诞。原本以为他会对此漠不关心，但是没想到他居然实现了我心目中的完美圣诞……</t>
  </si>
  <si>
    <t>会议结束后，我试探性地询问李泽言圣诞节的行程安排，没想到他早已做好了和我一起度过平安夜的打算。</t>
  </si>
  <si>
    <t>回到李泽言的家，我发现长期不工作的壁炉此时正燃着火苗，原来李泽言不动声色地为我实现了圣诞的愿望。随后我们分工合作，完成了圣诞大餐和装扮。</t>
  </si>
  <si>
    <t>没想到我为李泽言精心准备的圣诞惊喜居然被布丁搅合了，它甚至还糟蹋了李泽言的蛋糕……于是在美好的平安夜，我们鸡飞狗跳地给布丁洗了个澡。</t>
  </si>
  <si>
    <t>我枕在李泽言的腿上睡着了，醒来后却发现他在露天阳台外。正当我困惑不解时，下雪了……这场人工降雪是华锐集团送给恋语市市民的礼物，最重要的是，这场雪最终实现了我的完美圣诞……</t>
  </si>
  <si>
    <t>周棋洛·金色雪吻</t>
  </si>
  <si>
    <t>140375,251,1</t>
  </si>
  <si>
    <t>3121,252,1</t>
  </si>
  <si>
    <t>3122,252,1</t>
  </si>
  <si>
    <t>哪怕翻山越岭，我也会不停地走向你。</t>
  </si>
  <si>
    <t>回响之约</t>
  </si>
  <si>
    <t>又到了一年一度的圣诞节，只不过今年周棋洛要去参加圣诞老人的活动，于是我和电视台朋友的女儿——小茹一起呆在家里，没想到圣诞老人突然降临！还给我带了一分特别的圣诞礼物，当然我也背着他准备了一份圣诞惊喜……</t>
  </si>
  <si>
    <t>在圣诞节的当天，周棋洛去参加了“圣诞老人特别活动”。我和小茹一起待在家里，她似乎不太相信圣诞老人的存在，没想到此时圣诞老人突然降临……！</t>
  </si>
  <si>
    <t>原来小茹也给圣诞老人偷偷写了信，于是周棋洛扮演的圣诞老人才出现在了我们面前。周棋洛和小茹讲了有关圣诞老人的传说和故事，然后将“礼物”送到了小茹的面前。</t>
  </si>
  <si>
    <t>在小茹离开后，我拿着周棋洛之前给我的票券，跟着周棋洛离开的方向追去，很快便见到了工作人员。在活动结束后，周棋洛说给我准备了一份特别的礼物……</t>
  </si>
  <si>
    <t>我们回到家里后，我为周棋洛处理好了伤口，也将准备好的“圣诞礼物”送给了周棋洛……</t>
  </si>
  <si>
    <t>李泽言·暖夜归灯</t>
  </si>
  <si>
    <t>0,暖夜欢歌活动限定</t>
  </si>
  <si>
    <t>5248,253,1</t>
  </si>
  <si>
    <t>1,31,117,0.92:2,0,185,0.9</t>
  </si>
  <si>
    <t>1302,253,1</t>
  </si>
  <si>
    <t>会期待有你的节日，也算理所当然。</t>
  </si>
  <si>
    <t>许墨·邮梦之旅</t>
  </si>
  <si>
    <t>5249,253,1</t>
  </si>
  <si>
    <t>1,0,190,0.89:2,0,125,0.9</t>
  </si>
  <si>
    <t>2305,253,1</t>
  </si>
  <si>
    <t>我把礼物藏在信封里，和我的名字一起托付给你。</t>
  </si>
  <si>
    <t>周棋洛·萌厨驾到</t>
  </si>
  <si>
    <t>5250,253,1</t>
  </si>
  <si>
    <t>1,1,109,0.93:2,0,172,0.91</t>
  </si>
  <si>
    <t>3313,253,1</t>
  </si>
  <si>
    <t>今天的空气是奶油味。</t>
  </si>
  <si>
    <t>白起·星愿派送</t>
  </si>
  <si>
    <t>5251,253,1</t>
  </si>
  <si>
    <t>1,0,195,0.91:2,0,120,0.9</t>
  </si>
  <si>
    <t>4318,253,1</t>
  </si>
  <si>
    <t>不知道你更喜欢哪个，就把礼物全带上了，还有我。</t>
  </si>
  <si>
    <t>凌肖·独出心裁</t>
  </si>
  <si>
    <t>5252,253,1</t>
  </si>
  <si>
    <t>1,0,120,0.91:2,0,174,0.91</t>
  </si>
  <si>
    <t>6162,253,1</t>
  </si>
  <si>
    <t>给你的惊喜，当然得量身定做。</t>
  </si>
  <si>
    <t>白起·斑驳印记</t>
  </si>
  <si>
    <t>4328,253,1</t>
  </si>
  <si>
    <t>4127,252,1</t>
  </si>
  <si>
    <t>你是我变得更强的源动力。</t>
  </si>
  <si>
    <t>特邀之约</t>
  </si>
  <si>
    <t>白起答应我做一档新综艺的特邀嘉宾，但拍摄现场却发生了一些意外状况。白起带着我顺利找到了线索并成为了最后的赢家，在回家的路上，白起告诉了我过程能这么顺利的原因。</t>
  </si>
  <si>
    <t>我在公司加班为第二天的综艺节目做准备的时候，白起来公司接我下班，他告诉我明天有他在不会有什么大问题，让我早点回家休息。</t>
  </si>
  <si>
    <t>节目开拍现场，白起作为特邀嘉宾参加比赛，我是他的跟拍导演。白起带着队伍连连获胜，比分碾压对手，但却招致了比赛对手对于规则的质疑，面对对手的不服，白起表示第三场比赛是个人赛，到时候有任何不服都可以通过实力证明自己。</t>
  </si>
  <si>
    <t>个人赛进行的时候，白起很快找到了十一个线索，就在我们即将找到最后一个线索时，倒计时预警却开始了。所有人都在往外撤离，但我相信白起的实力，跟着他继续深入。就在倒计时即将结束的时候，白起带着我找到线索，成功返回了出口。</t>
  </si>
  <si>
    <t>质疑白起的新兵并没能及时赶出来，最后白起将他救了出来。节目的最后，白起告诉所有新兵任务中最重要的不是胜利，而是保证自己和他人的安全。在收工回家的路上，我问白起为什么这么说，白起告诉我的理由却和我有关……</t>
  </si>
  <si>
    <t>白起·风起时斑驳印记</t>
  </si>
  <si>
    <t>5252:1849:7417:7697</t>
  </si>
  <si>
    <t>649:267:1289:1702</t>
  </si>
  <si>
    <t>白起·锋刃斑驳印记</t>
  </si>
  <si>
    <t>5252:4614:7233:5119</t>
  </si>
  <si>
    <t>1176:411:1678:642</t>
  </si>
  <si>
    <t>白起·长夜星火斑驳印记</t>
  </si>
  <si>
    <t>7419:4790:6040:3967</t>
  </si>
  <si>
    <t>1687:625:1217:377</t>
  </si>
  <si>
    <t>白起·灿烂之年斑驳印记</t>
  </si>
  <si>
    <t>5252:4429:3923:8613</t>
  </si>
  <si>
    <t>1176:606:375:1750</t>
  </si>
  <si>
    <t>白起·无畏斑驳印记</t>
  </si>
  <si>
    <t>9443:422:3462:8891</t>
  </si>
  <si>
    <t>1793:173:528:1404</t>
  </si>
  <si>
    <t>白起·留白心绪斑驳印记</t>
  </si>
  <si>
    <t>8980:1849:2310:9076</t>
  </si>
  <si>
    <t>1371:267:496:1774</t>
  </si>
  <si>
    <t>白起·隐夜斑驳印记</t>
  </si>
  <si>
    <t>9621:4150:2310:6134</t>
  </si>
  <si>
    <t>1802:592:291:1222</t>
  </si>
  <si>
    <t>白起·醉行歌斑驳印记</t>
  </si>
  <si>
    <t>9446:5344:3462:3967</t>
  </si>
  <si>
    <t>1793:1181:351:582</t>
  </si>
  <si>
    <t>李泽言·浪漫干杯</t>
  </si>
  <si>
    <t>0,愿岁相守活动限定</t>
  </si>
  <si>
    <t>1304,253,1</t>
  </si>
  <si>
    <t>2020/12/7 5:00</t>
  </si>
  <si>
    <t>1305,253,1</t>
  </si>
  <si>
    <t>一杯为你，一杯为未来漫长。</t>
  </si>
  <si>
    <t>许墨·光阴入画</t>
  </si>
  <si>
    <t>2307,253,1</t>
  </si>
  <si>
    <t>2308,253,1</t>
  </si>
  <si>
    <t>我把难以描摹的岁月都交给你了。</t>
  </si>
  <si>
    <t>周棋洛·眸中环游</t>
  </si>
  <si>
    <t>3316,253,1</t>
  </si>
  <si>
    <t>3317,253,1</t>
  </si>
  <si>
    <t>此刻看到的你，和初见时一样可爱。</t>
  </si>
  <si>
    <t>白起·流年寄你</t>
  </si>
  <si>
    <t>4319,253,1</t>
  </si>
  <si>
    <t>4320,253,1</t>
  </si>
  <si>
    <t>跟紧我，还有很多事要和你一起去做。</t>
  </si>
  <si>
    <t>凌肖·绚色绽放</t>
  </si>
  <si>
    <t>6164,253,1</t>
  </si>
  <si>
    <t>6165,253,1</t>
  </si>
  <si>
    <t>既然知道我来的原因，不表示点什么？</t>
  </si>
  <si>
    <t>李泽言·言说此刻</t>
  </si>
  <si>
    <t>1300,253,1</t>
  </si>
  <si>
    <t>140339,251,1</t>
  </si>
  <si>
    <t>1301,253,1</t>
  </si>
  <si>
    <t>我拥有着，被你改变的痕迹。</t>
  </si>
  <si>
    <t>观展之约</t>
  </si>
  <si>
    <t>新光百货隔壁的展馆要上映一期名为“说出”的展览，而我正巧烦恼着要以什么样的节目类型来阐述“跨年心声”这个主题，于是我预定了李泽言周天下午的时间，拉着他一起去看展。</t>
  </si>
  <si>
    <t>前几天，正当我烦恼着要以什么样的节目类型来阐述“跨年心声”这个主题时，一条展览通知推送到了手机上。我觉得这个展览说不定可以给我的做节目的灵感，就拉着李泽言一起前往展馆。</t>
  </si>
  <si>
    <t>通过咖啡店老板的介绍，我与李泽言来到二层爱情主题的展厅。首先吸引我注意的，便是一个叫做“有痕”的展品。</t>
  </si>
  <si>
    <t>不管是藏在画里的老鼠、写在日记本里的想念，还是雕刻爱人脸庞的石像……痕迹存在，就是感情被说出的方式。我看着李泽言，似乎对这句话有了更深刻的感悟。</t>
  </si>
  <si>
    <t>走出展馆时，天上飘下了细密的雨，在李泽言前去兑换伴手礼雨伞时，我看到了咖啡店老板的背影，因而心生感慨。已经存在的痕迹，理当用更直接的方式说出来……</t>
  </si>
  <si>
    <t>周棋洛·余音</t>
  </si>
  <si>
    <t>3117,252,1</t>
  </si>
  <si>
    <t>3314,253,1</t>
  </si>
  <si>
    <t>3118,252,1</t>
  </si>
  <si>
    <t>写到歌里的那些话，你都懂了吗？</t>
  </si>
  <si>
    <t>灵感之约</t>
  </si>
  <si>
    <t>本适合外出散心的周末，我却和周棋洛因为工作，不得不双双在家加班。彼此都灵感枯竭，因为压力而苦不堪言的时候，周棋洛用自己独有的方式，点亮了本该压抑的一天。</t>
  </si>
  <si>
    <t>因为紧急工作的缘故，就算是大好的周末，我和周棋洛也不得不在家加班。两个人一起努力时，原本枯燥苦恼的工作时间，也变得温馨起来。</t>
  </si>
  <si>
    <t>这次的工作十分紧急，偏偏我毫无灵感。周棋洛的工作也并不顺利，无法找到创作的突破口。就在一筹莫展之际，周棋洛却似乎有什么办法……</t>
  </si>
  <si>
    <t>呆在周棋洛搭建的“思维定式盒子”里，一起面对着那些最不想看到的自己。有可爱的猫猫，有最重要的棋洛，一起喝着热巧克力，繁杂的心绪也缓和了许多。</t>
  </si>
  <si>
    <t>一稿策划案写完，周棋洛的歌也有了头绪。听着耳机中还未完成的demo，我听到了不一样的周棋洛。我相信，未来，我还会听到、触碰到更多面的他。</t>
  </si>
  <si>
    <t>李泽言·暗幕迷局</t>
  </si>
  <si>
    <t>1124,252,1</t>
  </si>
  <si>
    <t>1303,253,1</t>
  </si>
  <si>
    <t>1125,252,1</t>
  </si>
  <si>
    <t>我很清楚，这条有你的路会通往怎样的未来。</t>
  </si>
  <si>
    <t>许墨·悖论之镜</t>
  </si>
  <si>
    <t>2123,252,1</t>
  </si>
  <si>
    <t>2306,253,1</t>
  </si>
  <si>
    <t>2124,252,1</t>
  </si>
  <si>
    <t>每一次与你相遇，似乎都是一种猜不透的暗示。</t>
  </si>
  <si>
    <t>周棋洛·双星碎片</t>
  </si>
  <si>
    <t>3119,252,1</t>
  </si>
  <si>
    <t>3315,253,1</t>
  </si>
  <si>
    <t>3120,252,1</t>
  </si>
  <si>
    <t>你是我眼中所见，最灿烂的存在。</t>
  </si>
  <si>
    <t>1|0</t>
  </si>
  <si>
    <t>白起·利刃截点</t>
  </si>
  <si>
    <t>4125,252,1</t>
  </si>
  <si>
    <t>4324,253,1</t>
  </si>
  <si>
    <t>4126,252,1</t>
  </si>
  <si>
    <t>在锋芒深处，藏着一缕只有你知晓的温柔。</t>
  </si>
  <si>
    <t>凌肖·疾速危机</t>
  </si>
  <si>
    <t>8032,252,1</t>
  </si>
  <si>
    <t>1,-102,-144,1.2</t>
  </si>
  <si>
    <t>6163,253,1</t>
  </si>
  <si>
    <t>8033,252,1</t>
  </si>
  <si>
    <t>自己探索的秘密才最有意思。</t>
  </si>
  <si>
    <t>许墨·细绘光影</t>
  </si>
  <si>
    <t>0,2020年12月签到奖励</t>
  </si>
  <si>
    <t>2303,253,1</t>
  </si>
  <si>
    <t>2020/12/1 5:00</t>
  </si>
  <si>
    <t>2304,253,1</t>
  </si>
  <si>
    <t>想要为你描绘，我期盼的那个画面。</t>
  </si>
  <si>
    <t>李泽言·今夕景</t>
  </si>
  <si>
    <t>0,无归之途活动限定</t>
  </si>
  <si>
    <t>2020/11/19 5:00</t>
  </si>
  <si>
    <t>纵然只是须臾，也想留住此时的人间月色。</t>
  </si>
  <si>
    <t>灯影之约</t>
  </si>
  <si>
    <t>我在三梦坊研究怎样才能召唤出李泽言，试了很多方法都没有用，却在买菜的路上遇到了仿佛从天而降的李泽言，但他也似乎十分震惊……</t>
  </si>
  <si>
    <t>我帮三梦坊的老板娘出门买菜，回来的路上竟然遇到了李泽言，还泼了他一身酒……</t>
  </si>
  <si>
    <t>为了赔礼，我带着李泽言回到三梦坊的小院子清洗酒渍，并邀请他吃有九种口味的百花糕，李泽言却面不改色地骗我吃掉了一块青椒味的糕点。</t>
  </si>
  <si>
    <t>李泽言留言有事处理，在我去厨房送食材的时候悄然离开，但在傍晚的时候，我竟然因为魔王之契的作用，意外地出现在了李泽言面前。</t>
  </si>
  <si>
    <t>我们一起看了一场皮影戏，戏里巫女的结局并不好，我的心情有些失落，但李泽言却告诉我不需要在意别人的演绎和评价，听了他的安慰，我的心情好了许多。</t>
  </si>
  <si>
    <t>许墨·梦仙林</t>
  </si>
  <si>
    <t>你的不期然撞入，是令我心生念想的开始。</t>
  </si>
  <si>
    <t>长林之约</t>
  </si>
  <si>
    <t>在九华天街闲逛时，为了替我挡住突如其来的茶水，许墨的纸扇就这么被毁了。出于感谢，我决定亲自画一把扇子送给他，谁知竟怎么都无法画出满意的扇面来……</t>
  </si>
  <si>
    <t>在殊林待了一阵子后，我和许墨来到九华天街闲逛，买了许多好吃的之后我想去茶楼歇歇脚。</t>
  </si>
  <si>
    <t>茶楼门口突然泼出一碗茶水，许墨立刻展开纸扇替我挡住了，然而扇子却毁了。尽管他说不必在意，我决定改天自己画把扇子给他。</t>
  </si>
  <si>
    <t>琳琅阁里，我怎么都无法画出满意的扇面，幸好制扇师傅前来帮忙。然而我不知道的是，在我和师傅闲聊画作初心时，许墨其实正在雅间里将一切都听了进去……</t>
  </si>
  <si>
    <t>回到殊林里，我将扇子送给了许墨，他说我画得很可爱。当他问我为什么要送他纸扇、又为什么要画热闹的竹林作扇面时，我却忽然期艾了起来……</t>
  </si>
  <si>
    <t>周棋洛·欲忘言</t>
  </si>
  <si>
    <t>只要山川不改，我们的约定就永远不褪色。</t>
  </si>
  <si>
    <t>璨火之约</t>
  </si>
  <si>
    <t>一个平静的夜晚，我忽然被黑衣人从三梦坊带走了！当他终于在屋顶上停下时，我发现黑衣人果然是周棋洛！只是，这场突然的“绑架”究竟是为什么呢……</t>
  </si>
  <si>
    <t>一个平静的夜晚，我正在三梦坊写些东西，突然，狂风吹入、窗户大开，一个黑衣人猛地闯进来，瞬间将我带走了！</t>
  </si>
  <si>
    <t>当黑衣人终于在郊外的屋顶上停下时，我拉下面罩发现他果然是周棋洛！几句寒暄后他说，来找我没什么事，说过会找我所以就来了。但不知为何，我却因为他的疏淡而感到隐隐的失落。</t>
  </si>
  <si>
    <t>这时，下方的空地忽然来了一群村民进行祭典仪式，他们围着篝火开心地载歌载舞，令我不禁想起小时候和周棋洛一起路过的婚礼祭典。我忽然提议一起参加祭典，说不定会想起点什么呢。</t>
  </si>
  <si>
    <t>在我的再三游说和村民的热情邀请下，周棋洛终于答应一起跳舞。熊熊火光让周棋洛的侧脸柔和了许多，而欢乐的氛围也令我们渐渐都放松下来，彼此已经分离了太久的心，也在火光中渐渐靠近……</t>
  </si>
  <si>
    <t>白起·醉行歌</t>
  </si>
  <si>
    <t>前程千万，我陪你共赴。</t>
  </si>
  <si>
    <t>同行之约</t>
  </si>
  <si>
    <t>我没有完成御隐师协会的除魔任务，正懊恼间，白起却问我愿不愿意做他的搭档，我欣然答应，并和白起共同解决了一个突然出现的麻烦……</t>
  </si>
  <si>
    <t>我的首次除魔任务失败了，白起听说了我的事，问我愿不愿意做他的搭档，这时远处突然升起了特殊的烟花。</t>
  </si>
  <si>
    <t>我和白起赶到了烟花升起的地方，发现作乱的竟然是一只河豚怪，我帮助白起抓住了它，但河豚怪并没有害人，最后白起放走了这只无辜闯入宴都的生灵……</t>
  </si>
  <si>
    <t>我们来到了御隐师协会记录今天遇到的新奇生灵，在存放除魔卷宗的暗楼里，我看到了许多有关白起的记录，他似乎总是一个人独来独往，不与人结伴。</t>
  </si>
  <si>
    <t>在暗楼里，白起告诉了我他曾遇到的一件事，并说那时十分希望能有一个搭档。在一切结束之后，我告诉白起自己愿意一直做他的搭档。</t>
  </si>
  <si>
    <t>李泽言·心墙今夕景</t>
  </si>
  <si>
    <t>6497:1574:4616:9536</t>
  </si>
  <si>
    <t>1241:252:616:1798</t>
  </si>
  <si>
    <t>李泽言·围城今夕景</t>
  </si>
  <si>
    <t>5304:422:6783:9712</t>
  </si>
  <si>
    <t>652:192:1256:1807</t>
  </si>
  <si>
    <t>李泽言·热望今夕景</t>
  </si>
  <si>
    <t>3187:5068:4616:9351</t>
  </si>
  <si>
    <t>336:1167:616:1788</t>
  </si>
  <si>
    <t>李泽言·浮香今夕景</t>
  </si>
  <si>
    <t>1574:5529:8346:6771</t>
  </si>
  <si>
    <t>252:664:1736:1255</t>
  </si>
  <si>
    <t>李泽言·猎行之时今夕景</t>
  </si>
  <si>
    <t>2726:5346:8807:5344</t>
  </si>
  <si>
    <t>312:1181:1760:654</t>
  </si>
  <si>
    <t>李泽言·制胜时刻今夕景</t>
  </si>
  <si>
    <t>1574:2589:8985:9072</t>
  </si>
  <si>
    <t>252:510:1371:1774</t>
  </si>
  <si>
    <t>李泽言·一眸之隔今夕景</t>
  </si>
  <si>
    <t>3462:3967:9446:5344</t>
  </si>
  <si>
    <t>351:582:1793:1181</t>
  </si>
  <si>
    <t>许墨·破局梦仙林</t>
  </si>
  <si>
    <t>9536:6497:1574:4616</t>
  </si>
  <si>
    <t>1798:1241:252:616</t>
  </si>
  <si>
    <t>许墨·陷落梦仙林</t>
  </si>
  <si>
    <t>9712:5304:422:6783</t>
  </si>
  <si>
    <t>1807:652:192:1256</t>
  </si>
  <si>
    <t>许墨·雨幕梦仙林</t>
  </si>
  <si>
    <t>9351:3187:5068:4616</t>
  </si>
  <si>
    <t>1788:336:1167:616</t>
  </si>
  <si>
    <t>许墨·拟扣心门梦仙林</t>
  </si>
  <si>
    <t>5344:3462:3967:9446</t>
  </si>
  <si>
    <t>1181:351:582:1793</t>
  </si>
  <si>
    <t>许墨·落日余温梦仙林</t>
  </si>
  <si>
    <t>6771:1574:5529:8346</t>
  </si>
  <si>
    <t>1255:252:664:1736</t>
  </si>
  <si>
    <t>许墨·断线梦仙林</t>
  </si>
  <si>
    <t>5344:2726:5346:8807</t>
  </si>
  <si>
    <t>1181:312:654:1760</t>
  </si>
  <si>
    <t>许墨·自深深处梦仙林</t>
  </si>
  <si>
    <t>9072:1574:2589:8985</t>
  </si>
  <si>
    <t>1774:252:510:1371</t>
  </si>
  <si>
    <t>周棋洛·迷藏欲忘言</t>
  </si>
  <si>
    <t>4616:1574:9536:6497</t>
  </si>
  <si>
    <t>616:252:1798:1241</t>
  </si>
  <si>
    <t>周棋洛·假象欲忘言</t>
  </si>
  <si>
    <t>6783:422:9712:5304</t>
  </si>
  <si>
    <t>1256:192:1807:652</t>
  </si>
  <si>
    <t>周棋洛·梦想起点欲忘言</t>
  </si>
  <si>
    <t>4616:5068:9351:3187</t>
  </si>
  <si>
    <t>616:1167:1788:336</t>
  </si>
  <si>
    <t>周棋洛·快乐供应欲忘言</t>
  </si>
  <si>
    <t>8346:5529:6771:1574</t>
  </si>
  <si>
    <t>1736:664:1255:252</t>
  </si>
  <si>
    <t>周棋洛·光的缝隙欲忘言</t>
  </si>
  <si>
    <t>8807:5346:5344:2726</t>
  </si>
  <si>
    <t>1760:1181:654:312</t>
  </si>
  <si>
    <t>周棋洛·注目欲忘言</t>
  </si>
  <si>
    <t>8985:2589:9072:1574</t>
  </si>
  <si>
    <t>1371:510:1774:252</t>
  </si>
  <si>
    <t>白起·风起时醉行歌</t>
  </si>
  <si>
    <t>4616:6771:6681:4152</t>
  </si>
  <si>
    <t>616:1653:1251:387</t>
  </si>
  <si>
    <t>白起·锋刃醉行歌</t>
  </si>
  <si>
    <t>4616:9536:6497:1574</t>
  </si>
  <si>
    <t>616:1798:1241:252</t>
  </si>
  <si>
    <t>白起·长夜星火醉行歌</t>
  </si>
  <si>
    <t>6783:9712:5304:422</t>
  </si>
  <si>
    <t>1256:1807:652:192</t>
  </si>
  <si>
    <t>白起·灿烂之年醉行歌</t>
  </si>
  <si>
    <t>4616:9351:3187:5068</t>
  </si>
  <si>
    <t>616:1788:336:1167</t>
  </si>
  <si>
    <t>白起·无畏醉行歌</t>
  </si>
  <si>
    <t>8807:5344:2726:5346</t>
  </si>
  <si>
    <t>1760:1181:312:654</t>
  </si>
  <si>
    <t>白起·留白心绪醉行歌</t>
  </si>
  <si>
    <t>8344:6771:1574:5531</t>
  </si>
  <si>
    <t>1736:1255:252:664</t>
  </si>
  <si>
    <t>白起·隐夜醉行歌</t>
  </si>
  <si>
    <t>8985:9072:1574:2589</t>
  </si>
  <si>
    <t>1371:1774:252:510</t>
  </si>
  <si>
    <t>许墨·夜流光</t>
  </si>
  <si>
    <t>0,润色活动限定</t>
  </si>
  <si>
    <t>2296,253,1</t>
  </si>
  <si>
    <t>2020/11/10 5:00</t>
  </si>
  <si>
    <t>2297,253,1</t>
  </si>
  <si>
    <t>爱，确实是一种回答。</t>
  </si>
  <si>
    <t>回望之约</t>
  </si>
  <si>
    <t>今天是许墨的生日，与以往不同的是，今天上午许墨要针对他研究多年的课题进行汇报演讲。在演讲结束后，许墨提出想和我去一个特别的地方度过今年的生日……</t>
  </si>
  <si>
    <t>今天是许墨的生日，这一天的上午，许墨要针对他研究多年的课题进行汇报。我坐在报告厅的最后一排，和来自全世界各地的学者和研究人员正共同见证着，这项多年的研究如何一步又一步地走到此刻。</t>
  </si>
  <si>
    <t>当报告结束后，已经来到了中午，我向许墨表示今年是完全定制的生日，我会陪他一起做所有他想做的事，他提出要和我去了一个特别地方度过今天。我们坐了几小时的车，来到了一条老街上，最后停在了一片空地面前。</t>
  </si>
  <si>
    <t>许墨对着这片空地讲述着它曾经的模样，我闭上眼睛跟着许墨的讲述，走进了那扇老屋。我知道虽然现在它已经只剩下一片空地，但是在许墨的记忆中，那座老屋不曾落灰，永远发光。</t>
  </si>
  <si>
    <t>最后我们来到山坡的观景台上，我们安静而简单地庆祝着生日，希望年年岁岁依旧，希望他永远成为自己心中的样子。</t>
  </si>
  <si>
    <t>许墨·润色</t>
  </si>
  <si>
    <t>2295,253,1</t>
  </si>
  <si>
    <t>140331,251,1</t>
  </si>
  <si>
    <t>2121,252,1</t>
  </si>
  <si>
    <t>我想要向你分享，每一个还不曾属于你的我。</t>
  </si>
  <si>
    <t>李泽言·条纹格调</t>
  </si>
  <si>
    <t>0,萌动拾趣活动限定</t>
  </si>
  <si>
    <t>2020/11/8 05:00:00</t>
  </si>
  <si>
    <t>许墨·绵白温度</t>
  </si>
  <si>
    <t>周棋洛·绘彩映像</t>
  </si>
  <si>
    <t>白起·斑点意趣</t>
  </si>
  <si>
    <t>凌肖·灰色狂想</t>
  </si>
  <si>
    <t>白起·悦动清晨</t>
  </si>
  <si>
    <t>0,2020年11月签到奖励</t>
  </si>
  <si>
    <t>4311,253,1</t>
  </si>
  <si>
    <t>2020/11/1 5:00</t>
  </si>
  <si>
    <t>4312,253,1</t>
  </si>
  <si>
    <t>我们以相同的步调，进入崭新的一天。</t>
  </si>
  <si>
    <t>李泽言·瑰梦时分</t>
  </si>
  <si>
    <t>0,幽夜仙境限定</t>
  </si>
  <si>
    <t>1110,252,1</t>
  </si>
  <si>
    <t>2020/10/29 5:00</t>
  </si>
  <si>
    <t>1291,253,1</t>
  </si>
  <si>
    <t>1111,252,1</t>
  </si>
  <si>
    <t>你想知道的一切，我都会告诉你。</t>
  </si>
  <si>
    <t>解禁之约</t>
  </si>
  <si>
    <t>我是一朵可以解除诅咒的玫瑰，却意外地被李泽言一次次救下。他需要我帮他解除诅咒，作为回报，他会教我怎么成为真正的人类……</t>
  </si>
  <si>
    <t>某天我被一只可怕的蜜獾掳走，危在旦夕时，有一名男子将我救下……可没想到我竟然提前变成了人类！？</t>
  </si>
  <si>
    <t>在前往人类村庄的路上，危险再次降临，但那个男人又救了我一次。并从中得知他的名字叫李泽言，而且想要我替他解除诅咒，但作为回报我可以提出任何条件。我欣喜答应下来，并提出我的条件——让他教我成为真正的人类。</t>
  </si>
  <si>
    <t>在学习如何成为真正人类的期间，发生了很多意想不到的事情——我的头顶长出了一朵玫瑰，李泽言也在我面前变成了一头野兽……</t>
  </si>
  <si>
    <t>但渐渐地我发现，每一次的心跳加速都和李泽言有关，在朝夕相处中我逐渐发现了自己内心真正的答案，而他对我说……我的答案也正是他的答案。</t>
  </si>
  <si>
    <t>许墨·幻镜暮音</t>
  </si>
  <si>
    <t>2109,252,1</t>
  </si>
  <si>
    <t>2291,253,1</t>
  </si>
  <si>
    <t>2110,252,1</t>
  </si>
  <si>
    <t>下一年的新雪，再一起去看吧。</t>
  </si>
  <si>
    <t>囚梦之约</t>
  </si>
  <si>
    <t>因为说真话，我被恶毒王后囚禁在城堡中，这时却遇见了被流放到这里的王子，他似乎能够帮我逃出去……</t>
  </si>
  <si>
    <t>我被囚禁在城堡中，这天突然被人吵醒，睁开眼发现是一位被流放到这里的王子，他似乎无意中打破了囚禁着我的诅咒。</t>
  </si>
  <si>
    <t>我和王子做了个交易，我可以帮助他回到王宫，但他要帮助我彻底摆脱诅咒，王子没有立刻答应我的提议，而是问我知不知道他的名字是什么。</t>
  </si>
  <si>
    <t>我和王子达成了协议，帮助他赶走了许多被王后派来刺杀他的猎人，但随着时间的流逝，王子似乎发现了我的异样。</t>
  </si>
  <si>
    <t>我想要取消协议，但王子却逼着我说出了那个隐瞒的秘密，原来我骗了他，而彻底摆脱诅咒的代价是……</t>
  </si>
  <si>
    <t>周棋洛·谜塔奇缘</t>
  </si>
  <si>
    <t>3104,252,1</t>
  </si>
  <si>
    <t>3304,253,1</t>
  </si>
  <si>
    <t>3105,252,1</t>
  </si>
  <si>
    <t>你的到来，奏响了一次特别的心动奇遇。</t>
  </si>
  <si>
    <t>逃塔之约</t>
  </si>
  <si>
    <t>相传长发王子周棋洛在五岁时被女巫掳走，囚禁于高塔之上。训练多年后，我以勇士的身份前来展开营救任务，却意外发现了周棋洛多年困在高塔的真正原因……</t>
  </si>
  <si>
    <t>从前有一位名叫周棋洛的长发王子，被女巫囚禁在高塔之上。我奉国王之命前来营救，王子却不相信我的身份。</t>
  </si>
  <si>
    <t>王子拒绝了与我一起离开，并与我交换了名字。他带我参观了高塔内的书柜，还承诺会送我一个漂亮的秋千，作为回礼，我把随身携带的壮胆酒送给了他。</t>
  </si>
  <si>
    <t>醉酒之后的周棋洛真的用金色的长发变出来一个秋千，我们相拥而眠。女巫却不请自来，正当我性命垂危时，周棋洛竟然使用了魔法向女巫反击。</t>
  </si>
  <si>
    <t>原来周棋洛早已学会了魔法，他之所以一直不肯离开高塔，是想自主放弃蛊惑人心的力量。而我要向他证明，在这个世界上，有很多人是发自内心地爱着他的……</t>
  </si>
  <si>
    <t>白起·寂夜歌谣</t>
  </si>
  <si>
    <t>4111,252,1</t>
  </si>
  <si>
    <t>4307,253,1</t>
  </si>
  <si>
    <t>4112,252,1</t>
  </si>
  <si>
    <t>这不是你该来的地方。</t>
  </si>
  <si>
    <t>满月之约</t>
  </si>
  <si>
    <t>为了成为一名优秀的猎人，我决定来到传说中吃掉小红帽和她外婆的大灰狼的城堡中，向“大灰狼”提出交易，只是没想到竟然在那里看到了一个长着耳朵和尾巴的青年，他竟然说他就是那个“大灰狼”？！</t>
  </si>
  <si>
    <t>传说中，有一只大灰狼吃掉了小红帽和她的外婆，然后被关在山上的城堡里，生性凶狠残暴。我来到那个城堡的面前，在城堡的深处遇见的竟然是一个长着狼耳的青年……？！</t>
  </si>
  <si>
    <t>原来这个青年就是那个叫“白起”的大灰狼！因此我更坚定了自己原来的计划，在我的百般努力下，白起终于答应了。</t>
  </si>
  <si>
    <t>在和白起的相处中，我发现了他越来越多不为人知的一面。满月到了，虽然白起说过不能去找他，但我还是不忍心让他一个人在城堡里，最后还是跑去了。没想到竟然在那里遇见了……！！</t>
  </si>
  <si>
    <t>白起成功的战胜了巫师，但是没想到他还有一个隐藏的秘密！我终于知道了为什么会有小红帽的故事，也知道了为什么白起会一直被关在城堡里……</t>
  </si>
  <si>
    <t>周棋洛·青空印象</t>
  </si>
  <si>
    <t>0,未完待续活动限定</t>
  </si>
  <si>
    <t>3113,252,1</t>
  </si>
  <si>
    <t>2020/10/21 5:00</t>
  </si>
  <si>
    <t>3291,253,1</t>
  </si>
  <si>
    <t>3114,252,1</t>
  </si>
  <si>
    <t>我偷偷想你的时候，只有夏天才知道。</t>
  </si>
  <si>
    <t>忆夏之约</t>
  </si>
  <si>
    <t>周棋洛神秘兮兮地说有个秘密要告诉我，我本来以为我们又是去他的某个秘密基地看风景，没想到这个秘密却是……</t>
  </si>
  <si>
    <t>因为周棋洛说有个秘密要告诉我，所以我空出了一整天的时间交给他安排。没想到这个秘密却大大出乎了我的意料。</t>
  </si>
  <si>
    <t>周棋洛居然买下了一个小花园！我差点以为自己听错了。但这个花园却和我们想象的有些不太一样。</t>
  </si>
  <si>
    <t>整理花房的过程最后变成了一个寻宝之旅，我们发现了很多有趣的东西，也渐渐回忆起了十四五的时候。那时候的周棋洛是什么样的呢？</t>
  </si>
  <si>
    <t>在亭子里一时兴起地比试完口琴后，恰好雨停了。我和周棋洛开始在花园里规划着以后的景象，他拿出花园里的第一束花送给了我并邀请我“跳舞”。这一次，我们在自己的花园里跳了这一支舞。</t>
  </si>
  <si>
    <t>李泽言·一眸之隔</t>
  </si>
  <si>
    <t>1286,253,1</t>
  </si>
  <si>
    <t>2020/10/10 5:00</t>
  </si>
  <si>
    <t>1122,252,1</t>
  </si>
  <si>
    <t>我任何时候都很需要你。</t>
  </si>
  <si>
    <t>夜会之约</t>
  </si>
  <si>
    <t>李泽言发出了一封邀请函，面向十余个华锐投资的年轻企业家开展一场内部商业竞赛，获胜者可以得到华锐新一轮五千万的投资，我也参与了此次比赛。在比赛期间，李泽言前来酒店看我，我向他提起了自己想要超越他的这个目标。</t>
  </si>
  <si>
    <t>半年前，李泽言发出了一封邀请函，面向十余个华锐投资的年轻企业家开展一场内部商业竞赛，获胜者可以得到华锐新一轮五千万的投资，我也参与了此次比赛。比赛采取全封闭制管理，所有参赛者都要入住华锐旗下的一间酒店，李泽言驱车载我前往酒店。</t>
  </si>
  <si>
    <t>比赛给出的案例分析题目是分析SE平台经营失败的原因，这是华锐所有投资亏损里最众所周知的一笔，李泽言拿它做题目，有点出乎意料，又似乎合情合理。我看着一页页下发的资料，仿佛看见了李泽言在电脑前复盘整个商业模式的每个日日夜夜。</t>
  </si>
  <si>
    <t>我投入了昏天黑地的比赛当中，每天都忙得精疲力尽。就在我对着案例分析报告头疼不已时，门铃响起，李泽言突然到来。我有了可以休息放松的怀抱，于是在他怀中舒服地小憩。</t>
  </si>
  <si>
    <t>商业报告第一页，上面SE的标记被我画成了重点色号。从李泽言在SE的投资上失手，却一个字都没有告诉我开始。我开始意识到他始终将我当成了一个需要被保护的角色。那种不被爱的人需要的挫败感，比自己做砸的节目还令我难以接受，所以我立下了想要超越他的目标。</t>
  </si>
  <si>
    <t>李泽言·盛开</t>
  </si>
  <si>
    <t>0,2020年10月签到奖励</t>
  </si>
  <si>
    <t>1279,253,1</t>
  </si>
  <si>
    <t>2020/10/1 5:00</t>
  </si>
  <si>
    <t>1280,253,1</t>
  </si>
  <si>
    <t>留给你的，都是最盛放的。</t>
  </si>
  <si>
    <t>李泽言·蜜意留情</t>
  </si>
  <si>
    <t>0,月升情起活动获得</t>
  </si>
  <si>
    <t>1282,253,1</t>
  </si>
  <si>
    <t>2020/9/28 5:00</t>
  </si>
  <si>
    <t>1283,253,1</t>
  </si>
  <si>
    <t>有你的夜晚，月光都带了甜味。</t>
  </si>
  <si>
    <t>许墨·皎皎澄光</t>
  </si>
  <si>
    <t>2283,253,1</t>
  </si>
  <si>
    <t>2284,253,1</t>
  </si>
  <si>
    <t>你今晚许下的心愿，或许是与我有关吗？</t>
  </si>
  <si>
    <t>周棋洛·秋意藏谜</t>
  </si>
  <si>
    <t>3296,253,1</t>
  </si>
  <si>
    <t>3297,253,1</t>
  </si>
  <si>
    <t>你就是我心里的标准答案。</t>
  </si>
  <si>
    <t>白起·烛光暗香</t>
  </si>
  <si>
    <t>4300,253,1</t>
  </si>
  <si>
    <t>4301,253,1</t>
  </si>
  <si>
    <t>这束光，只为你点亮。</t>
  </si>
  <si>
    <t>凌肖·守月待兔</t>
  </si>
  <si>
    <t>6147,253,1</t>
  </si>
  <si>
    <t>6148,253,1</t>
  </si>
  <si>
    <t>掉进了我的圈套，就是我的了。</t>
  </si>
  <si>
    <t>许墨·落日余温</t>
  </si>
  <si>
    <t>2285,253,1</t>
  </si>
  <si>
    <t>1,0,66,1:11,0,66,1</t>
  </si>
  <si>
    <t>2119,252,1</t>
  </si>
  <si>
    <t>看向你的时候，总希望黄昏是不会落下的帷幕。</t>
  </si>
  <si>
    <t>怀旧之约</t>
  </si>
  <si>
    <t>许墨带我参观了年代感十足的临时研究基地，在那里，我和他一起逃离出快节奏的现代生活，回到了七十年代，度过了漫长又记忆深刻的一天……</t>
  </si>
  <si>
    <t>许墨着手开展了新的研究项目，我为他秘密准备了一个爱心便当，却早就被他知道了……</t>
  </si>
  <si>
    <t>原来在阴差阳错下，我们的手机相册被共享了，他看到了我保存在相册的便当认证照，还有我平常偷拍他的照片……</t>
  </si>
  <si>
    <t>许墨这次的研究基地非常特殊，它生动地还原了七十年代的风格。我和许墨决定在研究基地放松一下，体验一次七十年代的生活。</t>
  </si>
  <si>
    <t>我们计划一起在躺椅上晒太阳，可是躺椅只有一把……许墨想到了一个能够让我们两个人都同时坐下的方法，只是这个方法让我面红耳赤了很久……</t>
  </si>
  <si>
    <t>白起·留白心绪</t>
  </si>
  <si>
    <t>4302,253,1</t>
  </si>
  <si>
    <t>1,0,70,1:11,0,70,1</t>
  </si>
  <si>
    <t>4124,252,1</t>
  </si>
  <si>
    <t>你所有的情绪，都可以在我面前展露。</t>
  </si>
  <si>
    <t>远归之约</t>
  </si>
  <si>
    <t>我在大扫除的时候不小心划坏了白起送我的水晶鞋，这时白起告诉我他要出一个为期一个月的任务。在和白起约定好回来的这一天，我却接到了一通神秘的电话。</t>
  </si>
  <si>
    <t>我划坏了白起送我的水晶鞋，这时白起告诉我他即将去执行一个级别很高的任务，我压下担忧的情绪告诉白起会帮他照顾好小刺。我来到白起家里给小刺浇水，却意外发现了一本时尚杂志。</t>
  </si>
  <si>
    <t>这时一家私人工作室的设计师打电话告诉我有人为我预定了一件礼物，我怀着好奇的心情来到了这家店，却见到了从任务中归来的白起。</t>
  </si>
  <si>
    <t>白起的衬衫上破了一道，我发现了他肩膀上的伤口，但他却告诉我没关系，并问我想不想知道他为我订做的礼物是什么。</t>
  </si>
  <si>
    <t>白起带我来到了工作室背后的玻璃展厅，在这里我见到了被修复完成的那双水晶鞋，原来白起为了不让我失落，在出任务的前夕悄悄将水晶鞋带去进行了修复。</t>
  </si>
  <si>
    <t>李泽言·猎行之时</t>
  </si>
  <si>
    <t>1284,253,1</t>
  </si>
  <si>
    <t>1,-127,-48,1.26:11,-127,-48,1.26</t>
  </si>
  <si>
    <t>1123,252,1</t>
  </si>
  <si>
    <t>向前的每一步，都在铺陈一个漫长的未来。</t>
  </si>
  <si>
    <t>许墨·断线</t>
  </si>
  <si>
    <t>2286,253,1</t>
  </si>
  <si>
    <t>1,0,660,1:11,0,660,1</t>
  </si>
  <si>
    <t>2120,252,1</t>
  </si>
  <si>
    <t>你将是我能够自由呼吸的全部原因。</t>
  </si>
  <si>
    <t>周棋洛·光的缝隙</t>
  </si>
  <si>
    <t>3299,253,1</t>
  </si>
  <si>
    <t>1,0,0,1.03:11,0,0,1.03</t>
  </si>
  <si>
    <t>3115,252,1</t>
  </si>
  <si>
    <t>这世上没什么能困得住我，除了你。</t>
  </si>
  <si>
    <t>白起·无畏</t>
  </si>
  <si>
    <t>4299,253,1</t>
  </si>
  <si>
    <t>1,0,-14,1:11,0,-14,1</t>
  </si>
  <si>
    <t>4123,252,1</t>
  </si>
  <si>
    <t>现在，你已经没有退路了。</t>
  </si>
  <si>
    <t>凌肖·奔涌</t>
  </si>
  <si>
    <t>6146,253,1</t>
  </si>
  <si>
    <t>1,-43,-128,1.2:11,-43,-128,1.2</t>
  </si>
  <si>
    <t>8030,252,1</t>
  </si>
  <si>
    <t>就这么看着多无聊，放胆来试试。</t>
  </si>
  <si>
    <t>李泽言·制胜时刻</t>
  </si>
  <si>
    <t>76,1003</t>
  </si>
  <si>
    <t>1274,253,1</t>
  </si>
  <si>
    <t>1119,252,1</t>
  </si>
  <si>
    <t>看清破绽，才能一击必中。</t>
  </si>
  <si>
    <t>击剑之约</t>
  </si>
  <si>
    <t>为了提升自己的反应力和判断力，我报名了击剑体验课，竟在这里遇见了李泽言。他的出现，让这次击剑初体验变得更加特别。</t>
  </si>
  <si>
    <t>我报名了击剑体验课，热身之后教练短暂离开，另一个人来到我面前。我还没有搞清状况，他忽然朝我发起了进攻……</t>
  </si>
  <si>
    <t>摘下面罩后，我发现对面的人竟是李泽言。原来他是击剑馆的常客，技术也十分优秀。虽然嘴上说着我很难教，他还是主动代替了教练带我体验。</t>
  </si>
  <si>
    <t>李泽言教给我一些基础技巧，仍然是记忆中“李老师”的风格。练习结束后我们进行了一场训练赛，我努力寻找他身上的破绽，并成功得到了分数。</t>
  </si>
  <si>
    <t>为了感谢李泽言的“代课”，教练邀请他打一场比赛。李泽言不是专业选手，但和教练的分数不相上下，比赛过程紧张又精彩。看完比赛后，我忧心这一次也许仍然跟不上李泽言的步伐，他却对我的承诺表达了信任，让我对未来重新鼓起勇气。</t>
  </si>
  <si>
    <t>许墨·自深深处</t>
  </si>
  <si>
    <t>76,2003</t>
  </si>
  <si>
    <t>2282,253,1</t>
  </si>
  <si>
    <t>1,0,0,1:11,0,0,1</t>
  </si>
  <si>
    <t>2118,252,1</t>
  </si>
  <si>
    <t>越是珍贵的东西，越需要放其成长。</t>
  </si>
  <si>
    <t>美术馆之约</t>
  </si>
  <si>
    <t>因为工作我拒绝了许墨的周末邀约，周末的时候，我和合作伙伴约在美术馆见面，却在这里意外碰到了许墨……</t>
  </si>
  <si>
    <t>我拒绝了许墨的周末邀约，他并没有说什么，只是嘱咐我好好休息。到了周末，我却在和合作伙伴见面的美术馆里见到了许墨。</t>
  </si>
  <si>
    <t>合作伙伴似乎并不想认真谈工作，还提出和我拍照的请求，但没想到他拜托帮忙拍照的人居然是许墨。</t>
  </si>
  <si>
    <t>许墨帮我解围，但我察觉他来美术馆另有目的，在我的追问之下，许墨才吐露特遣署正在追查这里的非法交易信息，我提出和许墨一起追查，他答应了。</t>
  </si>
  <si>
    <t>怎么查也查不到有效的线索，这时我发现了一件奇怪的事。我装作找到了线索，以此来试探许墨，却没想到他看破了我的伪装，并告诉了我他来美术馆的真实目的……</t>
  </si>
  <si>
    <t>周棋洛·注目</t>
  </si>
  <si>
    <t>76,3003</t>
  </si>
  <si>
    <t>3298,253,1</t>
  </si>
  <si>
    <t>1,0,9,1:11,0,9,1</t>
  </si>
  <si>
    <t>3116,252,1</t>
  </si>
  <si>
    <t>万人注目之下，我知道有你在其中。</t>
  </si>
  <si>
    <t>秀场之约</t>
  </si>
  <si>
    <t>一场重要大秀之前，周棋洛却突然生病了。我担心他的健康情况准备取消演出，但周棋洛却执意要参演，并且带给我了一场近乎完美的表演。</t>
  </si>
  <si>
    <t>我正在纠结是否需要给秀场方通知取消参演时，周棋洛居然推门进来了——他不在家里养病，过来做什么？</t>
  </si>
  <si>
    <t>周棋洛向我保证他不会做出勉强自己的事，我也因此稍稍放下了心，结果在中场换装时，我发现他好像又发烧了……</t>
  </si>
  <si>
    <t>距离周棋洛的登台并没有多少时间了，他用完美的妆容掩盖了他的病气，我却还在担心他的身体。而他在临上台前的那一个拥抱，让我的心忽然安定了下来……</t>
  </si>
  <si>
    <t>摆脱了模特与媒体，我们俩终于有了可以喘息的空间，我希望周棋洛接下来的时间可以好好休息，放一个长假，周棋洛忽然兴致勃勃地和我聊起了他的假期计划……</t>
  </si>
  <si>
    <t>白起·隐夜</t>
  </si>
  <si>
    <t>76,4003</t>
  </si>
  <si>
    <t>4298,253,1</t>
  </si>
  <si>
    <t>1,0,14,1:11,0,14,1</t>
  </si>
  <si>
    <t>4122,252,1</t>
  </si>
  <si>
    <t>我会和日出的第一道光，一起出现在你面前</t>
  </si>
  <si>
    <t>危夜之约</t>
  </si>
  <si>
    <t>恋语市城郊的一栋大楼发生坍塌，考虑到此次意外可能是由Evol导致，特遣署很快介入了搜救工作。就在这时，白起想起了前几天我曾发信息给他，告诉他城郊这栋大楼很有问题……</t>
  </si>
  <si>
    <t>电视上正在播报，今晚十点左右，恋语城郊一栋大楼发生塌陷。市政机构表示，此次坍塌事件可能由Evol导致，特遣署已介入搜救工作。</t>
  </si>
  <si>
    <t>我在黑暗中醒来，摸了摸自己被撞了一下的脑袋，心有余悸地回忆起自己是怎么在大楼坍塌一瞬间躲到墙角的下面。当务之急是赶紧出去，我在黑暗里摸到自己的手机，发现上面有白起的两通未接电话。</t>
  </si>
  <si>
    <t>得知我被困在坍塌的大楼里，白起带着搜救犬亲自前往坍塌现场。他仔细地询问我进大楼之后是怎么走的，推算出了我可能处于的位置，就在我即将看到获救的曙光时，第二次塌陷突然到来。</t>
  </si>
  <si>
    <t>黑暗中，我度秒如年，疲惫地几乎快要睁不开眼。眼前突然出现了一丝光亮，我忙背过身，果然一阵强风很快将我四周围的砖瓦石块都掀起……</t>
  </si>
  <si>
    <t>凌肖·狂热节拍</t>
  </si>
  <si>
    <t>76,5003</t>
  </si>
  <si>
    <t>6149,253,1</t>
  </si>
  <si>
    <t>1,54,572,1:11,54,572,1</t>
  </si>
  <si>
    <t>8031,252,1</t>
  </si>
  <si>
    <t>我们的夜晚，比白昼更加夺目。</t>
  </si>
  <si>
    <t>炙浪之约</t>
  </si>
  <si>
    <t>我受凌肖的邀请，去Live House看他的演出。结果却没想到在乐队演奏时，发生了一起演出事故……</t>
  </si>
  <si>
    <t>我去Live House看凌肖的演出，结果到了却是主题演出，参加的人都要穿上特定的服装，无奈之下，我拨通了凌肖的电话……</t>
  </si>
  <si>
    <t>休息室内，凌肖打量着我，说还是第一次看见有人穿着职业套装来参加演出的。我也为自己“不合群”穿着有些苦恼，这时，凌肖突然说他有个办法……</t>
  </si>
  <si>
    <t>正式演出时，凌肖充满魅力的演奏惊艳了众人。但是，中途却发生了一件让所有人都感到意外的事……</t>
  </si>
  <si>
    <t>在我和凌肖的配合下，演出总算有惊无险地结束了。夜晚，在我们要离开Live House时，我忽然心中一动，问凌肖能不能再单独为我演奏一次……</t>
  </si>
  <si>
    <t>李泽言·心墙一眸之隔</t>
  </si>
  <si>
    <t>7233:5119:5252:4614</t>
  </si>
  <si>
    <t>1678:642:1176:411</t>
  </si>
  <si>
    <t>李泽言·围城一眸之隔</t>
  </si>
  <si>
    <t>6040:3967:7419:4790</t>
  </si>
  <si>
    <t>1217:377:1687:625</t>
  </si>
  <si>
    <t>李泽言·热望一眸之隔</t>
  </si>
  <si>
    <t>3923:8613:5252:4429</t>
  </si>
  <si>
    <t>375:1750:1176:606</t>
  </si>
  <si>
    <t>李泽言·浮香一眸之隔</t>
  </si>
  <si>
    <t>2310:9074:8982:1849</t>
  </si>
  <si>
    <t>496:1774:1371:267</t>
  </si>
  <si>
    <t>李泽言·心墙猎行之时</t>
  </si>
  <si>
    <t>1,-5,117,1.05:2,-127,-48,1.26</t>
  </si>
  <si>
    <t>6497:6498:4613:4614</t>
  </si>
  <si>
    <t>1639:1241:616:411</t>
  </si>
  <si>
    <t>李泽言·围城猎行之时</t>
  </si>
  <si>
    <t>1,-3,147,0.87:2,-127,-48,1.26</t>
  </si>
  <si>
    <t>5304:5346:6780:4790</t>
  </si>
  <si>
    <t>652:1181:1654:420</t>
  </si>
  <si>
    <t>李泽言·热望猎行之时</t>
  </si>
  <si>
    <t>1,55,79,1:2,-127,-48,1.26</t>
  </si>
  <si>
    <t>3187:9992:4613:4429</t>
  </si>
  <si>
    <t>336:1822:1143:606</t>
  </si>
  <si>
    <t>李泽言·浮香猎行之时</t>
  </si>
  <si>
    <t>1,0,165,1:2,-127,-48,1.26</t>
  </si>
  <si>
    <t>1574:10453:8343:1849</t>
  </si>
  <si>
    <t>192:1846:1458:394</t>
  </si>
  <si>
    <t>李泽言·猎行之时一眸之隔</t>
  </si>
  <si>
    <t>1,-127,-48,1.26</t>
  </si>
  <si>
    <t>3462:8891:9443:422</t>
  </si>
  <si>
    <t>528:1404:1793:173</t>
  </si>
  <si>
    <t>李泽言·心墙制胜时刻</t>
  </si>
  <si>
    <t>5345:3741:4791:8342</t>
  </si>
  <si>
    <t>1181:365:625:1735</t>
  </si>
  <si>
    <t>李泽言·围城制胜时刻</t>
  </si>
  <si>
    <t>4152:2589:6958:8518</t>
  </si>
  <si>
    <t>592:305:1265:1745</t>
  </si>
  <si>
    <t>李泽言·热望制胜时刻</t>
  </si>
  <si>
    <t>2035:7235:4791:8157</t>
  </si>
  <si>
    <t>276:1280:625:1726</t>
  </si>
  <si>
    <t>李泽言·浮香制胜时刻</t>
  </si>
  <si>
    <t>422:7696:8521:5577</t>
  </si>
  <si>
    <t>192:1304:1745:666</t>
  </si>
  <si>
    <t>李泽言·制胜时刻一眸之隔</t>
  </si>
  <si>
    <t>2310:6134:9621:4150</t>
  </si>
  <si>
    <t>291:1222:1802:592</t>
  </si>
  <si>
    <t>李泽言·制胜时刻猎行之时</t>
  </si>
  <si>
    <t>1574:7513:8982:4150</t>
  </si>
  <si>
    <t>252:1294:1769:592</t>
  </si>
  <si>
    <t>许墨·破局断线</t>
  </si>
  <si>
    <t>1,68,-50,1.13:2,0,660,1</t>
  </si>
  <si>
    <t>4614:6497:6498:4613</t>
  </si>
  <si>
    <t>616:1639:1241:411</t>
  </si>
  <si>
    <t>许墨·陷落断线</t>
  </si>
  <si>
    <t>1,8,87,0.88:2,0,660,1</t>
  </si>
  <si>
    <t>4790:5304:5346:6780</t>
  </si>
  <si>
    <t>420:652:1181:1654</t>
  </si>
  <si>
    <t>许墨·雨幕断线</t>
  </si>
  <si>
    <t>2,0,660,1</t>
  </si>
  <si>
    <t>4429:3187:9992:4613</t>
  </si>
  <si>
    <t>606:336:1822:1143</t>
  </si>
  <si>
    <t>许墨·拟扣心门断线</t>
  </si>
  <si>
    <t>1,0,407,0.88:2,0,660,1</t>
  </si>
  <si>
    <t>422:3462:8891:9443</t>
  </si>
  <si>
    <t>173:528:1404:1793</t>
  </si>
  <si>
    <t>许墨·破局落日余温</t>
  </si>
  <si>
    <t>1,68,-50,1.13:2,0,66,1</t>
  </si>
  <si>
    <t>6041:5345:6681:4152</t>
  </si>
  <si>
    <t>1217:654:1649:387</t>
  </si>
  <si>
    <t>许墨·陷落落日余温</t>
  </si>
  <si>
    <t>1,8,87,0.88:2,0,66,1</t>
  </si>
  <si>
    <t>6217:4152:5529:6319</t>
  </si>
  <si>
    <t>1227:387:664:1630</t>
  </si>
  <si>
    <t>许墨·雨幕落日余温</t>
  </si>
  <si>
    <t>2,0,66,1</t>
  </si>
  <si>
    <t>5856:2035:10175:4152</t>
  </si>
  <si>
    <t>1208:276:1831:592</t>
  </si>
  <si>
    <t>许墨·拟扣心门落日余温</t>
  </si>
  <si>
    <t>1,0,407,0.88:2,0,66,1</t>
  </si>
  <si>
    <t>1849:2310:9074:8982</t>
  </si>
  <si>
    <t>267:496:1774:1371</t>
  </si>
  <si>
    <t>许墨·断线落日余温</t>
  </si>
  <si>
    <t>1,0,66,1:2,0,660,1</t>
  </si>
  <si>
    <t>1849:1574:10453:8343</t>
  </si>
  <si>
    <t>394:192:1846:1458</t>
  </si>
  <si>
    <t>许墨·破局自深深处</t>
  </si>
  <si>
    <t>1,68,-50,1.13:2,0,0,1</t>
  </si>
  <si>
    <t>8342:5345:3741:4791</t>
  </si>
  <si>
    <t>1735:1181:365:625</t>
  </si>
  <si>
    <t>许墨·陷落自深深处</t>
  </si>
  <si>
    <t>1,8,87,0.88:2,0,0,1</t>
  </si>
  <si>
    <t>8518:4152:2589:6958</t>
  </si>
  <si>
    <t>1745:592:305:1265</t>
  </si>
  <si>
    <t>许墨·雨幕自深深处</t>
  </si>
  <si>
    <t>2,0,0,1</t>
  </si>
  <si>
    <t>8157:2035:7235:4791</t>
  </si>
  <si>
    <t>1726:276:1280:625</t>
  </si>
  <si>
    <t>许墨·拟扣心门自深深处</t>
  </si>
  <si>
    <t>1,0,407,0.88:2,0,0,1</t>
  </si>
  <si>
    <t>4150:2310:6134:9621</t>
  </si>
  <si>
    <t>592:291:1222:1802</t>
  </si>
  <si>
    <t>许墨·自深深处断线</t>
  </si>
  <si>
    <t>1,0,660,1:2,0,0,1</t>
  </si>
  <si>
    <t>4150:1574:7513:8982</t>
  </si>
  <si>
    <t>592:252:1294:1769</t>
  </si>
  <si>
    <t>许墨·自深深处落日余温</t>
  </si>
  <si>
    <t>1,0,66,1:2,0,0,1</t>
  </si>
  <si>
    <t>5577:422:7696:8521</t>
  </si>
  <si>
    <t>666:192:1304:1745</t>
  </si>
  <si>
    <t>周棋洛·迷藏光的缝隙</t>
  </si>
  <si>
    <t>1,2,135,0.9:2,0,0,1.03</t>
  </si>
  <si>
    <t>4613:6498:4614:6497</t>
  </si>
  <si>
    <t>616:1639:411:1241</t>
  </si>
  <si>
    <t>周棋洛·假象光的缝隙</t>
  </si>
  <si>
    <t>1,0,19,1:2,0,0,1.03</t>
  </si>
  <si>
    <t>6780:5346:4790:5304</t>
  </si>
  <si>
    <t>1654:1181:420:652</t>
  </si>
  <si>
    <t>周棋洛·梦想起点光的缝隙</t>
  </si>
  <si>
    <t>1,0,69,1:2,0,0,1.03</t>
  </si>
  <si>
    <t>4613:9992:4429:3187</t>
  </si>
  <si>
    <t>1143:1822:606:336</t>
  </si>
  <si>
    <t>周棋洛·快乐供应光的缝隙</t>
  </si>
  <si>
    <t>1,0,128,0.88:2,0,0,1.03</t>
  </si>
  <si>
    <t>8343:10453:1849:1574</t>
  </si>
  <si>
    <t>1458:1846:394:192</t>
  </si>
  <si>
    <t>周棋洛·迷藏注目</t>
  </si>
  <si>
    <t>1,2,135,0.9:2,0,9,1</t>
  </si>
  <si>
    <t>4791:3741:8342:5345</t>
  </si>
  <si>
    <t>625:365:1735:1181</t>
  </si>
  <si>
    <t>周棋洛·假象注目</t>
  </si>
  <si>
    <t>1,0,19,1:2,0,9,1</t>
  </si>
  <si>
    <t>6958:2589:8518:4152</t>
  </si>
  <si>
    <t>1265:305:1745:592</t>
  </si>
  <si>
    <t>周棋洛·梦想起点注目</t>
  </si>
  <si>
    <t>1,0,69,1:2,0,9,1</t>
  </si>
  <si>
    <t>4791:7235:8157:2035</t>
  </si>
  <si>
    <t>625:1280:1726:276</t>
  </si>
  <si>
    <t>周棋洛·快乐供应注目</t>
  </si>
  <si>
    <t>1,0,128,0.88:2,0,9,1</t>
  </si>
  <si>
    <t>8521:7696:5577:422</t>
  </si>
  <si>
    <t>1745:1304:666:192</t>
  </si>
  <si>
    <t>周棋洛·注目光的缝隙</t>
  </si>
  <si>
    <t>1,0,0,1.03:2,0,9,1</t>
  </si>
  <si>
    <t>8982:7513:4150:1574</t>
  </si>
  <si>
    <t>1769:1294:592:252</t>
  </si>
  <si>
    <t>白起·风起时无畏</t>
  </si>
  <si>
    <t>1,2,51,0.86:2,0,-14,1</t>
  </si>
  <si>
    <t>4613:1849:6681:9076</t>
  </si>
  <si>
    <t>616:267:1251:1774</t>
  </si>
  <si>
    <t>白起·锋刃无畏</t>
  </si>
  <si>
    <t>1,4,110,0.86:2,0,-14,1</t>
  </si>
  <si>
    <t>4613:4614:6497:6498</t>
  </si>
  <si>
    <t>616:411:1639:1241</t>
  </si>
  <si>
    <t>白起·长夜星火无畏</t>
  </si>
  <si>
    <t>1,-59,98,1:2,0,-14,1</t>
  </si>
  <si>
    <t>6780:4790:5304:5346</t>
  </si>
  <si>
    <t>1654:420:652:1181</t>
  </si>
  <si>
    <t>白起·灿烂之年无畏</t>
  </si>
  <si>
    <t>2,0,-14,1</t>
  </si>
  <si>
    <t>4613:4429:3187:9992</t>
  </si>
  <si>
    <t>1143:606:336:1822</t>
  </si>
  <si>
    <t>白起·风起时留白心绪</t>
  </si>
  <si>
    <t>1,2,51,0.86:2,0,70,1</t>
  </si>
  <si>
    <t>4150:3276:5529:9261</t>
  </si>
  <si>
    <t>592:341:1191:1784</t>
  </si>
  <si>
    <t>白起·锋刃留白心绪</t>
  </si>
  <si>
    <t>1,4,110,0.86:2,0,70,1</t>
  </si>
  <si>
    <t>4150:6041:5345:6683</t>
  </si>
  <si>
    <t>387:1217:654:1649</t>
  </si>
  <si>
    <t>白起·长夜星火留白心绪</t>
  </si>
  <si>
    <t>1,-59,98,1:2,0,70,1</t>
  </si>
  <si>
    <t>6317:6217:4152:5531</t>
  </si>
  <si>
    <t>1630:1227:387:664</t>
  </si>
  <si>
    <t>白起·灿烂之年留白心绪</t>
  </si>
  <si>
    <t>2,0,70,1</t>
  </si>
  <si>
    <t>4150:5856:2035:10177</t>
  </si>
  <si>
    <t>592:1208:276:1831</t>
  </si>
  <si>
    <t>白起·无畏留白心绪</t>
  </si>
  <si>
    <t>1,0,-14,1:2,0,70,1</t>
  </si>
  <si>
    <t>8341:1849:1574:10455</t>
  </si>
  <si>
    <t>1457:394:192:1846</t>
  </si>
  <si>
    <t>白起·风起时隐夜</t>
  </si>
  <si>
    <t>1,2,51,0.86:2,0,14,1</t>
  </si>
  <si>
    <t>4791:5577:5529:6319</t>
  </si>
  <si>
    <t>420:1193:664:1630</t>
  </si>
  <si>
    <t>白起·锋刃隐夜</t>
  </si>
  <si>
    <t>1,4,110,0.86:2,0,14,1</t>
  </si>
  <si>
    <t>4791:8342:5345:3741</t>
  </si>
  <si>
    <t>625:1735:1181:365</t>
  </si>
  <si>
    <t>白起·长夜星火隐夜</t>
  </si>
  <si>
    <t>1,-59,98,1:2,0,14,1</t>
  </si>
  <si>
    <t>6958:8518:4152:2589</t>
  </si>
  <si>
    <t>1265:1745:592:305</t>
  </si>
  <si>
    <t>白起·灿烂之年隐夜</t>
  </si>
  <si>
    <t>2,0,14,1</t>
  </si>
  <si>
    <t>4791:8157:2035:7235</t>
  </si>
  <si>
    <t>625:1726:276:1280</t>
  </si>
  <si>
    <t>白起·隐夜无畏</t>
  </si>
  <si>
    <t>1,0,-14,1:2,0,14,1</t>
  </si>
  <si>
    <t>8982:4150:1574:7513</t>
  </si>
  <si>
    <t>1769:592:252:1294</t>
  </si>
  <si>
    <t>白起·隐夜留白心绪</t>
  </si>
  <si>
    <t>1,0,70,1:2,0,14,1</t>
  </si>
  <si>
    <t>8519:5577:422:7698</t>
  </si>
  <si>
    <t>1745:666:192:1304</t>
  </si>
  <si>
    <t>凌肖·极速定律奔涌</t>
  </si>
  <si>
    <t>1,-63,-6,1:2,-43,-128,1.2</t>
  </si>
  <si>
    <t>5346:6780:5304:4790</t>
  </si>
  <si>
    <t>1181:1654:652:420</t>
  </si>
  <si>
    <t>凌肖·高热奔涌</t>
  </si>
  <si>
    <t>1,1,131,0.86:2,-43,-128,1.2</t>
  </si>
  <si>
    <t>6498:4613:6497:4614</t>
  </si>
  <si>
    <t>1639:616:1241:411</t>
  </si>
  <si>
    <t>凌肖·侵袭奔涌</t>
  </si>
  <si>
    <t>2,-43,-128,1.2</t>
  </si>
  <si>
    <t>9992:4613:3187:4429</t>
  </si>
  <si>
    <t>1822:1143:336:606</t>
  </si>
  <si>
    <t>凌肖·极速定律狂热节拍</t>
  </si>
  <si>
    <t>1,-63,-6,1:2,54,572,1</t>
  </si>
  <si>
    <t>2589:6958:4152:8518</t>
  </si>
  <si>
    <t>305:1265:592:1745</t>
  </si>
  <si>
    <t>凌肖·高热狂热节拍</t>
  </si>
  <si>
    <t>1,1,131,0.86:2,54,572,1</t>
  </si>
  <si>
    <t>3741:4791:5345:8342</t>
  </si>
  <si>
    <t>365:625:1181:1735</t>
  </si>
  <si>
    <t>凌肖·侵袭狂热节拍</t>
  </si>
  <si>
    <t>2,54,572,1</t>
  </si>
  <si>
    <t>7235:4791:2035:8157</t>
  </si>
  <si>
    <t>1280:625:276:1726</t>
  </si>
  <si>
    <t>凌肖·狂热节拍奔涌</t>
  </si>
  <si>
    <t>1,-43,-128,1.2:2,54,572,1</t>
  </si>
  <si>
    <t>7513:8982:1574:4150</t>
  </si>
  <si>
    <t>1294:1769:252:592</t>
  </si>
  <si>
    <t>李泽言·暖色沉晖</t>
  </si>
  <si>
    <t>0,致亲爱的你活动限定</t>
  </si>
  <si>
    <t>1120,252,1</t>
  </si>
  <si>
    <t>2020/9/15 5:00</t>
  </si>
  <si>
    <t>1275,253,1</t>
  </si>
  <si>
    <t>1121,252,1</t>
  </si>
  <si>
    <t>想知道的答案，我会让时间告诉你。</t>
  </si>
  <si>
    <t>心意之约</t>
  </si>
  <si>
    <t>为了最后检查一遍明天蜗牛慢递的活动场地，我来到茶花馆，谁知意外地碰到了李泽言，更令我意外的是，回家之后他竟拿出了一份慢递礼物……</t>
  </si>
  <si>
    <t>作为“蜗牛慢递”活动的宣传合作方，我决定去茶花馆做最后的场地检查。</t>
  </si>
  <si>
    <t>茶花馆门口，我意外地遇到了李泽言。他没明说来这里做什么，只是将手里的茶花束递给我，答应和我一起检查场地。</t>
  </si>
  <si>
    <t>场馆里的一切都已经井井有条，我向李泽言解释了这次活动的主题和理念，他却说了两句意味不明的话。当我试图游说他一起体验影像慢递时，工作人员却出现了。</t>
  </si>
  <si>
    <t>结束工作回到家，李泽言竟拿出了一份慢递礼物——我自己都快忘了，这是当初茶花馆迷宫出来后我寄出的精油和信。为了阻止李泽言把信读出来，我猛地跳起却扯开了他的扣子，空气也似乎骤然升温……</t>
  </si>
  <si>
    <t>李泽言·酌古斟今</t>
  </si>
  <si>
    <t>0,古韵绘卷活动限定</t>
  </si>
  <si>
    <t>1272,253,1</t>
  </si>
  <si>
    <t>1273,253,1</t>
  </si>
  <si>
    <t>比起完美，还有更好的选择。</t>
  </si>
  <si>
    <t>许墨·墨趣添色</t>
  </si>
  <si>
    <t>2276,253,1</t>
  </si>
  <si>
    <t>2277,253,1</t>
  </si>
  <si>
    <t>许多深刻的颜色，都会经久不变。</t>
  </si>
  <si>
    <t>周棋洛·灯河耿耿</t>
  </si>
  <si>
    <t>3289,253,1</t>
  </si>
  <si>
    <t>3290,253,1</t>
  </si>
  <si>
    <t>我有很多美好祈愿，全都要和你一起实现。</t>
  </si>
  <si>
    <t>白起·塑意写心</t>
  </si>
  <si>
    <t>4292,253,1</t>
  </si>
  <si>
    <t>4293,253,1</t>
  </si>
  <si>
    <t>因为你，才变得意义非凡。</t>
  </si>
  <si>
    <t>凌肖·吹影镂尘</t>
  </si>
  <si>
    <t>6140,253,1</t>
  </si>
  <si>
    <t>6141,253,1</t>
  </si>
  <si>
    <t>比起守株待兔，我更喜欢另一种方式。</t>
  </si>
  <si>
    <t>周棋洛·专属色号</t>
  </si>
  <si>
    <t>0,2020年9月签到奖励</t>
  </si>
  <si>
    <t>3287,253,1</t>
  </si>
  <si>
    <t>2020/9/1 5:00</t>
  </si>
  <si>
    <t>3288,253,1</t>
  </si>
  <si>
    <t>你就是我独一无二的专属色号。</t>
  </si>
  <si>
    <t>白起·透明心事</t>
  </si>
  <si>
    <t>4120,252,1</t>
  </si>
  <si>
    <t>2020/8/30 5:00</t>
  </si>
  <si>
    <t>4287,253,1</t>
  </si>
  <si>
    <t>4121,252,1</t>
  </si>
  <si>
    <t>看着我的眼睛，我对你没有隐瞒。</t>
  </si>
  <si>
    <t>堪景之约</t>
  </si>
  <si>
    <t>我和白起前往海滨大学进行拍摄取景，在参加校园开放日的活动时，我们意外地见证了一个青涩的爱情故事……</t>
  </si>
  <si>
    <t>采风最后一天，我和白起却被通知原定堪景场所临时关闭。我们只好前往海滨大学拍摄校园开放日的活动内容。</t>
  </si>
  <si>
    <t>白起为了我参与了投篮比赛，我再一次被球场上的白起所吸引……果不其然，他赢得了最大的玩偶奖品，抱着巨大的玩偶，我心里被满足感塞得满满当当。</t>
  </si>
  <si>
    <t>一个男生请求购买我们的玩偶，了解之后我们得知他是学校眼镜社的社长，想借玩偶之名向喜欢的人表白。阴差阳错地，我们决定帮助眼镜社的展会招揽顾客，出于私心，我第一次见到了白起戴眼镜的样子。</t>
  </si>
  <si>
    <t>白起也为我挑选了一副眼镜，听着他直白的夸奖，我感到既害羞又甜蜜。在我和白起的鼓励下，男生终于表白成功，而我和白起也一起见证了这个青涩又动人的爱情故事……</t>
  </si>
  <si>
    <t>李泽言·潮生漫</t>
  </si>
  <si>
    <t>0,兰夜绮景活动限定</t>
  </si>
  <si>
    <t>1117,252,1</t>
  </si>
  <si>
    <t>2020/8/20 5:00</t>
  </si>
  <si>
    <t>1267,253,1</t>
  </si>
  <si>
    <t>1118,252,1</t>
  </si>
  <si>
    <t>我从不求愿，直到你的出现成为愿望本身。</t>
  </si>
  <si>
    <t>绾合之约</t>
  </si>
  <si>
    <t>我夺回了被盗走的桃木剑，被官兵追捕，情急之下跳入了森林里的一条小河躲避。待我准备悄悄离开的时候，忽然被什么人捉住了手臂……</t>
  </si>
  <si>
    <t>我夺回了被铸剑坊盗走的桃木剑，为了躲避官兵的追捕，跳进了森林里的一条小河。准备离开时遇到了守护神黑龙，他帮我赶走了官兵，叫我再次帮他打开结界。</t>
  </si>
  <si>
    <t>我向黑龙解释了自己被官兵追捕的真实原因，并希望黑龙帮忙。黑龙答应了，准备进城前，我问他的名字，他似乎并不愿意透露……</t>
  </si>
  <si>
    <t>铸剑坊的东家带了一伙人在我家附近围堵，试图抢回桃木剑，征服黑龙为自己所用。我拒绝了东家，黑龙帮我化解了危机，我们一同将东家押送去了官府。事情解决后，黑龙说要告诉我真正能限制他的东西。</t>
  </si>
  <si>
    <t>我与黑龙交换了自己的名字，产生了“锁匙”一样的牵绊。我以为他获得自由以后会离开，没想到他还是选择留在我身边。乞巧节到了，我们用自己的方式度过了节日，缔结相守的誓言。</t>
  </si>
  <si>
    <t>许墨·陌上花</t>
  </si>
  <si>
    <t>2116,252,1</t>
  </si>
  <si>
    <t>2271,253,1</t>
  </si>
  <si>
    <t>2117,252,1</t>
  </si>
  <si>
    <t>你欠我的东西，想好怎么还了吗？</t>
  </si>
  <si>
    <t>幽芳之约</t>
  </si>
  <si>
    <t>我被几名道士误认为是妖怪，幸好许墨帮我掩盖了过去。第二天回家路上，我偶遇许墨，本想带他去我家附近的林子里采集果子，却意外发现我的房子竟然被人烧了……</t>
  </si>
  <si>
    <t>我被几名道士追杀，逃到了一间房内，并威胁房子主人说如果把我交出去，后果会很严重……</t>
  </si>
  <si>
    <t>房子主人最终还是帮我逃离了道士的追杀，他告诉我他的名字叫“许墨”。第二天，我在回家路上又遇见了许墨，谈话间，却发现我的房子居然被烧人了……</t>
  </si>
  <si>
    <t>火势越来越大，为了不让整片树林都跟着遭殃，我让许墨回去，自己一人去救火。就在我快要支撑不住时，许墨却出现了。随着他的笛声，大雨倾泻，枯木逢春……</t>
  </si>
  <si>
    <t>失去的记忆渐渐被唤醒，我终于想起原来我小时候就曾见过许墨，只是那时他还未化作人形。而许墨也告诉我，我还欠他一样东西，如今我又打算用什么去还呢……</t>
  </si>
  <si>
    <t>周棋洛·炽火明</t>
  </si>
  <si>
    <t>3111,252,1</t>
  </si>
  <si>
    <t>3282,253,1</t>
  </si>
  <si>
    <t>3112,252,1</t>
  </si>
  <si>
    <t>你的眸光，足以点亮我的世界。</t>
  </si>
  <si>
    <t>炽燎之约</t>
  </si>
  <si>
    <t>天穹之上，太阳升起又落下，日复一日。然而没有人知道，高高在上注视着人间的它是不是会觉得孤寂。</t>
  </si>
  <si>
    <t>与往年七夕不一样，这一次我瞒过朋友，偷偷带着早就准备好的东西进入了山林中。</t>
  </si>
  <si>
    <t>在宫殿里我找到了沉睡中的周棋洛，当我将带来的糕点和话本交给他时，他与我想象中一般的开心。但我没想到的是，其中的一本话本讲的居然是那！样！的！故！事！</t>
  </si>
  <si>
    <t>我带着周棋洛进入城中参加七夕的集市，以往他都只在天上看着人间，这次却和我一起踏入了喧哗的人世。</t>
  </si>
  <si>
    <t>酒楼里发生的意外让我们不再流连城中，而是回到了山林。在这片花海中，周棋洛向我许诺：碧落黄泉，永不分离。</t>
  </si>
  <si>
    <t>白起·寄长风</t>
  </si>
  <si>
    <t>4118,252,1</t>
  </si>
  <si>
    <t>4286,253,1</t>
  </si>
  <si>
    <t>4119,252,1</t>
  </si>
  <si>
    <t>你在的地方，就是我的人间。</t>
  </si>
  <si>
    <t>同途之约</t>
  </si>
  <si>
    <t>我奉命去南境的一座高山上寻找麒麟，在山上遇见了一个神秘的白衣男子，意外坠崖时他出现救了我，这时我却发现了一个惊天的秘密……</t>
  </si>
  <si>
    <t>我来到了传说中麒麟出没的神山，途中遇见了一个白衣男子，他为我包扎了被碎石划破的伤口，并且告诉我，他叫白起。</t>
  </si>
  <si>
    <t>白起带着我到了传说中能找到麒麟的山巅，但山巅上却只有一面悬崖，根本没有麒麟，我中毒意外坠崖，恍惚中看到了白起的身影……</t>
  </si>
  <si>
    <t>白起救了我，这时神殿的人赶到了山里，为了不让白起被神殿的人发现，我决定跟着神殿的人回去，在被囚禁的日子里，白起送我的玉环却突然碎了……</t>
  </si>
  <si>
    <t>灾难被白起顺利解决，村子里举行了盛大的祭典，这时白起突然出现在空中，问我愿不愿意跟他走，看着他的眼睛，我最终缓缓点头。</t>
  </si>
  <si>
    <t>凌肖·骤雨歇</t>
  </si>
  <si>
    <t>8028,252,1</t>
  </si>
  <si>
    <t>6135,253,1</t>
  </si>
  <si>
    <t>8029,252,1</t>
  </si>
  <si>
    <t>我想要的因缘，都由我自己争取。</t>
  </si>
  <si>
    <t>除祟之约</t>
  </si>
  <si>
    <t>我在七夕夜横遭剧变，意外被凌肖所救，之后为了报恩，我答应七日之内供凌肖差遣，很快，七日之期就要到了……</t>
  </si>
  <si>
    <t>我在七夕被贼人所劫，危急关头，我居然成功得救，但救下我的那个人，真的是人类吗？</t>
  </si>
  <si>
    <t>我在深山中遇见了诡异的一幕，吃惊之下不慎摔倒晕了过去，再醒过来时我出现在了一个名叫“凌肖”的人的家中，他说，他是我的救命恩人……</t>
  </si>
  <si>
    <t>我因为报恩在凌肖家住了七日，正要告别时，凌肖却不知所踪，而他居住的城镇，也在此时发生了一些奇怪的变化……</t>
  </si>
  <si>
    <t>邪祟最终得以消除与净化，我和凌肖泛舟小城，凌肖也告诉了我他的真身，他这个人，我似乎……还需要更多的时间，想多了解他一点。</t>
  </si>
  <si>
    <t>李泽言·浮香</t>
  </si>
  <si>
    <t>1266,253,1</t>
  </si>
  <si>
    <t>1116,252,1</t>
  </si>
  <si>
    <t>这片最好的景色，我只想留给你。</t>
  </si>
  <si>
    <t>庭院之约</t>
  </si>
  <si>
    <t>突然收到邀请的我和李泽言，来到了华锐旗下大楼楼顶的空中花园。美轮美奂的风景，浮动着花香的空气，这次试映会，也再次让我看到了意料之外的风景……</t>
  </si>
  <si>
    <t>我和李泽言突然收到了Ronan的联络，让我们去空中花园，参加他新电影的试映会。</t>
  </si>
  <si>
    <t>试映会顺利举行，在园内漫步的我，意外发现了一份来自李泽言的“惊喜”……</t>
  </si>
  <si>
    <t>当李泽言问到我对园区调整的建议时，我情不自禁说出了心中的想法：如果可以，我想要为他搭建可以安心休憩的绿洲。</t>
  </si>
  <si>
    <t>摇晃的花床，不稳的重心，让我摔在花床上。夜色如水，李泽言竟认真地和我说出了他的心声……</t>
  </si>
  <si>
    <t>周棋洛·快乐供应</t>
  </si>
  <si>
    <t>3281,253,1</t>
  </si>
  <si>
    <t>3110,252,1</t>
  </si>
  <si>
    <t>准备好和我一起寻找“出逃”的快乐了吗？</t>
  </si>
  <si>
    <t>寻回之约</t>
  </si>
  <si>
    <t>今天的我一直情绪不佳，大概是因为工作上遇到了困难，不得不推掉和周棋洛的约会。但没想到周棋洛会突然出现在我面前，说要带我找回 “离家出走”的快乐。</t>
  </si>
  <si>
    <t>我正发愁该如何解决工作时，一阵敲门声响起，不用猜也知道是他来了。没想到他给了我一张私人定制的名片，上面写着：“快乐捕手”周棋洛先生。</t>
  </si>
  <si>
    <t>一路上的他神神秘秘，最后我们来到一片静谧的森林，在里面找到很多他精心设计“放松心情”的指令，完成一系列指令后我的心情真的舒畅了不少。</t>
  </si>
  <si>
    <t>令我没想到的是，除了“放松心情”的指令，他还带我去了一处“世外桃源”，在这片“桃源”里他解开了我的“忧愁”。</t>
  </si>
  <si>
    <t>原以为今天的惊喜已经圆满结束，没想到他还有一个杀手锏，我们来到一家甜品屋，他的一番话也让我彻底敞开了近日的心扉，为了庆祝找回出逃的快乐，我们一起享用了美味的蛋糕。</t>
  </si>
  <si>
    <t>李泽言·沁甜一夏</t>
  </si>
  <si>
    <t>0,悠悠夏日长活动限定</t>
  </si>
  <si>
    <t>1260,253,1</t>
  </si>
  <si>
    <t>2020/8/6 5:00</t>
  </si>
  <si>
    <t>1261,253,1</t>
  </si>
  <si>
    <t>不用心急，最甜的那块是留给你的。</t>
  </si>
  <si>
    <t>许墨·耳畔轻语</t>
  </si>
  <si>
    <t>2264,253,1</t>
  </si>
  <si>
    <t>2265,253,1</t>
  </si>
  <si>
    <t>你想说的话，我都听到了。</t>
  </si>
  <si>
    <t>周棋洛·淡奶心情</t>
  </si>
  <si>
    <t>3275,253,1</t>
  </si>
  <si>
    <t>3276,253,1</t>
  </si>
  <si>
    <t>想给你的甜蜜，从来没有赏味期。</t>
  </si>
  <si>
    <t>白起·夏天的风</t>
  </si>
  <si>
    <t>4280,253,1</t>
  </si>
  <si>
    <t>4281,253,1</t>
  </si>
  <si>
    <t>想尝试不一样的夏天吗？</t>
  </si>
  <si>
    <t>凌肖·凉夏作战</t>
  </si>
  <si>
    <t>6129,253,1</t>
  </si>
  <si>
    <t>6130,253,1</t>
  </si>
  <si>
    <t>现在投降还来得及。</t>
  </si>
  <si>
    <t>李泽言·热望</t>
  </si>
  <si>
    <t>0,并行活动限定</t>
  </si>
  <si>
    <t>1265,253,1</t>
  </si>
  <si>
    <t>1114,252,1</t>
  </si>
  <si>
    <t>属于我的东西，谁都拿不走。 </t>
  </si>
  <si>
    <t>相逢之约</t>
  </si>
  <si>
    <t>时隔多年，我再次见到了李泽言，也许是上天的玩笑或者命中注定，他再一次停止时间救了我。为了让李泽言能够记住我，我向他立下了绝不会被未来的华锐撤资的豪言，只是突然出现的神秘人打断了我们的再会，这竟然和BS有关？！</t>
  </si>
  <si>
    <t>得知公司被华锐投资的消息，我再次站在了华锐门口，想要偷偷见李泽言一面，但最后也没能如愿。在离开时，我站在曾经相遇的马路边，看到了对面出现的李泽言，脑海里却出现了另一道声音……</t>
  </si>
  <si>
    <t>好像身后有双无形的手，用力地向前推了我一把，让我再次站在李泽言的面前，而他再次停止时间救下了我。在我们再次相识的过程中，突然出现了一个神秘人影……</t>
  </si>
  <si>
    <t>我们被带到的这家酒吧似乎是BS在背后承包，李泽言对于这份邀请似乎并没有那么意外，但因为并不信任对方，将我留在了他的身边，对方提出和李泽言玩一场游戏。</t>
  </si>
  <si>
    <t>李泽言顺利地通过了这场测试，我们回到了最初的地方，李泽言说期待我的表现。而在八个月后，当我再次回到BS大厦时，却在那里看到了李泽言，一切似乎才刚刚开始。</t>
  </si>
  <si>
    <t>许墨·雨幕</t>
  </si>
  <si>
    <t>2270,253,1</t>
  </si>
  <si>
    <t>2114,252,1</t>
  </si>
  <si>
    <t>关于这个世界的恐惧，从未阻止过我做想做的事。</t>
  </si>
  <si>
    <t>意外之约</t>
  </si>
  <si>
    <t>意外得知许墨回国的消息后，我鬼使神差来到了刚刚竣工的研究所，更意外的是，居然在这里重新遇到了许墨……</t>
  </si>
  <si>
    <t>回到恋语市陪伴父亲的这天，意外地从他的手机中得知许墨即将回国。复杂的情绪盘绕心头，不知不觉中，我竟然来到了刚刚竣工的许墨生命科学研究所。</t>
  </si>
  <si>
    <t>我轻车熟路地在研究所穿梭，路过实验室时，不由想起曾经在这里与他的初遇。怀念之际却突然被楼下传来的脚步声打断，情急之下推开门却撞见了许墨！跨过时间再次重演的相遇让我的心跳彻底乱了节奏。</t>
  </si>
  <si>
    <t>似曾相识却又不尽相同的过去再次发生。我没有想到许墨竟然还记得我，记得孤儿院发生的事。我和他做了一个预约制的邀请，等我真正成为制作人的那天，一定会邀请他来担任节目的嘉宾。</t>
  </si>
  <si>
    <t>一场意外的变天让这场相遇多了许多小插曲，我暗自希望时间慢一点，又不由庆幸这次似乎可以更早地去到他身边。告别是暂时的，这次我相信很快我们会再见面的。</t>
  </si>
  <si>
    <t>周棋洛·梦想起点</t>
  </si>
  <si>
    <t>3280,253,1</t>
  </si>
  <si>
    <t>3108,252,1</t>
  </si>
  <si>
    <t>我们的故事，从现在这一刻开始。</t>
  </si>
  <si>
    <t>初心之约</t>
  </si>
  <si>
    <t>周棋洛再次回到了恋语市，和我再次在那个最初的超市相遇了。这次他回国是为了和$c进行合作，以为将来正式回国发展做准备。在签约仪式结束后，他和我练习签署了一份关于未来的合同，许下了关于梦想的约定。</t>
  </si>
  <si>
    <t>当我听到周棋洛回到恋语市时，内心有些复杂。父亲对我说周棋洛此次回国就是算是公司最初的合作尝试，为以后他正式回国发展做准备，希望我也通过这次机会熟悉业务。</t>
  </si>
  <si>
    <t>我来到那个和周棋洛最初相遇的那个超市里，再次见到了他，一切都太过似曾相识，我的话总是下意识地脱口而出。好像在他面前，即使重复无数次，我也还是当年的那个我。</t>
  </si>
  <si>
    <t>在离开超市后，我带着周棋洛回到了公司，进行他正式的签约仪式，没想到如此顺利地就结束了。</t>
  </si>
  <si>
    <t>周棋洛提出和我来练习一下关于未来的签约仪式，我们向着对方一起许下关于未来梦想的约定，而我所不知道的是，周棋洛身后掩藏的黑暗与秘密似乎现在才只露出了冰山一角……</t>
  </si>
  <si>
    <t>4285,253,1</t>
  </si>
  <si>
    <t>4116,252,1</t>
  </si>
  <si>
    <t>很久以前，我就已经认识你了。</t>
  </si>
  <si>
    <t>悸动之约</t>
  </si>
  <si>
    <t>高中的故事再次开启，这一次，我和白起的人生更早的有了交集。</t>
  </si>
  <si>
    <t>开学典礼的第一天就遇到了一场大雨。我和被我救下来的小流浪猫在屋檐下躲雨，而这时，忽然有一个熟悉的身影将温暖的校服盖在了我身上。</t>
  </si>
  <si>
    <t>和过去我所了解的白起一样，他在高中时依然是那个令人闻风丧胆的校霸，校园传说的缔造者。教学楼外的偶然相遇，让我看到青涩的白起依然是那个孤狼一样的少年……</t>
  </si>
  <si>
    <t>韩野这个家伙原来学生时期也总爱惹麻烦，这一次又被几个混混盯上了要痛扁他一顿，但我总不能见死不救。可是我刚靠近，行踪就暴露了，就在我打算支开韩野偷偷用Evol解决这些人时，一个熟悉的身影忽然出现。</t>
  </si>
  <si>
    <t>危机暂时解决后，天色已晚。在韩野的怂恿下，我们三人一起去林家小馆吃了一碗面。和熟悉的人重回这个熟悉的地点，我的内心感慨万千……</t>
  </si>
  <si>
    <t>6134,253,1</t>
  </si>
  <si>
    <t>8026,252,1</t>
  </si>
  <si>
    <t>想了解我，那就快点跟上来。</t>
  </si>
  <si>
    <t>邂逅之约</t>
  </si>
  <si>
    <t>暑假实习的某天中午，我神使鬼差地上了一辆330公交车，没想到，在熟悉的街角、熟悉的站台，凌肖竟然出现了……</t>
  </si>
  <si>
    <t>结束了半天的实习工作，我神使鬼差地坐上了一辆330公交。车开到我和凌肖曾经相遇的站台，就在我以为这次不会遇到他时，车门却意外地再次打开。</t>
  </si>
  <si>
    <t>凌肖听着歌，再度在我身边坐下。就在我搜罗话题时，随着巨雷轰响，外面突然下起了暴雨。我和凌肖困在了停在路边的公交上，这一次，还是他主动开起了口。</t>
  </si>
  <si>
    <t>我以采访为借口，和凌肖重新认识了一次。当雨停了、公交也开到了终点站时，面对凌肖留给我的透明伞和他利落的扬长而去，不想就此错过的我，忍不住追了过去。</t>
  </si>
  <si>
    <t>凌肖邀请我一起去街边的公益鲜花展内避雨，我一口咬定自己是追上来还伞的，凌肖却说还以为我是来拿回钥匙——原来他在车上捡到了我的钥匙。在他莫名提出的条件下，我们交换了手机号码，这场不期而遇也拉开了重逢的序幕……</t>
  </si>
  <si>
    <t>许墨·拟扣心门</t>
  </si>
  <si>
    <t>2269,253,1</t>
  </si>
  <si>
    <t>2113,252,1</t>
  </si>
  <si>
    <t>其实，我更想去你的世界看一看。</t>
  </si>
  <si>
    <t>品读之约</t>
  </si>
  <si>
    <t>我和许墨趁着周末闲暇时挑选起了要捐献给公益读书室的旧书。许墨说，书籍是通向一个世界的钥匙，我们便拿起了对方世界的钥匙，想要进去看一看。</t>
  </si>
  <si>
    <t>我和许墨趁着午后闲暇，挑选起了要捐给公益读书室的书籍。我左挑右选的，从书架上搬下来一些已经好些年没有翻过的少女漫画。</t>
  </si>
  <si>
    <t>我翻看着手里的书籍，想象着许墨小时候是如何通过这些常人难以理解的理论知识汲取营养，引申出对科学的兴趣，继而一步步走到今天，心里有股玄之又玄的感觉，不由又仔细翻看了一下手里的书。许墨大概也有了和我同样的心情，捡起了一本我的少女漫开始阅读起来。</t>
  </si>
  <si>
    <t>在短短半小时的时间里，许墨已经接连看完了好几本漫画，依然在津津有味地阅读着，唇角挂着笑容，一副对漫画里的内容很感兴趣的模样。
察觉到我看过去的目光，他索性直接歪倒在我盘起的双膝上，和我讨论起了剧情。</t>
  </si>
  <si>
    <t>许墨翻到了其中一页男主角单人的插页拿给我看，我也想不起自己当年是什么心态，居然用彩铅在他的周围画了好几个爱心。听见我夸赞他又帅气又温柔又很保护女主，许墨忽而皱起了眉头，也不知道是不是吃醋了……</t>
  </si>
  <si>
    <t>李泽言·心墙浮香</t>
  </si>
  <si>
    <t>0.23|0.3|0.19|0.28</t>
  </si>
  <si>
    <t>648:1649:386:1228</t>
  </si>
  <si>
    <t>5345|6681|4152|6041</t>
  </si>
  <si>
    <t>李泽言·围城浮香</t>
  </si>
  <si>
    <t>0.19|0.25|0.3|0.27</t>
  </si>
  <si>
    <t>385:660:1643:1221</t>
  </si>
  <si>
    <t>4152|5529|6319|6217</t>
  </si>
  <si>
    <t>李泽言·热望浮香</t>
  </si>
  <si>
    <t>0.09|0.45|0.19|0.27</t>
  </si>
  <si>
    <t>275:1829:591:1215</t>
  </si>
  <si>
    <t>2035|10175|4152|5856</t>
  </si>
  <si>
    <t>周棋洛·迷藏快乐供应</t>
  </si>
  <si>
    <t>0.19|0.3|0.28|0.23</t>
  </si>
  <si>
    <t>386:1649:1228:648</t>
  </si>
  <si>
    <t>4152|6681|6041|5345</t>
  </si>
  <si>
    <t>周棋洛·假象快乐供应</t>
  </si>
  <si>
    <t>0.3|0.25|0.27|0.19</t>
  </si>
  <si>
    <t>1643:660:1221:385</t>
  </si>
  <si>
    <t>6319|5529|6217|4152</t>
  </si>
  <si>
    <t>周棋洛·梦想起点快乐供应</t>
  </si>
  <si>
    <t>0.19|0.45|0.27|0.09</t>
  </si>
  <si>
    <t>591:1829:1215:275</t>
  </si>
  <si>
    <t>4152|10175|5856|2035</t>
  </si>
  <si>
    <t>李泽言·心墙热望</t>
  </si>
  <si>
    <t>0.31|0.27|0.01|0.4</t>
  </si>
  <si>
    <t>1268:695:183:1765</t>
  </si>
  <si>
    <t>6958|6220|422|8621</t>
  </si>
  <si>
    <t>李泽言·围城热望</t>
  </si>
  <si>
    <t>0.27|0.22|0.12|0.39</t>
  </si>
  <si>
    <t>1210:631:310:1758</t>
  </si>
  <si>
    <t>5765|5068|2589|8797</t>
  </si>
  <si>
    <t>许墨·破局拟扣心门</t>
  </si>
  <si>
    <t>0.21|0.33|0.23|0.23</t>
  </si>
  <si>
    <t>620:1683:1170:438</t>
  </si>
  <si>
    <t>4614|7233|5119|5252</t>
  </si>
  <si>
    <t>许墨·陷落拟扣心门</t>
  </si>
  <si>
    <t>0.2|0.28|0.18|0.34</t>
  </si>
  <si>
    <t>613:1227:374:1695</t>
  </si>
  <si>
    <t>4790|6040|3967|7419</t>
  </si>
  <si>
    <t>许墨·拟扣心门雨幕</t>
  </si>
  <si>
    <t>0.2|0.19|0.39|0.23</t>
  </si>
  <si>
    <t>607:385:1747:1169</t>
  </si>
  <si>
    <t>4429|3923|8613|5252</t>
  </si>
  <si>
    <t>许墨·破局雨幕</t>
  </si>
  <si>
    <t>0.4|0.31|0.27|0.01</t>
  </si>
  <si>
    <t>1765:1268:695:183</t>
  </si>
  <si>
    <t>8621|6958|6220|422</t>
  </si>
  <si>
    <t>许墨·陷落雨幕</t>
  </si>
  <si>
    <t>0.39|0.27|0.22|0.12</t>
  </si>
  <si>
    <t>1758:1210:631:310</t>
  </si>
  <si>
    <t>8797|5765|5068|2589</t>
  </si>
  <si>
    <t>周棋洛·迷藏梦想起点</t>
  </si>
  <si>
    <t>0.01|0.27|0.4|0.31</t>
  </si>
  <si>
    <t>183:695:1765:1268</t>
  </si>
  <si>
    <t>422|6220|8621|6958</t>
  </si>
  <si>
    <t>周棋洛·假象梦想起点</t>
  </si>
  <si>
    <t>0.12|0.22|0.39|0.27</t>
  </si>
  <si>
    <t>310:631:1758:1210</t>
  </si>
  <si>
    <t>2589|5068|8797|5765</t>
  </si>
  <si>
    <t>白起·风起时灿烂之年</t>
  </si>
  <si>
    <t>0.01|0.27|0.32|0.39</t>
  </si>
  <si>
    <t>183:689:1279:1759</t>
  </si>
  <si>
    <t>422|5856|7142|8798</t>
  </si>
  <si>
    <t>白起·锋刃灿烂之年</t>
  </si>
  <si>
    <t>0.01|0.4|0.31|0.27</t>
  </si>
  <si>
    <t>183:1765:1268:695</t>
  </si>
  <si>
    <t>422|8621|6958|6220</t>
  </si>
  <si>
    <t>白起·长夜星火灿烂之年</t>
  </si>
  <si>
    <t>0.12|0.39|0.27|0.22</t>
  </si>
  <si>
    <t>310:1758:1210:631</t>
  </si>
  <si>
    <t>2589|8797|5765|5068</t>
  </si>
  <si>
    <t>凌肖·极速定律侵袭</t>
  </si>
  <si>
    <t>0.22|0.12|0.27|0.39</t>
  </si>
  <si>
    <t>631:310:1210:1758</t>
  </si>
  <si>
    <t>5068|2589|5765|8797</t>
  </si>
  <si>
    <t>凌肖·高热侵袭</t>
  </si>
  <si>
    <t>0.27|0.01|0.31|0.4</t>
  </si>
  <si>
    <t>695:183:1268:1765</t>
  </si>
  <si>
    <t>6220|422|6958|8621</t>
  </si>
  <si>
    <t>许墨·夏萤</t>
  </si>
  <si>
    <t>0,2020年8月签到奖励</t>
  </si>
  <si>
    <t>2262,253,1</t>
  </si>
  <si>
    <t>2020/8/1 5:00</t>
  </si>
  <si>
    <t>2263,253,1</t>
  </si>
  <si>
    <t>萤火虫的流光总让我想起你的眼睛。</t>
  </si>
  <si>
    <t>白起·毛绒心絮</t>
  </si>
  <si>
    <t>0,空色无瑕活动限定</t>
  </si>
  <si>
    <t>5247,253,1</t>
  </si>
  <si>
    <t>2020/7/27 5:00</t>
  </si>
  <si>
    <t>4273,253,1</t>
  </si>
  <si>
    <t>心里最柔软的地方，留给了你。</t>
  </si>
  <si>
    <t>故地之约</t>
  </si>
  <si>
    <t>因为一个意外，在白起生日这天，我们一起来到了白起外婆家的老屋……</t>
  </si>
  <si>
    <t>和白起记忆中一样的蒲公英，在院中随风轻轻晃动，白起从墙边摸出备用钥匙，打开了尘封许久的大门。</t>
  </si>
  <si>
    <t>看着灰尘沉积的室内，我们开始一起打扫老屋。扫除中，却有了意外的发现……</t>
  </si>
  <si>
    <t>面对坏掉的洗衣机，我们最终决定在室外手洗床单和窗帘。在洒满了阳光的庭院，两个人一起的合作让清洗也充满了温馨和甜蜜。</t>
  </si>
  <si>
    <t>意外掉落的相片，引白起和我说起了他的曾经。解开心结之后，我知道，我和白起即将携手共赴的，是无限的明天。</t>
  </si>
  <si>
    <t>白起·空色无瑕</t>
  </si>
  <si>
    <t>4276,253,1</t>
  </si>
  <si>
    <t>140292,251,1</t>
  </si>
  <si>
    <t>4110,252,1</t>
  </si>
  <si>
    <t>我已经拥有了，最期待的未来。</t>
  </si>
  <si>
    <t>李泽言·瑰色夜幕</t>
  </si>
  <si>
    <t>0,记忆银湾活动限定</t>
  </si>
  <si>
    <t>1104,252,1</t>
  </si>
  <si>
    <t>2020/7/16 5:00</t>
  </si>
  <si>
    <t>1,-61,0,1:2,-51,0,1</t>
  </si>
  <si>
    <t>1256,253,1</t>
  </si>
  <si>
    <t>1105,252,1</t>
  </si>
  <si>
    <t>我愿意为你，停在此刻。</t>
  </si>
  <si>
    <t>许墨·倾刻</t>
  </si>
  <si>
    <t>2104,252,1</t>
  </si>
  <si>
    <t>2,-65,0,1.07</t>
  </si>
  <si>
    <t>2256,253,1</t>
  </si>
  <si>
    <t>2105,252,1</t>
  </si>
  <si>
    <t>原来我会比想象中的，更加想念你。</t>
  </si>
  <si>
    <t>周棋洛·孤鲸旋律</t>
  </si>
  <si>
    <t>3097,252,1</t>
  </si>
  <si>
    <t>2,-59,0,1</t>
  </si>
  <si>
    <t>3270,253,1</t>
  </si>
  <si>
    <t>3098,252,1</t>
  </si>
  <si>
    <t>无论多孤独的旋律，总会有一个人来倾听。</t>
  </si>
  <si>
    <t>白起·渺渺星河</t>
  </si>
  <si>
    <t>4104,252,1</t>
  </si>
  <si>
    <t>1,35,0,1:2,53,0,1</t>
  </si>
  <si>
    <t>4271,253,1</t>
  </si>
  <si>
    <t>4105,252,1</t>
  </si>
  <si>
    <t>所有遥不可及，最终都会变成触手可及。</t>
  </si>
  <si>
    <t>凌肖·攻占</t>
  </si>
  <si>
    <t>8018,252,1</t>
  </si>
  <si>
    <t>1,-61,0,1:2,-51,38,1</t>
  </si>
  <si>
    <t>6125,253,1</t>
  </si>
  <si>
    <t>8019,252,1</t>
  </si>
  <si>
    <t>现在，该你自己去揭晓答案了。</t>
  </si>
  <si>
    <t>许墨·和光微梦</t>
  </si>
  <si>
    <t>2257,253,1</t>
  </si>
  <si>
    <t>140285,251,1</t>
  </si>
  <si>
    <t>2258,253,1</t>
  </si>
  <si>
    <t>我很幸运，和你有关的一切我都参与其中。</t>
  </si>
  <si>
    <t>镜画之约</t>
  </si>
  <si>
    <t>我答应了油画体验馆店长 “业余绘画展”的邀约后，却始终没有灵感。直到一道光束照射在许墨的身上，我想到了符合“梦幻“主题的创意。</t>
  </si>
  <si>
    <t>我和许墨在餐桌上思考着绘画的创意，原本陷入困境的我，在一道光照射在许墨的身上后，因此想到通过反射光来体现“梦幻“的灵感。</t>
  </si>
  <si>
    <t>有了灵感后，许墨带我来到一家特别的镜子店，在里面我看到了“圆头圆脑“的许墨和“正方形的我”。很快我们将镜子采购好后，却遇到了场地上的难题。</t>
  </si>
  <si>
    <t>最后我们决定在展览馆直接创作，经历一点甜蜜的小波折后，我们顺利地投入到创作中，但如何才能通过画作本身突出梦幻？许墨告诉了我他对梦幻的理解。</t>
  </si>
  <si>
    <t>我们顺利的完成了画作，镜子们也派上了用场，光照射在镜子上，在画板上反射出浅浅的光彩，这一刻的梦幻只属于我们。</t>
  </si>
  <si>
    <t>周棋洛·完美夏天</t>
  </si>
  <si>
    <t>3099,252,1</t>
  </si>
  <si>
    <t>3271,253,1</t>
  </si>
  <si>
    <t>3100,252,1</t>
  </si>
  <si>
    <t>属于夏天的浪漫里，你不可或缺。</t>
  </si>
  <si>
    <t>综艺之约</t>
  </si>
  <si>
    <t>终于拿到了恋语电视台王牌节目《一起去旅行》的合作机会，但我更期待的，是和周棋洛一起去海边发生的一切。</t>
  </si>
  <si>
    <t>我跟组拍摄《一起去旅行》的综艺节目，拍摄从清早敲开周棋洛家的家门开始。</t>
  </si>
  <si>
    <t>抵达海岛后，综艺节目就正式开拍了。我以为那些苛刻的任务会难倒周棋洛，没想到他做起来却驾轻就熟，在镜头里永远是最耀眼的存在。</t>
  </si>
  <si>
    <t>节目拍摄暂告一段落，主持人连森提议来打球。我和周棋洛一组，虽然我的体力比不过对手，但我的灵活和周棋洛的力量，加起来就能所向披靡。</t>
  </si>
  <si>
    <t>没想到节目组会想出这样的恶作剧游戏环节，偏偏我和周棋洛接连中选。而游戏中我的回答，居然让周棋洛显露出了和平时不一样的一面。</t>
  </si>
  <si>
    <t>李泽言·灯火夜无眠</t>
  </si>
  <si>
    <t>0,限时累充送活动限定|26,61030:25,61030</t>
  </si>
  <si>
    <t>1,0,135,1</t>
  </si>
  <si>
    <t>10004,332,1|901007,333,1|901008,333,1</t>
  </si>
  <si>
    <t>说过的承诺，我等你来兑现。</t>
  </si>
  <si>
    <t>灯火夜无眠</t>
  </si>
  <si>
    <t>收到影视协会的邀请，我原本想在颁奖典礼上给李泽言一个惊喜，没想到，最后竟然是他给了我更大的意外……</t>
  </si>
  <si>
    <t>收视率告捷的同一天，我突然收到一张颁奖礼的邀请函，并提前得知自己获得了“优秀影响力”奖。</t>
  </si>
  <si>
    <t>我隐瞒了得奖的事，邀请李泽言一同前往颁奖礼。刚抵达休息室门口就碰到了影视协会的黎会长，我连忙请会长进来坐坐。</t>
  </si>
  <si>
    <t>和会长聊天的过程中，我意外得知李泽言其实也收到了邀请。就在我请求会长帮忙保守自己得奖这个秘密的时候，礼服却被小男孩扯坏了。</t>
  </si>
  <si>
    <t>换上会长的备用礼服后，我和李泽言一起前往了宴会厅。然而就在快要颁奖的时候，李泽言却不见了。正当我因此沮丧时，没想到李泽言突然出现在舞台上——他竟然是颁奖嘉宾！从他手中接过奖杯，我感慨万千。</t>
  </si>
  <si>
    <t>来到宴会厅外的空地，我告诉李泽言今天戴这对耳环的私心，并表示自己这么久以来的努力除了热爱制作人这个身份外，也是为了能和他比肩。就在我开玩笑说下次获得国际大奖再送他礼物时，李泽言却俯下身，说要提前支付“回礼”……</t>
  </si>
  <si>
    <t>白起·风起时</t>
  </si>
  <si>
    <t>4272,253,1</t>
  </si>
  <si>
    <t>4106,252,1</t>
  </si>
  <si>
    <t>我一直等待的，就是这一刻。</t>
  </si>
  <si>
    <t>秋深之约</t>
  </si>
  <si>
    <t>恋与高中的校庆日当天，我与白起一同回到学校琴室，谈论着当年学校里的事情。在我耍赖般说着他欠了我许多回忆的时候，他突然吻住了我。</t>
  </si>
  <si>
    <t>恋与高中校庆当天，嫌操场太吵闹的我偷偷跑去了琴房里偷闲，白起也跟着找了过来，我和他开玩笑说，“杰出校友”可是要一个个上台和校长握手合照。</t>
  </si>
  <si>
    <t>说起最近常来学校的话题，白起似乎若有所思，我拉着他的手一起合奏，说起了上学时候的往事。</t>
  </si>
  <si>
    <t>话题向着如果高中时我就能与白起在一起开展，我随之设想了很多种可能。如果没有横生误会，没有兜兜转转——高中时繁重的学业、枯燥的练习都必然会以一种全新的体验展开。</t>
  </si>
  <si>
    <t>白起上前一步，将膝盖抵在了琴凳上，把我完全推在了钢琴上。我望向窗外无数飞舞的银杏叶，想要将我的一切都交付给他。</t>
  </si>
  <si>
    <t>李泽言·心墙</t>
  </si>
  <si>
    <t>1257,253,1</t>
  </si>
  <si>
    <t>1,-5,69,0.87:11,-5,69,0.87</t>
  </si>
  <si>
    <t>1107,252,1</t>
  </si>
  <si>
    <t>时间有限，说服我的机会只有一次。</t>
  </si>
  <si>
    <t>许墨·破局</t>
  </si>
  <si>
    <t>2259,253,1</t>
  </si>
  <si>
    <t>1,6,26,0.87:11,6,26,0.87</t>
  </si>
  <si>
    <t>2106,252,1</t>
  </si>
  <si>
    <t>平静的背后，往往暗藏汹涌。</t>
  </si>
  <si>
    <t>周棋洛·迷藏</t>
  </si>
  <si>
    <t>3272,253,1</t>
  </si>
  <si>
    <t>1,2,133,0.86:11,2,133,0.86</t>
  </si>
  <si>
    <t>3101,252,1</t>
  </si>
  <si>
    <t>如果找到我的话，就告诉你一个秘密。</t>
  </si>
  <si>
    <t>4274,253,1</t>
  </si>
  <si>
    <t>1,4,110,0.86:11,4,110,0.86</t>
  </si>
  <si>
    <t>4107,252,1</t>
  </si>
  <si>
    <t>你想隐藏的那些，我会亲自找到。</t>
  </si>
  <si>
    <t>6126,253,1</t>
  </si>
  <si>
    <t>1,1,180,0.86:11,1,180,0.86</t>
  </si>
  <si>
    <t>8020,252,1</t>
  </si>
  <si>
    <t>我好像有点明白你哪里有趣了。</t>
  </si>
  <si>
    <t>李泽言·围城</t>
  </si>
  <si>
    <t>0,项目《投资人计划》首通奖励</t>
  </si>
  <si>
    <t>1258,253,1</t>
  </si>
  <si>
    <t>1,-3,75,0.87:11,-3,75,0.87</t>
  </si>
  <si>
    <t>1108,252,1</t>
  </si>
  <si>
    <t>我把信任交在你手中，怎么使用是你的本事。</t>
  </si>
  <si>
    <t>隐秘之约</t>
  </si>
  <si>
    <t>在我醒来时发现自己被绑架到了一个未知的地下实验场，李泽言也在旁边，同时他的眼睛似乎出现了短暂的失明问题？！为了确保安全并准时参加李泽言说的拍卖会，我决定用自己的力量带他逃离这里。</t>
  </si>
  <si>
    <t>我昏昏沉沉醒来，发现自己在一个未知的地下设施中，李泽言也在我旁边。我们快速确认了一下情况后，他突然告诉我，自己看不见了。</t>
  </si>
  <si>
    <t>即使是失明，李泽言还是格外的冷静。在获得他的信任之后，我决定利用电子收发器先带他离开这里。过程比较顺利，正当我乐观地认为可以顺利离开这里时，一道人影出现在水泥地上……</t>
  </si>
  <si>
    <t>我们顺利地避开了斧头人的攻击，在暗角处分析着这个地下设施的情况。果然，在七点整时，这场神秘的偷袭落下了结束的讯号。</t>
  </si>
  <si>
    <t>等我们逃离废弃的实验场时，李泽言的部下刚好来接应。我们乘车去往一个酒庄，现场完成了交易。这一切好像终于结束了，但隐隐之中好像一切才刚刚开始。</t>
  </si>
  <si>
    <t>许墨·陷落</t>
  </si>
  <si>
    <t>0,项目《模拟计划》首通奖励</t>
  </si>
  <si>
    <t>2260,253,1</t>
  </si>
  <si>
    <t>1,8,75,0.87:11,8,75,0.87</t>
  </si>
  <si>
    <t>2107,252,1</t>
  </si>
  <si>
    <t>或许我永远都无法从你手中脱逃。</t>
  </si>
  <si>
    <t>束缚之约</t>
  </si>
  <si>
    <t>没有想到我还会有亲自审讯许墨的一天，可是在这场试探的游戏里，逃不掉的是他，还是我？</t>
  </si>
  <si>
    <t>组织的一名新成员联系到我，洋洋得意地炫耀自己捉住了一条“大鱼”。但是这条“大鱼”声称只有我亲自去审讯，才肯交代重要情报。看到照片上的人后，我感到大事不妙，连忙赶了过去。</t>
  </si>
  <si>
    <t>这条所谓的“大鱼”……果然是许墨！他怎么会在这里？我心惊肉跳地走进审讯室，见到了被捆绑起来、还受了伤的许墨。他看上去并不慌张，而他所谓的“情报”，竟然是要拉我下水……</t>
  </si>
  <si>
    <t>在组织成员的暗中监视中，我竭力保持冷静，对许墨威逼利诱，言语之间暗示他不要说出我们的关系。许墨看上去并不买账，我的每句试探都被他轻巧地打了回去，难道他是真的想让所有人知道我们的关系吗？</t>
  </si>
  <si>
    <t>特遣署的突击搜查中止了这场审讯。一切都在许墨的计算之中，他带我逃出了审讯室。第二天，我和许墨再次相见，他的笑容依旧不变，目光落在我手腕上那个亲自被他系上的绳结。</t>
  </si>
  <si>
    <t>周棋洛·假象</t>
  </si>
  <si>
    <t>0,项目《告别计划》首通奖励</t>
  </si>
  <si>
    <t>3273,253,1</t>
  </si>
  <si>
    <t>1,0,-8,1:11,0,-8,1</t>
  </si>
  <si>
    <t>3102,252,1</t>
  </si>
  <si>
    <t>不用来到我的世界，等我去你那里。</t>
  </si>
  <si>
    <t>戏中之约</t>
  </si>
  <si>
    <t>代入角色里的周棋洛冷漠难以接近，但角色外的他仍然让人感到开朗温暖。无论是哪个他，我的视线永远会聚焦在他身上。</t>
  </si>
  <si>
    <t>坐上了通往城外的车，我去北郊拍摄基地探周棋洛的班。周棋洛一通电话打了过来，讲了一通暧昧又引人误会的话，连车上的司机都忍不住连连侧目，怀疑起我这位影视公司的老板和大明星的关系来。</t>
  </si>
  <si>
    <t>周棋洛正在拍一场枪战戏。现场的氛围很紧张，每个工作人员都被他入戏的表演打动了。戏中的周棋洛和那通电话里的人判若两人，属于角色的情绪完美附着在他身上，一下子瓦解了我对他的熟悉感。</t>
  </si>
  <si>
    <t>周棋洛举起了枪，缓缓对准自己。这个举动让所有人大吃一惊。等意识到这是他的临场发挥时，导演并未叫停，而是兴奋地盯着取景框看了下去。这一幕拍完，周棋洛天衣无缝的表演得到了全场喝彩。</t>
  </si>
  <si>
    <t>白天的戏暂时收工，我和周棋洛有了来之不易的共处机会。我们谈起今天的剧本，周棋洛问我如果我是主角，而我们之中必须有一个死掉，会做出什么选择。我看着周棋洛的眼睛，毫不犹豫地选择了都要活下来的选项。</t>
  </si>
  <si>
    <t>0,项目《守护者计划》首通奖励</t>
  </si>
  <si>
    <t>4275,253,1</t>
  </si>
  <si>
    <t>1,-59,55,1:11,-59,55,1</t>
  </si>
  <si>
    <t>4108,252,1</t>
  </si>
  <si>
    <t>我会为你指引方向。</t>
  </si>
  <si>
    <t>迷途之约</t>
  </si>
  <si>
    <t>偷走B.S.内部资料的犯人竟然在特遣署的通缉名单上。在追捕现场遇见白起后，我们渐渐在过程中发现整件事似乎并不简单，这一次我希望能站在他的身旁一起，面对一切。</t>
  </si>
  <si>
    <t>在海崖上的小屋，我意外发现白起也在附近。在我决定偷偷离开时却被他识破，被他带到面前。</t>
  </si>
  <si>
    <t>几天后，我顺利利用特遣署的情报找到了那个人选择的旅店，在大楼淋喷系统的遮掩下，寻找着U盘的下落，没想到白起突然从窗户闯进房间中……</t>
  </si>
  <si>
    <t>我得到那个人将会在今晚通过港口离开恋语市的消息。在部署好一切后，我突然发现了之前一直没发现的事，于是寻求白起的帮助。在最后的危机关头，没想到他还是来到了我的身边……</t>
  </si>
  <si>
    <t>最后我们处理好了那个一直在寻找的人，我也找到了想要的U盘。在特遣署的队员到来之前，白起将自己的车钥匙给了我，并对我说下次遇到危险的时候，可以直接喊他的名字。</t>
  </si>
  <si>
    <t>0,项目《沉浸未来计划》首通奖励</t>
  </si>
  <si>
    <t>6127,253,1</t>
  </si>
  <si>
    <t>1,-63,-6,1:11,-63,-6,1</t>
  </si>
  <si>
    <t>8021,252,1</t>
  </si>
  <si>
    <t>在毁灭之前，绝不向平庸低头。</t>
  </si>
  <si>
    <t>归路之约</t>
  </si>
  <si>
    <t>出差刚回到恋语市，我就意外收到了几天没消息的凌肖发来的短信……</t>
  </si>
  <si>
    <t>航班刚抵达恋语市，我就收到了凌肖说要来接机的短信，一时间我怀疑自己是不是看错了。</t>
  </si>
  <si>
    <t>没想到凌肖滑着滑板就出现了，作为来接我的酬劳，我被要求请他吃一餐饭。</t>
  </si>
  <si>
    <t>摇摇晃晃的地铁上，我在凌肖圈出来的小角落里不知不觉地睡着了……</t>
  </si>
  <si>
    <t>终于回到家后，我紧绷了许久的神经终于放松下来，或许不仅仅是因为家的气息，还有身边的他。</t>
  </si>
  <si>
    <t>李泽言·围城心墙</t>
  </si>
  <si>
    <t>1,-5,69,0.87:2,-3,75,0.87</t>
  </si>
  <si>
    <t>0.41|0.06|0.12|0.41</t>
  </si>
  <si>
    <t>1776:245:514:1372</t>
  </si>
  <si>
    <t>9075|1574|2589|8982</t>
  </si>
  <si>
    <t>许墨·陷落破局</t>
  </si>
  <si>
    <t>1,6,26,0.87:2,8,75,0.87</t>
  </si>
  <si>
    <t>0.41|0.41|0.06|0.12</t>
  </si>
  <si>
    <t>1372:1776:245:514</t>
  </si>
  <si>
    <t>8982|9075|1574|2589</t>
  </si>
  <si>
    <t>周棋洛·假象迷藏</t>
  </si>
  <si>
    <t>1,2,133,0.86:2,0,-8,1</t>
  </si>
  <si>
    <t>0.12|0.06|0.41|0.41</t>
  </si>
  <si>
    <t>514:245:1372:1776</t>
  </si>
  <si>
    <t>2589|1574|8982|9075</t>
  </si>
  <si>
    <t>白起·锋刃风起时</t>
  </si>
  <si>
    <t>1,2,51,0.86:2,4,110,0.86</t>
  </si>
  <si>
    <t>0.01|0.28|0.47|0.24</t>
  </si>
  <si>
    <t>182:1227:1845:653</t>
  </si>
  <si>
    <t>422|6041|10452|5304</t>
  </si>
  <si>
    <t>白起·长夜星火风起时</t>
  </si>
  <si>
    <t>1,2,51,0.86:2,-59,55,1</t>
  </si>
  <si>
    <t>0.12|0.28|0.42|0.19</t>
  </si>
  <si>
    <t>309:1221:1787:590</t>
  </si>
  <si>
    <t>2589|6217|9259|4152</t>
  </si>
  <si>
    <t>白起·长夜星火锋刃</t>
  </si>
  <si>
    <t>1,4,110,0.86:2,-59,55,1</t>
  </si>
  <si>
    <t>0.12|0.41|0.41|0.06</t>
  </si>
  <si>
    <t>514:1372:1776:245</t>
  </si>
  <si>
    <t>2589|8982|9075|1574</t>
  </si>
  <si>
    <t>凌肖·极速定律高热</t>
  </si>
  <si>
    <t>1,-63,-6,1:2,1,180,0.86</t>
  </si>
  <si>
    <t>0.06|0.12|0.41|0.41</t>
  </si>
  <si>
    <t>245:514:1776:1372</t>
  </si>
  <si>
    <t>1574|2589|9075|8982</t>
  </si>
  <si>
    <t>李泽言·儿时</t>
  </si>
  <si>
    <t>0,主线CG</t>
  </si>
  <si>
    <t>1,-61,0,1</t>
  </si>
  <si>
    <t>许墨·儿时</t>
  </si>
  <si>
    <t>1,44,0,1</t>
  </si>
  <si>
    <t>周棋洛·儿时</t>
  </si>
  <si>
    <t>白起·儿时</t>
  </si>
  <si>
    <t>李泽言·耐人寻味</t>
  </si>
  <si>
    <t>0,恋与知味活动限定</t>
  </si>
  <si>
    <t>1255,253,1</t>
  </si>
  <si>
    <t>2020/7/13 5:00</t>
  </si>
  <si>
    <t>140279,251,1</t>
  </si>
  <si>
    <t>仔细品味，才能尝到深藏的甜。</t>
  </si>
  <si>
    <t>许墨·原汁原味</t>
  </si>
  <si>
    <t>2255,253,1</t>
  </si>
  <si>
    <t>140280,251,1</t>
  </si>
  <si>
    <t>喜欢的味道，要和喜欢的人一起分享。</t>
  </si>
  <si>
    <t>周棋洛·津津有味</t>
  </si>
  <si>
    <t>3269,253,1</t>
  </si>
  <si>
    <t>140281,251,1</t>
  </si>
  <si>
    <t>你是美食的加分项。</t>
  </si>
  <si>
    <t>白起·别有滋味</t>
  </si>
  <si>
    <t>4270,253,1</t>
  </si>
  <si>
    <t>140282,251,1</t>
  </si>
  <si>
    <t>美味的另一个意义，是你。</t>
  </si>
  <si>
    <t>凌肖·回味无穷</t>
  </si>
  <si>
    <t>6124,253,1</t>
  </si>
  <si>
    <t>140283,251,1</t>
  </si>
  <si>
    <t>既然来了，当然要吃个尽兴。</t>
  </si>
  <si>
    <t>白起·意外来客</t>
  </si>
  <si>
    <t>0,2020年7月签到奖励</t>
  </si>
  <si>
    <t>4277,253,1</t>
  </si>
  <si>
    <t>2020/7/1 5:00</t>
  </si>
  <si>
    <t>4278,253,1</t>
  </si>
  <si>
    <t>想和你分享每一个可爱的意外。</t>
  </si>
  <si>
    <t xml:space="preserve">李泽言·压线温度 </t>
  </si>
  <si>
    <t>1248,253,1</t>
  </si>
  <si>
    <t>2020/6/29 5:00</t>
  </si>
  <si>
    <t>140266,251,1</t>
  </si>
  <si>
    <t>1249,253,1</t>
  </si>
  <si>
    <t>我会静候你全力以赴的结果。</t>
  </si>
  <si>
    <t>网球之约</t>
  </si>
  <si>
    <t>为了给新项目寻找取景地，李泽言带我去一座海岛上见客户，可是好几天过去了，这位“神秘客户”却一直不见踪影……</t>
  </si>
  <si>
    <t>在沙滩烧烤节上我喝醉了，回客房的路上我浑浑噩噩地向李泽言细数了这一路的经历，而这时李泽言居然告诉我，他就是我的客户？！</t>
  </si>
  <si>
    <t>为了确认昨天李泽言的答复到底是我的梦还是真实，我决定去找他问个清楚，没想到，居然看到了正在打网球的他……</t>
  </si>
  <si>
    <t>李泽言肯定了我这次策划案的想法，但又驳回了我其中一项创意，为了让他改口，我决定故技重施，用一次比赛来决定创意的生死……</t>
  </si>
  <si>
    <t>激烈的网球比试中，我居然险胜了李泽言！这下他可不能反悔了，不过比起胜负结果，我更想和他这样一直比下去……</t>
  </si>
  <si>
    <t>白起·季夏信风</t>
  </si>
  <si>
    <t>0,下一站，晴活动限定</t>
  </si>
  <si>
    <t>4102,252,1</t>
  </si>
  <si>
    <t>2020/6/24 5:00</t>
  </si>
  <si>
    <t>4264,253,1</t>
  </si>
  <si>
    <t>4103,252,1</t>
  </si>
  <si>
    <t>想去哪里，我们就启程。</t>
  </si>
  <si>
    <t>驰骋之约</t>
  </si>
  <si>
    <t>我和白起来了一场随性的度假之旅，没想到在安宁的小镇中，我们居然遇到了一起抢劫案。突然起来的插曲，给我们的旅途染上了不一样的色彩。</t>
  </si>
  <si>
    <t>在面朝大海，背靠悬崖的小镇的清晨，我和白起一边享受早餐，一边谋划这次随性旅游的下一个目的地……</t>
  </si>
  <si>
    <t xml:space="preserve">最终，我们决定驱车前往隔壁的小镇。在我收拾好行李的时候，白起也驾驶着一辆敞篷车停在了我面前…… </t>
  </si>
  <si>
    <t>在小镇逛街时，街道上却突然发生了抢劫案。我和白起同时做出反应，驱车追了上去。白起把导航的工作交给了我，我到底能不能胜任呢……</t>
  </si>
  <si>
    <t>在蜿蜒的沿海高速上，白起一系列帅气的操作让我们很快追上抢劫者们。尽管对方临死挣扎，白起还是利落地截住了他们的车，制服了歹徒们。小小的插曲之后，我们再次驱车，继续我们的旅途……</t>
  </si>
  <si>
    <t>李泽言·容身之处</t>
  </si>
  <si>
    <t>31,0:0,新手序章</t>
  </si>
  <si>
    <t>1246,253,1</t>
  </si>
  <si>
    <t>140262,251,1</t>
  </si>
  <si>
    <t>1247,253,1</t>
  </si>
  <si>
    <t>比起其他东西，你的胆量或许最值得称赞。</t>
  </si>
  <si>
    <t>温暖之约</t>
  </si>
  <si>
    <t>我和李泽言一起去外地参加一个交流活动，原本一切顺利，没想到最后却有一场大雪在等着我们……</t>
  </si>
  <si>
    <t>没想到我会突然被魏谦拜托着担当李泽言的临时助理，虽然很紧张，但好在一切顺利地进行到了最后，只是活动结束后我们却面临着大雪封路的局面。</t>
  </si>
  <si>
    <t>得到了司机那边的消息，看着一时半会没法停下来的雪，李泽言决定直接走过去。虽然我有些不想离开室内的暖气，但还是只能咬咬牙跟上去了。</t>
  </si>
  <si>
    <t>我差点没有被冻僵在路上，身上穿着的正装好像一点也起不到保暖的作用。这时，没想到李泽言直接把大衣脱下来罩在了我的头上，虽然方式不怎么温柔，但我却觉得这个小小的空间就像是风雪中的一个避难所。</t>
  </si>
  <si>
    <t>比起我来说，李泽言才是更不会照顾自己的那一个吧！看着他身上单薄的衬衣，我决定贡献出自己的毯子给他，没想到却被嫌弃了。也不知道是哪来的胆量，我直接踮起脚把毯子披在了他的肩上。捧着手里暖暖的茶水，虽然窗外的雪下得很大，但这一刻屋内却格外温暖。</t>
  </si>
  <si>
    <t>许墨·萌芽</t>
  </si>
  <si>
    <t>2248,253,1</t>
  </si>
  <si>
    <t>140263,251,1</t>
  </si>
  <si>
    <t>2249,253,1</t>
  </si>
  <si>
    <t>有时候，拥抱比语言更有用。</t>
  </si>
  <si>
    <t>讲座之约</t>
  </si>
  <si>
    <t>一天，我受邀参加许墨的公益讲座，早早地抵达了学校。于是我决定去图书馆重温曾经的学生时代，却没想到在那里遇到正在睡觉的许墨……</t>
  </si>
  <si>
    <t>受邀参加公益讲座的我，早早地来到了学校。于是我决定去图书馆重温曾经的学生时代，却没想到在那遇见了正在睡觉的许墨。</t>
  </si>
  <si>
    <t>我暗自观察着许墨的睡颜，忽然，一朵樱花瓣落在他的发梢上。我决定悄悄地拿下夹进书里，但没想到的是……我的头上也落下一朵花瓣。</t>
  </si>
  <si>
    <t>讲座上一个小男孩为了生病的奶奶努力地学习急救知识，我有些心疼地抱住了小男孩。忽然，许墨拿起急救箱向我们走来，他想要做什么？</t>
  </si>
  <si>
    <t>许墨从正面、尊重的角度向小男孩解释着生命的意义，这不禁让我想起了我的爸爸。许墨似乎感受到了我的情绪波动，给我一个温暖又绅士的拥抱。</t>
  </si>
  <si>
    <t>周棋洛·酣甜陷阱</t>
  </si>
  <si>
    <t>3262,253,1</t>
  </si>
  <si>
    <t>140264,251,1</t>
  </si>
  <si>
    <t>3263,253,1</t>
  </si>
  <si>
    <t>蛋糕很甜，你想不想尝尝看？</t>
  </si>
  <si>
    <t>甜点之约</t>
  </si>
  <si>
    <t>为了拍摄计划健身的周棋洛、在拍摄现场专业又帅气的周棋洛、那个会开着玩笑的周棋洛……和他的每一次相处，都有新发现。</t>
  </si>
  <si>
    <t>周棋洛得知因为新的拍摄计划，自己需要增肌，约了我一起健身锻炼。无法拒绝的我顺势答应了下来……</t>
  </si>
  <si>
    <t>我如约和周棋洛一起健身。聊天中才发现，他比我想象中更努力，更敬业。</t>
  </si>
  <si>
    <t>拍摄现场，虽然是以甜品为主题，周棋洛意外露出了成熟帅气的一面。</t>
  </si>
  <si>
    <t>等待拍摄和采访结束，周棋洛和我一起分完了作为这次拍摄道具的蛋糕。周棋洛，到底还有多少我不知道的小秘密呢？</t>
  </si>
  <si>
    <t>白起·疾风</t>
  </si>
  <si>
    <t>4262,253,1</t>
  </si>
  <si>
    <t>140265,251,1</t>
  </si>
  <si>
    <t>4263,253,1</t>
  </si>
  <si>
    <t>没什么能击倒你内心的坚定。</t>
  </si>
  <si>
    <t>奇袭之约</t>
  </si>
  <si>
    <t>我和白起约好在咖啡馆见面，谁知他却临时碰到了点“意外”，然而这场意外却带我看到了另一面的他……</t>
  </si>
  <si>
    <t>我和白起相约在咖啡馆帮忙分析一些资料，却接到他的电话说有点意外，要晚点到。</t>
  </si>
  <si>
    <t>听到陌生女生的议论，我赶到附近的小巷，发现白起正在和一群人打斗！他帅气凌厉地撂倒了所有人，并巧妙地替不小心暴露的我打了掩护。</t>
  </si>
  <si>
    <t>白起带我来到一位老奶奶家，我这才明白原来他是为了保护一个被人欺负的小男孩。与刚刚狠厉的样子不同，此刻的白起温和有礼。当老奶奶误会我们在约会时，我和白起都不约而同地红了耳朵……</t>
  </si>
  <si>
    <t>离开时，老奶奶送了一个糖人作谢礼。和白起走在灯光温暖的路边，我表示自己很认同他今晚的举动，并催他赶紧将老奶奶的谢礼吃掉。紧挨着坐在街边的长椅上，看着苦恼怎么吃糖人的白起，我忍不住笑了。而今晚的白起，也似乎一直在带给我不一样的感受……</t>
  </si>
  <si>
    <t>QA数据分割线</t>
  </si>
  <si>
    <t>初始数值</t>
  </si>
  <si>
    <t>满级满星满阶数值</t>
  </si>
  <si>
    <t>进阶消耗</t>
  </si>
  <si>
    <t>卡牌id</t>
  </si>
  <si>
    <t>卡牌名</t>
  </si>
  <si>
    <t>决策</t>
  </si>
  <si>
    <t>创造</t>
  </si>
  <si>
    <t>亲和</t>
  </si>
  <si>
    <t>行动</t>
  </si>
  <si>
    <t>升华方案</t>
  </si>
  <si>
    <t>道具id</t>
  </si>
  <si>
    <t>道具名</t>
  </si>
  <si>
    <t>数量</t>
  </si>
  <si>
    <t>西月国数据分割线</t>
  </si>
  <si>
    <t>被动</t>
  </si>
  <si>
    <t>mp</t>
  </si>
  <si>
    <t>属性模板</t>
  </si>
  <si>
    <t>属性分类</t>
  </si>
  <si>
    <t>喊话语音</t>
  </si>
  <si>
    <t>升星数据分割线</t>
  </si>
  <si>
    <t>升星消耗</t>
  </si>
  <si>
    <t>SP数据分割线</t>
  </si>
  <si>
    <r>
      <rPr>
        <sz val="10"/>
        <color theme="1"/>
        <rFont val="微软雅黑"/>
        <family val="2"/>
        <charset val="134"/>
      </rPr>
      <t>card</t>
    </r>
    <r>
      <rPr>
        <sz val="10"/>
        <color theme="1"/>
        <rFont val="微软雅黑"/>
        <family val="2"/>
        <charset val="134"/>
      </rPr>
      <t>_id</t>
    </r>
  </si>
  <si>
    <t>颜色</t>
  </si>
  <si>
    <t>类型：2</t>
  </si>
  <si>
    <t xml:space="preserve">日语路径
</t>
  </si>
  <si>
    <t>D:\bundle_download_seaen\Assets\Builds\common\Audios\voice_jp\download</t>
  </si>
  <si>
    <t>类型：4</t>
  </si>
  <si>
    <t xml:space="preserve">英语路径
</t>
  </si>
  <si>
    <t>D:\bundle_download_seaen\Assets\Builds\common\Audios\voice_en\download</t>
  </si>
  <si>
    <t>类型：7</t>
  </si>
  <si>
    <t xml:space="preserve">汉语路径
</t>
  </si>
  <si>
    <t>D:\bundle_download_seaen\Assets\Builds\common\Audios\voice_cn\download</t>
  </si>
  <si>
    <t xml:space="preserve">类型
</t>
  </si>
  <si>
    <t>下载列表</t>
  </si>
  <si>
    <t>下载类型</t>
  </si>
  <si>
    <t>voice_440301_10.mp3,voice_440301_12.mp3,voice_440301_15.mp3,voice_440301_4.mp3,voice_440302_11.mp3,voice_440302_14.mp3,voice_440302_24.mp3,voice_440302_29.mp3,voice_440302_32.mp3,voice_440302_36.mp3,voice_440302_41.mp3,voice_440302_45.mp3,voice_440302_6.mp3,voice_440302_9.mp3,voice_440303_12.mp3,voice_440303_13.mp3,voice_440303_23.mp3,voice_440303_33.mp3,voice_440303_5.mp3,voice_440303_8.mp3,voice_440304_13.mp3,voice_440304_18.mp3,voice_440304_26.mp3,voice_440304_29.mp3,voice_440304_37.mp3,voice_440304_39.mp3,voice_440304_41.mp3,voice_440304_42.mp3,voice_440304_46.mp3,voice_440304_55.mp3,voice_440304_6.mp3,voice_440304_60.mp3,voice_440304_63.mp3,voice_440304_64.mp3,voice_440304_65.mp3,voice_440304_8.mp3</t>
  </si>
  <si>
    <t>3,4</t>
  </si>
  <si>
    <t>检查id</t>
  </si>
  <si>
    <t>修改id</t>
  </si>
  <si>
    <t>存在文件</t>
  </si>
  <si>
    <t>查找路径</t>
  </si>
  <si>
    <t>C:\Users\PC\Downloads\sql_data</t>
  </si>
  <si>
    <t>analyse_charge&amp;cards.csv</t>
  </si>
  <si>
    <t>空文件</t>
  </si>
  <si>
    <t>D:\BossLove_Design\国内版本计划\策划wiki\策划工具\empty.mp3</t>
  </si>
  <si>
    <t>analyse_charge&amp;experiments.csv</t>
  </si>
  <si>
    <t>analyse_charge&amp;goods.csv</t>
  </si>
  <si>
    <t>cards.csv</t>
  </si>
  <si>
    <t>charge&amp;cards.csv</t>
  </si>
  <si>
    <t>charge&amp;experiments.csv</t>
  </si>
  <si>
    <t>charge&amp;gifts.csv</t>
  </si>
  <si>
    <t>charge&amp;goods.csv</t>
  </si>
  <si>
    <t>charge.csv</t>
  </si>
  <si>
    <t>experiments.csv</t>
  </si>
  <si>
    <t>gifts.csv</t>
  </si>
  <si>
    <t>goods.csv</t>
  </si>
  <si>
    <t>my_charge.csv</t>
  </si>
  <si>
    <t>数据分析.xlsx</t>
  </si>
  <si>
    <t>李泽言·心墙漫言日长</t>
  </si>
  <si>
    <t>李泽言·围城漫言日长</t>
  </si>
  <si>
    <t>李泽言·热望漫言日长</t>
  </si>
  <si>
    <t>李泽言·浮香漫言日长</t>
  </si>
  <si>
    <t>李泽言·猎行之时漫言日长</t>
  </si>
  <si>
    <t>李泽言·制胜时刻漫言日长</t>
  </si>
  <si>
    <t>李泽言·一眸之隔漫言日长</t>
  </si>
  <si>
    <t>李泽言·今夕景漫言日长</t>
  </si>
  <si>
    <t>李泽言·盛意满怀漫言日长</t>
  </si>
  <si>
    <t>李泽言·静谧晖光漫言日长</t>
  </si>
  <si>
    <t>李泽言·相遇转角漫言日长</t>
  </si>
  <si>
    <t>美短</t>
    <phoneticPr fontId="71" type="noConversion"/>
  </si>
  <si>
    <t>田园</t>
    <phoneticPr fontId="71" type="noConversion"/>
  </si>
  <si>
    <t>柴犬</t>
    <phoneticPr fontId="71" type="noConversion"/>
  </si>
  <si>
    <t>起司加白</t>
    <phoneticPr fontId="71" type="noConversion"/>
  </si>
  <si>
    <t>黑柴柴</t>
    <phoneticPr fontId="71" type="noConversion"/>
  </si>
  <si>
    <t>白柴柴</t>
    <phoneticPr fontId="71" type="noConversion"/>
  </si>
  <si>
    <t>2:美短</t>
    <phoneticPr fontId="71" type="noConversion"/>
  </si>
  <si>
    <t>1:起司加白</t>
    <phoneticPr fontId="71" type="noConversion"/>
  </si>
  <si>
    <t>desc</t>
    <phoneticPr fontId="71" type="noConversion"/>
  </si>
  <si>
    <t>简介</t>
    <phoneticPr fontId="71" type="noConversion"/>
  </si>
  <si>
    <t>李泽言·钟影阑珊</t>
    <phoneticPr fontId="71" type="noConversion"/>
  </si>
  <si>
    <t>2021/7/8 5:00</t>
    <phoneticPr fontId="71" type="noConversion"/>
  </si>
  <si>
    <t>我想对你说的话，从不需隐匿。</t>
    <phoneticPr fontId="71" type="noConversion"/>
  </si>
  <si>
    <t>演绎之约</t>
    <phoneticPr fontId="71" type="noConversion"/>
  </si>
  <si>
    <t>1153,252,1</t>
    <phoneticPr fontId="71" type="noConversion"/>
  </si>
  <si>
    <t>3147,252,1</t>
    <phoneticPr fontId="71" type="noConversion"/>
  </si>
  <si>
    <t>周棋洛·飞行岛屿</t>
    <phoneticPr fontId="71" type="noConversion"/>
  </si>
  <si>
    <t>想和你一起探寻，世界上最棒的风景。</t>
    <phoneticPr fontId="71" type="noConversion"/>
  </si>
  <si>
    <t>热气球之约</t>
    <phoneticPr fontId="71" type="noConversion"/>
  </si>
  <si>
    <t>我来片场探班周棋洛，不料却得知了他受伤的消息。眼看周棋洛因为被远哥“禁足”而颇为郁闷，我灵机一动，向他提出了一个“特工级的私奔计划”……</t>
    <phoneticPr fontId="71" type="noConversion"/>
  </si>
  <si>
    <t>周棋洛因为拍戏而受伤，远哥让他老老实实地在酒店躺两天。我跟周棋洛坐在床上翻看他在片场的拍摄花絮，周棋洛说拍戏的时候他没有好好体验，现在真想再坐一次热气球，我于是冒出了个主意……</t>
    <phoneticPr fontId="71" type="noConversion"/>
  </si>
  <si>
    <t>我跟周棋洛的“特工级私奔计划”有惊无险地成功了，就在我松了口气时，周棋洛却说更精彩的环节还在后面。</t>
    <phoneticPr fontId="71" type="noConversion"/>
  </si>
  <si>
    <t>我跟周棋洛登上了期待已久的热气球。热气球缓缓上升，我们却因为清晨雾气太大，没有如愿看到想看的风景。就在我有些失望时，气球上忽然一阵颠簸，我不小心撞到了周棋洛的伤……</t>
    <phoneticPr fontId="71" type="noConversion"/>
  </si>
  <si>
    <t>随着云雾散开、太阳上升，我们惊喜地见到了日出。而在周棋洛的提议下，我们像电影中的主角一样，大声地对着天空说出了心中的愿望和情感。</t>
    <phoneticPr fontId="71" type="noConversion"/>
  </si>
  <si>
    <t>蓝橙粉</t>
    <phoneticPr fontId="71" type="noConversion"/>
  </si>
  <si>
    <t>绿橙蓝</t>
    <phoneticPr fontId="71" type="noConversion"/>
  </si>
  <si>
    <t>我以“公事”为名将李泽言约到了“名画演绎体验馆”，想和他一起体验一把。选完画作换好衣服，穿着燕尾礼服的李泽言俨然就像从画中走出来的一般。随着音乐的流淌，我们的对话也就此展开……</t>
    <phoneticPr fontId="71" type="noConversion"/>
  </si>
  <si>
    <t>名画演绎体验馆门口，李泽言问我这算什么公事，我拉着他说进去就知道了。</t>
    <phoneticPr fontId="71" type="noConversion"/>
  </si>
  <si>
    <t>工作人员讲解完规则后，我和李泽言观看了几出示范演绎，果然很有趣。我告诉李泽言，我打算买下他们的录像和播放版权，作为节目进一步推广。</t>
    <phoneticPr fontId="71" type="noConversion"/>
  </si>
  <si>
    <t>我们选择了《城市之舞》这幅画，换好衣服出来，站在钟楼布景板前的李泽言看起来卓尔矜贵又沉稳，令我目不转睛。摆好和画中相同的姿势后，我们开始了台词对话。</t>
    <phoneticPr fontId="71" type="noConversion"/>
  </si>
  <si>
    <t>提供的台词只有开头两句，之后都是我们的自由发挥。仿佛有感而发的对话，我们的演绎既有趣又温馨，顺利拿到了奖品。离开的路上李泽言告诉我，在这场体验中，真正让一切变得不同的，其实是……</t>
    <phoneticPr fontId="71" type="noConversion"/>
  </si>
  <si>
    <t>容与</t>
    <phoneticPr fontId="71" type="noConversion"/>
  </si>
  <si>
    <t>2021/8/2 5:00</t>
    <phoneticPr fontId="71" type="noConversion"/>
  </si>
  <si>
    <t>原本约了李泽言周末在我家看电影，他手头却还有一堆公事要处理，我只好一个人看动漫。自觉打扰到了他，我为他切了一份水果，并发现了一封给华锐的邀请函。</t>
    <phoneticPr fontId="71" type="noConversion"/>
  </si>
  <si>
    <t>半指头手套看起来很俏皮~</t>
  </si>
  <si>
    <t>symbol</t>
  </si>
  <si>
    <t>字符符号</t>
  </si>
  <si>
    <t>♂</t>
    <phoneticPr fontId="71" type="noConversion"/>
  </si>
  <si>
    <t>♀</t>
    <phoneticPr fontId="71" type="noConversion"/>
  </si>
  <si>
    <t>李泽言·降温密语</t>
    <phoneticPr fontId="71" type="noConversion"/>
  </si>
  <si>
    <t>0,夏日水世界活动限定</t>
    <phoneticPr fontId="71" type="noConversion"/>
  </si>
  <si>
    <t>清爽清甜，和你一样。</t>
  </si>
  <si>
    <t>许墨·消夏之趣</t>
    <phoneticPr fontId="71" type="noConversion"/>
  </si>
  <si>
    <t>我很乐意和你一起尝试，每个属于夏天的乐趣。</t>
  </si>
  <si>
    <t>周棋洛·桃气遐想</t>
    <phoneticPr fontId="71" type="noConversion"/>
  </si>
  <si>
    <t>沙冰很甜，不过比你差一点。</t>
  </si>
  <si>
    <t>白起·甜意双拼</t>
    <phoneticPr fontId="71" type="noConversion"/>
  </si>
  <si>
    <t>除了风，我还有很多让你凉快的方式。</t>
  </si>
  <si>
    <t>凌肖·炫彩清凉</t>
    <phoneticPr fontId="71" type="noConversion"/>
  </si>
  <si>
    <t>想不想知道我的消暑秘诀？</t>
  </si>
  <si>
    <t>1375,253,1</t>
    <phoneticPr fontId="71" type="noConversion"/>
  </si>
  <si>
    <t>1376,253,1</t>
    <phoneticPr fontId="71" type="noConversion"/>
  </si>
  <si>
    <t>2379,253,1</t>
    <phoneticPr fontId="71" type="noConversion"/>
  </si>
  <si>
    <t>2380,253,1</t>
    <phoneticPr fontId="71" type="noConversion"/>
  </si>
  <si>
    <t>3385,253,1</t>
    <phoneticPr fontId="71" type="noConversion"/>
  </si>
  <si>
    <t>3386,253,1</t>
    <phoneticPr fontId="71" type="noConversion"/>
  </si>
  <si>
    <t>4385,253,1</t>
    <phoneticPr fontId="71" type="noConversion"/>
  </si>
  <si>
    <t>4386,253,1</t>
    <phoneticPr fontId="71" type="noConversion"/>
  </si>
  <si>
    <t>6218,253,1</t>
    <phoneticPr fontId="71" type="noConversion"/>
  </si>
  <si>
    <t>6219,253,1</t>
    <phoneticPr fontId="71" type="noConversion"/>
  </si>
  <si>
    <t>你当然可以插手我的人生。</t>
  </si>
  <si>
    <t>我想给你，我所拥有的一切。</t>
  </si>
  <si>
    <t>匿光之约</t>
  </si>
  <si>
    <t>愿长风为我引路，送我回到你的身边。</t>
  </si>
  <si>
    <t>长旅之约</t>
  </si>
  <si>
    <t>我是掌管自然的女神，也是半神白起的守护神。白起的母亲在去世前把白起托付给我，希望我们护佑白起直到他成为国王。不知为何，白起一直很抗拒继承王位，直到有一天，他突然改变了心意。但白起对我说，在继承王位之前，他想要依据古籍踏上旅途，收集各地宝藏，好获得强大的神灵，成为他新的守护神……</t>
  </si>
  <si>
    <t>白起来到了我的森林，一如既往地为我带来了糕饼。想到当年他才来到我森林时的往事，我心中不免有些感慨。我再次向他提及继承王位的事，白起对这件事似乎依然颇为抵触。</t>
  </si>
  <si>
    <t>1374,253,1</t>
    <phoneticPr fontId="71" type="noConversion"/>
  </si>
  <si>
    <t>3384,253,1</t>
    <phoneticPr fontId="71" type="noConversion"/>
  </si>
  <si>
    <t>李泽言·心墙钟影阑珊</t>
  </si>
  <si>
    <t>10456:5299:1849:4614</t>
  </si>
  <si>
    <t>1846:1179:267:616</t>
  </si>
  <si>
    <t>李泽言·围城钟影阑珊</t>
  </si>
  <si>
    <t>9263:4147:4016:4790</t>
  </si>
  <si>
    <t>1784:592:380:1152</t>
  </si>
  <si>
    <t>李泽言·热望钟影阑珊</t>
  </si>
  <si>
    <t>7146:8793:1849:4429</t>
  </si>
  <si>
    <t>1275:1759:267:606</t>
  </si>
  <si>
    <t>李泽言·浮香钟影阑珊</t>
  </si>
  <si>
    <t>5533:9254:5579:1849</t>
  </si>
  <si>
    <t>664:1783:1193:267</t>
  </si>
  <si>
    <t>李泽言·猎行之时钟影阑珊</t>
  </si>
  <si>
    <t>6685:9071:6040:422</t>
  </si>
  <si>
    <t>1251:1774:690:192</t>
  </si>
  <si>
    <t>李泽言·制胜时刻钟影阑珊</t>
  </si>
  <si>
    <t>5533:6314:6218:4150</t>
  </si>
  <si>
    <t>664:1630:1227:387</t>
  </si>
  <si>
    <t>李泽言·一眸之隔钟影阑珊</t>
  </si>
  <si>
    <t>7421:7692:6679:422</t>
  </si>
  <si>
    <t>1290:1702:724:192</t>
  </si>
  <si>
    <t>李泽言·今夕景钟影阑珊</t>
  </si>
  <si>
    <t>6685:4147:6043:5344</t>
  </si>
  <si>
    <t>1649:386:1218:654</t>
  </si>
  <si>
    <t>李泽言·盛意满怀钟影阑珊</t>
  </si>
  <si>
    <t>5533:5299:6038:5348</t>
  </si>
  <si>
    <t>李泽言·静谧晖光钟影阑珊</t>
  </si>
  <si>
    <t>5533:7874:6959:1849</t>
  </si>
  <si>
    <t>664:1711:1265:267</t>
  </si>
  <si>
    <t>李泽言·相遇转角钟影阑珊</t>
  </si>
  <si>
    <t>9260:8518:1849:2589</t>
  </si>
  <si>
    <t>1783:1347:267:510</t>
  </si>
  <si>
    <t>李泽言·漫言日长钟影阑珊</t>
  </si>
  <si>
    <t>10365:4147:3737:3966</t>
  </si>
  <si>
    <t>1841:1119:365:582</t>
  </si>
  <si>
    <t>周棋洛·迷藏飞行岛屿</t>
  </si>
  <si>
    <t>1849:5299:4614:10456</t>
  </si>
  <si>
    <t>267:1179:616:1846</t>
  </si>
  <si>
    <t>周棋洛·假象飞行岛屿</t>
  </si>
  <si>
    <t>4016:4147:4790:9263</t>
  </si>
  <si>
    <t>380:592:1152:1784</t>
  </si>
  <si>
    <t>周棋洛·梦想起点飞行岛屿</t>
  </si>
  <si>
    <t>1849:8793:4429:7146</t>
  </si>
  <si>
    <t>267:1759:606:1275</t>
  </si>
  <si>
    <t>周棋洛·快乐供应飞行岛屿</t>
  </si>
  <si>
    <t>5579:9254:1849:5533</t>
  </si>
  <si>
    <t>1193:1783:267:664</t>
  </si>
  <si>
    <t>周棋洛·光的缝隙飞行岛屿</t>
  </si>
  <si>
    <t>6040:9071:422:6685</t>
  </si>
  <si>
    <t>690:1774:192:1251</t>
  </si>
  <si>
    <t>周棋洛·注目飞行岛屿</t>
  </si>
  <si>
    <t>6218:6314:4150:5533</t>
  </si>
  <si>
    <t>1227:1630:387:664</t>
  </si>
  <si>
    <t>周棋洛·欲忘言飞行岛屿</t>
  </si>
  <si>
    <t>6043:4147:5344:6685</t>
  </si>
  <si>
    <t>1218:386:654:1649</t>
  </si>
  <si>
    <t>周棋洛·心动节拍飞行岛屿</t>
  </si>
  <si>
    <t>6038:5299:5348:5533</t>
  </si>
  <si>
    <t>1615:447:654:1191</t>
  </si>
  <si>
    <t>周棋洛·美妙一瞬飞行岛屿</t>
  </si>
  <si>
    <t>1849:7875:1849:10642</t>
  </si>
  <si>
    <t>周棋洛·满分拥抱飞行岛屿</t>
  </si>
  <si>
    <t>6679:7692:422:7421</t>
  </si>
  <si>
    <t>724:1702:192:1290</t>
  </si>
  <si>
    <t>周棋洛·追光飞行岛屿</t>
  </si>
  <si>
    <t>6959:7874:1849:5533</t>
  </si>
  <si>
    <t>1265:1711:267:664</t>
  </si>
  <si>
    <t>周棋洛·阳光盛惠飞行岛屿</t>
  </si>
  <si>
    <t>1849:8518:2589:9260</t>
  </si>
  <si>
    <t>267:1347:510:1783</t>
  </si>
  <si>
    <t>粉蓝绿</t>
    <phoneticPr fontId="71" type="noConversion"/>
  </si>
  <si>
    <t>绿蓝粉</t>
    <phoneticPr fontId="71" type="noConversion"/>
  </si>
  <si>
    <t>绿橙粉</t>
    <phoneticPr fontId="71" type="noConversion"/>
  </si>
  <si>
    <t>白起·翼向远方</t>
  </si>
  <si>
    <t>0,恋恋炽鸣活动限定</t>
  </si>
  <si>
    <t>4388,253,1</t>
  </si>
  <si>
    <t>2021/7/24 5:00</t>
  </si>
  <si>
    <t>4389,253,1</t>
  </si>
  <si>
    <t>你是我永远的降落点。</t>
  </si>
  <si>
    <t>展翼之约</t>
  </si>
  <si>
    <t>白起·恋恋炽鸣</t>
  </si>
  <si>
    <t>4379,253,1</t>
  </si>
  <si>
    <t>140437,251,1</t>
  </si>
  <si>
    <t>4149,252,1</t>
  </si>
  <si>
    <t>是你牵住了我的手，所以永远别放开。</t>
  </si>
  <si>
    <t>李泽言·越界</t>
  </si>
  <si>
    <t>0,神谕之启活动限定</t>
  </si>
  <si>
    <t>1154,252,1</t>
  </si>
  <si>
    <t>1373,253,1</t>
  </si>
  <si>
    <t>1155,252,1</t>
  </si>
  <si>
    <t>不宣之约</t>
  </si>
  <si>
    <t>因为天使的指示，我作为见习爱神帮助冥界的主宰者寻找合适的伴侣。虽然过程格外“艰难”，但在其中我越发了解到这位冥神其实是一个不错的神，我相信我早晚可以圆满地完成这个任务，但没想到是……这个任务的结局竟然来得如此之快。</t>
  </si>
  <si>
    <t>我静静聆听灵魂的审判，在审判结束之后，我来到了冥神的面前告诉他我即将从见习爱神的岗位上毕业了。</t>
  </si>
  <si>
    <t>李泽言对我的离职显得有些惊讶，甚至有几分不属于他的急躁。面对他，我回想着从我接到任务起和他一点一滴，那些和他有关的记忆都在此刻变得如此清晰而深刻，我希望能在作为见习爱神最后的时刻，尽我所能让李泽言幸福。</t>
  </si>
  <si>
    <t>我和李泽言坐在面对冥界之门的山坡上聊天，他告诉我那些光点是这些灵魂的一生，而光点在冥土大地上落成的花，则是他们曾相伴一生的爱。只是在这个世界里，所有的事物都会变成尘埃，无论是人或是神，也都会迎来终结。我想给留在这个世界里的李泽言，留下点什么。</t>
  </si>
  <si>
    <t>李泽言送给我的花始终没有凋谢。距离我成为人类不剩下几天了，我来到人界与冥界的交界处，没想到一直跟在李泽言身边的三头龙出现在了我的身后……</t>
  </si>
  <si>
    <t>许墨·晴月入海</t>
  </si>
  <si>
    <t>2149,252,1</t>
  </si>
  <si>
    <t>2378,253,1</t>
  </si>
  <si>
    <t>2150,252,1</t>
  </si>
  <si>
    <t>我已遇见属于我的芬芳之夏。</t>
  </si>
  <si>
    <t>碧海之约</t>
  </si>
  <si>
    <t>作为一名在海上驰骋的海盗头领，有一天我被同伴背叛，流落到了一片不知名的海域，一个神秘的男人救起了我，他说他叫许墨，我惊讶地发现他能够操纵海水，还能弹出美妙的乐曲，这让我想起了关于海妖的传说……</t>
  </si>
  <si>
    <t>我被同伴刺伤跳进海里，还好有曾经帮助过的海员悄悄将我藏到了一艘小船上，小船载着我飘到了一片不知名的海域，这片海域奇怪地飘着飞雪。就在小船即将被巨浪打翻的时候，一个男人从海水中出现，救起了我。</t>
  </si>
  <si>
    <t>救我的男人说他叫许墨，他住在岛上一座破败的神殿中，他弹奏的乐曲能够令月桂花一瞬开放，也能操纵海水随意变化，种种迹象都表明，他似乎就是传说中魅惑人心的海妖……可他却似乎和传说不太一样。</t>
  </si>
  <si>
    <t>出于某种神秘力量的干扰，我在神殿中回到了过去，见到了曾经护佑海洋的海神。传说海妖杀死了海神，但许墨却告诉我，海神陨落是因为信仰的消失。过去的海神拥有许多信奉者，我提醒他要小心人类的反复无常，可他却似乎对我更加好奇……</t>
  </si>
  <si>
    <t>海上的飞雪越来越多，与此同时，许墨的长发变得越来越白，完全变白的时候，许墨用海水开道，送我离开了小岛。在我离开后不久，支撑着小岛的力量像是消失了一样，它慢慢被海水吞噬，我放心不下许墨，重新返航回到许墨，在见到他的时候，记忆中的两张脸渐渐重合……</t>
  </si>
  <si>
    <t>周棋洛·挽星</t>
  </si>
  <si>
    <t>3148,252,1</t>
  </si>
  <si>
    <t>3383,253,1</t>
  </si>
  <si>
    <t>3149,252,1</t>
  </si>
  <si>
    <t>和周棋洛为同一期新神训练生的我，原本以为我们会按照拟定的神令内容，分别成日神和夜神，从此同结连理。却没想到周棋洛拒绝了这条神令，而是主动担任起了日夜共神。他在这样做的原因，难道是讨厌我吗……</t>
  </si>
  <si>
    <t>新神周会上，日夜共神周棋洛以切磋工作经验的名义，提出要和我共度一天。为此我感到疑惑，毕竟在我的立场，一周前的我刚刚被他拒绝……</t>
  </si>
  <si>
    <t>周棋洛驾驶着太阳日车，带我洒落了日光，并在精灵谷上为一只精灵鹿加油打气。我突然意识到，他依旧是我记忆中那个耀眼的周棋洛。</t>
  </si>
  <si>
    <t>他带我参加了精灵界的传统节日——日光节，而他却“反常”地送了我定情饰物，并和我跳了一支相守之舞。在我感到混乱时，一只魔兽扰乱了现场。为了追赶魔兽，我不小心撞破了周棋洛的秘密。</t>
  </si>
  <si>
    <t>通过秘密画卷，我终于得知了一切真相。原来周棋洛拒绝我的初衷，是为了让我远离黑暗的诅咒。懊悔和内疚的心情交加下，我带着他一起种了一次星星，并许下承诺——我们要相伴一生。</t>
  </si>
  <si>
    <t>白起·碧蓝之誓</t>
  </si>
  <si>
    <t>4151,252,1</t>
  </si>
  <si>
    <t>4384,253,1</t>
  </si>
  <si>
    <t>4152,252,1</t>
  </si>
  <si>
    <t>出乎我意料地，白起这次突然说他愿意继承王位。不过为了未来着想，他想在继位前收集古籍中记载的种种宝物，让强有力的神灵能成为他新的守护神。作为他现任守护神的我，就这么和白起一起踏上了旅途。
在妖精的国度，白起载我飞上世界树顶端收集传说中的晶簇。当白起用小些的水晶为我制作了手链时，爱凑热闹的妖精们纷纷跑来祝福我们……</t>
  </si>
  <si>
    <t>为了取得下一样宝物——矮人族打造出的纯金腰带，我们来到了矮人的国度。闹腾的集会中，与白起打赌拼酒的矮人输了比赛，却似乎被酒壮了胆，亲手为喜欢的姑娘打造武器，向姑娘求婚。
白起也被矮人们架到炉火旁，怂恿着亲手打一把武器。不知为何，我心中浮现出他把打造出的短杖送我的场景……</t>
  </si>
  <si>
    <t>旅途结束，宝物集齐。我和白起回到了我的小院子。看着眼前林林总总的宝物，想到白起之后会去寻找新的守护神，甚至会追求某位姑娘，让她成为自己的王后，我心里酸酸的。
站在院中的白起却没有离开，反而把我们收集到的宝物一件件放到了我的面前，对我说出他他此行真正的目的……</t>
  </si>
  <si>
    <t>蓝眼睛</t>
    <phoneticPr fontId="71" type="noConversion"/>
  </si>
  <si>
    <t>绿眼睛</t>
    <phoneticPr fontId="71" type="noConversion"/>
  </si>
  <si>
    <t>黄眼睛</t>
    <phoneticPr fontId="71" type="noConversion"/>
  </si>
  <si>
    <t>粘人精</t>
  </si>
  <si>
    <t>只要见到你，就想亲近你。</t>
  </si>
  <si>
    <t>小傲娇</t>
  </si>
  <si>
    <t>调皮鬼</t>
  </si>
  <si>
    <t>没头脑</t>
  </si>
  <si>
    <t>懒喵喵</t>
  </si>
  <si>
    <t>今天又是什么睡姿？</t>
  </si>
  <si>
    <t>爬架小国王</t>
  </si>
  <si>
    <t>好，这是属于你的地盘~这个家也是你的地盘~</t>
  </si>
  <si>
    <t>狩猎小能手</t>
  </si>
  <si>
    <t>你喜欢这个羽毛的，还是这个球球的？</t>
  </si>
  <si>
    <t>气呼呼</t>
  </si>
  <si>
    <t>完了……这次是不是哄不好了QAQ</t>
  </si>
  <si>
    <t>小小侦查员</t>
  </si>
  <si>
    <t>是看见了小飞虫，还是躲在哪里的小精灵？</t>
  </si>
  <si>
    <t>懒汪汪</t>
  </si>
  <si>
    <t>嘘，脚步轻一点哦。</t>
  </si>
  <si>
    <t>跳下来的时候，我会接住你的~</t>
  </si>
  <si>
    <t>狩猎小勇士</t>
  </si>
  <si>
    <t>今天的抓捕行动开始了！</t>
  </si>
  <si>
    <t>气哼哼</t>
  </si>
  <si>
    <t>就算再生气，我也会抱住你！</t>
  </si>
  <si>
    <t>小小警卫员</t>
  </si>
  <si>
    <t>有你守护，我很放心~</t>
  </si>
  <si>
    <t>弟弟</t>
    <phoneticPr fontId="71" type="noConversion"/>
  </si>
  <si>
    <t>妹妹</t>
    <phoneticPr fontId="71" type="noConversion"/>
  </si>
  <si>
    <t>2:绿眼睛</t>
    <phoneticPr fontId="71" type="noConversion"/>
  </si>
  <si>
    <t>3:蓝眼睛</t>
    <phoneticPr fontId="71" type="noConversion"/>
  </si>
  <si>
    <t>1:黄眼睛</t>
    <phoneticPr fontId="71" type="noConversion"/>
  </si>
  <si>
    <t>0,2021年8月签到奖励</t>
    <phoneticPr fontId="71" type="noConversion"/>
  </si>
  <si>
    <t>2021/8/1 5:00</t>
    <phoneticPr fontId="71" type="noConversion"/>
  </si>
  <si>
    <t>今年白起的生日有些特别，因为他还在边境城市出任务，为了不错过今年和他的生日约定，我决定去他出任务的城市，给他一个惊喜。</t>
    <phoneticPr fontId="71" type="noConversion"/>
  </si>
  <si>
    <t>我来到了特行队收队必经的路上，提前等待着他们，白起在看到我的时候有些不可置信，但随即脸上出现了柔软的笑容。</t>
  </si>
  <si>
    <t>我带着白起来到了城市公园，和他开启了一天的“惊喜之旅”，白起问我航空主题的公园是不是我所说的“惊喜”，我神秘摇头，告诉他不止于此。</t>
  </si>
  <si>
    <t>曾经优秀的飞机成为如今观赏的景点，或许只要飘落的银杏会记住那段向往的岁月，白起向我讲述了他初中时制作航空模型的经历，虽然云淡风轻，但我却感到深深的遗憾。</t>
  </si>
  <si>
    <t>回到民宿后，我将小飞机和徽章作为礼物同时送给了14岁和现在的白起，白起收下了礼物，并且告诉我，他永远不会放开我的手。</t>
  </si>
  <si>
    <t>2021/9/1 5:00</t>
    <phoneticPr fontId="71" type="noConversion"/>
  </si>
  <si>
    <t>0,2021年9月签到奖励</t>
    <phoneticPr fontId="71" type="noConversion"/>
  </si>
  <si>
    <t>初始属性偏差</t>
    <phoneticPr fontId="71" type="noConversion"/>
  </si>
  <si>
    <t>升级属性偏差</t>
    <phoneticPr fontId="71" type="noConversion"/>
  </si>
  <si>
    <t>主属性比</t>
    <phoneticPr fontId="71" type="noConversion"/>
  </si>
  <si>
    <t>411:1402:220:1872</t>
  </si>
  <si>
    <t>周棋洛群攻1</t>
    <phoneticPr fontId="71" type="noConversion"/>
  </si>
  <si>
    <t>白起单攻2</t>
    <phoneticPr fontId="71" type="noConversion"/>
  </si>
  <si>
    <t>许墨控场2</t>
    <phoneticPr fontId="71" type="noConversion"/>
  </si>
  <si>
    <t>李泽言单攻2</t>
    <phoneticPr fontId="71" type="noConversion"/>
  </si>
  <si>
    <t>李泽言·520R</t>
  </si>
  <si>
    <t>2021/5/20 5:00</t>
  </si>
  <si>
    <t>1347,253,1</t>
  </si>
  <si>
    <t>2021/4/14 5:00</t>
  </si>
  <si>
    <t>0,金灿琴音活动限定</t>
  </si>
  <si>
    <t>3354,253,1</t>
  </si>
  <si>
    <t>3136,252,1</t>
  </si>
  <si>
    <t>3355,253,1</t>
  </si>
  <si>
    <t>3356,253,1</t>
  </si>
  <si>
    <t>1337,253,1</t>
  </si>
  <si>
    <t>1338,253,1</t>
  </si>
  <si>
    <t>2336,253,1</t>
  </si>
  <si>
    <t>2337,253,1</t>
  </si>
  <si>
    <t>3347,253,1</t>
  </si>
  <si>
    <t>3348,253,1</t>
  </si>
  <si>
    <t>4350,253,1</t>
  </si>
  <si>
    <t>4351,253,1</t>
  </si>
  <si>
    <t>6188,253,1</t>
  </si>
  <si>
    <t>6189,253,1</t>
  </si>
  <si>
    <t>1333,253,1</t>
  </si>
  <si>
    <t>2332,253,1</t>
  </si>
  <si>
    <t>2333,253,1</t>
  </si>
  <si>
    <t>3343,253,1</t>
  </si>
  <si>
    <t>3344,253,1</t>
  </si>
  <si>
    <t>4346,253,1</t>
  </si>
  <si>
    <t>4347,253,1</t>
  </si>
  <si>
    <t>6184,253,1</t>
  </si>
  <si>
    <t>6185,253,1</t>
  </si>
  <si>
    <t>0,2021年3月签到奖励</t>
  </si>
  <si>
    <t>0,2021年2月签到奖励</t>
  </si>
  <si>
    <t>0,新岁寄语活动限定</t>
  </si>
  <si>
    <t>1315,253,1</t>
  </si>
  <si>
    <t>140377,251,1</t>
  </si>
  <si>
    <t>1131,252,1</t>
  </si>
  <si>
    <t>蓝橙绿</t>
    <phoneticPr fontId="71" type="noConversion"/>
  </si>
  <si>
    <t>粉绿橙</t>
    <phoneticPr fontId="71" type="noConversion"/>
  </si>
  <si>
    <t>绿粉蓝</t>
    <phoneticPr fontId="71" type="noConversion"/>
  </si>
  <si>
    <t>橙粉绿</t>
    <phoneticPr fontId="71" type="noConversion"/>
  </si>
  <si>
    <t>橙绿粉</t>
    <phoneticPr fontId="71" type="noConversion"/>
  </si>
  <si>
    <t>10454:5302:422:6041</t>
  </si>
  <si>
    <t>1846:652:192:1217</t>
  </si>
  <si>
    <t>9261:4150:2589:6217</t>
  </si>
  <si>
    <t>1783:592:305:1227</t>
  </si>
  <si>
    <t>7144:8796:422:5856</t>
  </si>
  <si>
    <t>1275:1759:192:681</t>
  </si>
  <si>
    <t>5531:9257:4152:3276</t>
  </si>
  <si>
    <t>1191:1783:592:341</t>
  </si>
  <si>
    <t>6683:9074:4613:1849</t>
  </si>
  <si>
    <t>1251:1774:616:267</t>
  </si>
  <si>
    <t>5531:6317:4791:5577</t>
  </si>
  <si>
    <t>664:1630:420:1193</t>
  </si>
  <si>
    <t>7419:7695:5252:1849</t>
  </si>
  <si>
    <t>1289:1702:649:267</t>
  </si>
  <si>
    <t>6683:4150:4616:6771</t>
  </si>
  <si>
    <t>1251:387:616:1653</t>
  </si>
  <si>
    <t>5531:5302:4611:6775</t>
  </si>
  <si>
    <t>1191:652:411:1654</t>
  </si>
  <si>
    <t>5531:7877:5532:3276</t>
  </si>
  <si>
    <t>1191:1711:664:341</t>
  </si>
  <si>
    <t>9258:8521:422:4016</t>
  </si>
  <si>
    <t>1783:1347:192:585</t>
  </si>
  <si>
    <t>10363:4150:2310:5393</t>
  </si>
  <si>
    <t>1841:592:291:1184</t>
  </si>
  <si>
    <t>SP卡变化道具</t>
    <phoneticPr fontId="71" type="noConversion"/>
  </si>
  <si>
    <t>119582:119583:119584</t>
    <phoneticPr fontId="71" type="noConversion"/>
  </si>
  <si>
    <t>10642:7875:1849:1849</t>
  </si>
  <si>
    <t>1872:1402:411:220</t>
  </si>
  <si>
    <t>蓝粉橙</t>
    <phoneticPr fontId="71" type="noConversion"/>
  </si>
  <si>
    <t>粉橙蓝</t>
    <phoneticPr fontId="71" type="noConversion"/>
  </si>
  <si>
    <t>粉橙绿</t>
    <phoneticPr fontId="71" type="noConversion"/>
  </si>
  <si>
    <t>7233:5121:422:9443</t>
  </si>
  <si>
    <t>1280:642:192:1793</t>
  </si>
  <si>
    <t>6040:3969:2589:9619</t>
  </si>
  <si>
    <t>1217:582:305:1802</t>
  </si>
  <si>
    <t>3923:8615:422:9258</t>
  </si>
  <si>
    <t>580:1352:192:1783</t>
  </si>
  <si>
    <t>2310:9076:4152:6678</t>
  </si>
  <si>
    <t>291:1774:592:1251</t>
  </si>
  <si>
    <t>3462:8893:4613:5251</t>
  </si>
  <si>
    <t>351:1764:616:1176</t>
  </si>
  <si>
    <t>2310:6136:4791:8979</t>
  </si>
  <si>
    <t>291:1222:625:1769</t>
  </si>
  <si>
    <t>4198:7514:5252:5251</t>
  </si>
  <si>
    <t>389:1692:1176:649</t>
  </si>
  <si>
    <t>3462:3969:4616:10173</t>
  </si>
  <si>
    <t>351:582:1143:1831</t>
  </si>
  <si>
    <t>2310:5121:4611:10177</t>
  </si>
  <si>
    <t>291:1169:616:1831</t>
  </si>
  <si>
    <t>2310:7696:5532:6678</t>
  </si>
  <si>
    <t>291:1702:664:1251</t>
  </si>
  <si>
    <t>6037:8340:422:7418</t>
  </si>
  <si>
    <t>690:1735:192:1289</t>
  </si>
  <si>
    <t>7142:3969:2310:8795</t>
  </si>
  <si>
    <t>1275:582:291:1759</t>
  </si>
  <si>
    <t>7421:7694:1849:5251</t>
  </si>
  <si>
    <t>1290:1702:267:649</t>
  </si>
  <si>
    <t>9443:7233:5121:422</t>
  </si>
  <si>
    <t>1793:1280:642:192</t>
  </si>
  <si>
    <t>9619:6040:3969:2589</t>
  </si>
  <si>
    <t>1802:1217:582:305</t>
  </si>
  <si>
    <t>9258:3923:8615:422</t>
  </si>
  <si>
    <t>1783:580:1352:192</t>
  </si>
  <si>
    <t>5251:4198:7514:5252</t>
  </si>
  <si>
    <t>1176:389:1692:649</t>
  </si>
  <si>
    <t>6678:2310:9076:4152</t>
  </si>
  <si>
    <t>1251:291:1774:592</t>
  </si>
  <si>
    <t>5251:3462:8893:4613</t>
  </si>
  <si>
    <t>1176:351:1764:616</t>
  </si>
  <si>
    <t>8979:2310:6136:4791</t>
  </si>
  <si>
    <t>1769:291:1222:625</t>
  </si>
  <si>
    <t>10173:3462:3969:4616</t>
  </si>
  <si>
    <t>1831:351:582:1143</t>
  </si>
  <si>
    <t>10177:2310:5121:4611</t>
  </si>
  <si>
    <t>1831:291:1169:616</t>
  </si>
  <si>
    <t>8795:7142:3969:2310</t>
  </si>
  <si>
    <t>1759:1275:582:291</t>
  </si>
  <si>
    <t>7418:6037:8340:422</t>
  </si>
  <si>
    <t>1289:690:1735:192</t>
  </si>
  <si>
    <t>6678:2310:7696:5532</t>
  </si>
  <si>
    <t>1251:291:1702:664</t>
  </si>
  <si>
    <t>422:5121:9443:7233</t>
  </si>
  <si>
    <t>192:642:1793:1280</t>
  </si>
  <si>
    <t>2589:3969:9619:6040</t>
  </si>
  <si>
    <t>305:582:1802:1217</t>
  </si>
  <si>
    <t>422:8615:9258:3923</t>
  </si>
  <si>
    <t>192:1352:1783:580</t>
  </si>
  <si>
    <t>4152:9076:6678:2310</t>
  </si>
  <si>
    <t>592:1774:1251:291</t>
  </si>
  <si>
    <t>4613:8893:5251:3462</t>
  </si>
  <si>
    <t>616:1764:1176:351</t>
  </si>
  <si>
    <t>4791:6136:8979:2310</t>
  </si>
  <si>
    <t>625:1222:1769:291</t>
  </si>
  <si>
    <t>4616:3969:10173:3462</t>
  </si>
  <si>
    <t>1143:582:1831:351</t>
  </si>
  <si>
    <t>4611:5121:10177:2310</t>
  </si>
  <si>
    <t>616:1169:1831:291</t>
  </si>
  <si>
    <t>422:7697:6678:7419</t>
  </si>
  <si>
    <t>192:1702:724:1289</t>
  </si>
  <si>
    <t>5252:7514:5251:4198</t>
  </si>
  <si>
    <t>1176:1692:649:389</t>
  </si>
  <si>
    <t>5532:7696:6678:2310</t>
  </si>
  <si>
    <t>664:1702:1251:291</t>
  </si>
  <si>
    <t>422:8340:7418:6037</t>
  </si>
  <si>
    <t>192:1735:1289:690</t>
  </si>
  <si>
    <t>1849:7694:5251:7421</t>
  </si>
  <si>
    <t>267:1702:649:1290</t>
  </si>
  <si>
    <t>422:6678:7417:7699</t>
  </si>
  <si>
    <t>192:724:1289:1702</t>
  </si>
  <si>
    <t>422:9443:7233:5121</t>
  </si>
  <si>
    <t>192:1793:1280:642</t>
  </si>
  <si>
    <t>2589:9619:6040:3969</t>
  </si>
  <si>
    <t>305:1802:1217:582</t>
  </si>
  <si>
    <t>422:9258:3923:8615</t>
  </si>
  <si>
    <t>192:1783:580:1352</t>
  </si>
  <si>
    <t>4613:5251:3462:8893</t>
  </si>
  <si>
    <t>616:1176:351:1764</t>
  </si>
  <si>
    <t>4150:6678:2310:9078</t>
  </si>
  <si>
    <t>592:1251:291:1774</t>
  </si>
  <si>
    <t>4791:8979:2310:6136</t>
  </si>
  <si>
    <t>625:1769:291:1222</t>
  </si>
  <si>
    <t>4616:10173:3462:3969</t>
  </si>
  <si>
    <t>1143:1831:351:582</t>
  </si>
  <si>
    <t>5252:5251:4198:7514</t>
  </si>
  <si>
    <t>1176:649:389:1692</t>
  </si>
  <si>
    <t>4611:10177:2310:5121</t>
  </si>
  <si>
    <t>616:1831:291:1169</t>
  </si>
  <si>
    <t>422:7418:6037:8340</t>
  </si>
  <si>
    <t>192:1289:690:1735</t>
  </si>
  <si>
    <t>5532:6678:2310:7696</t>
  </si>
  <si>
    <t>664:1251:291:1702</t>
  </si>
  <si>
    <t>2310:5393:10361:4152</t>
  </si>
  <si>
    <t>291:1184:1841:592</t>
  </si>
  <si>
    <t>2310:8158:10177:1574</t>
  </si>
  <si>
    <t>459:1384:1831:224</t>
  </si>
  <si>
    <t>4477:8334:8984:422</t>
  </si>
  <si>
    <t>609:1337:1769:192</t>
  </si>
  <si>
    <t>2310:7973:6867:5068</t>
  </si>
  <si>
    <t>291:1716:1261:640</t>
  </si>
  <si>
    <t>6501:3966:6406:5346</t>
  </si>
  <si>
    <t>1639:377:1236:654</t>
  </si>
  <si>
    <t>6038:5393:5254:5531</t>
  </si>
  <si>
    <t>1615:657:444:1191</t>
  </si>
  <si>
    <t>6679:7694:5254:2589</t>
  </si>
  <si>
    <t>1251:1702:649:305</t>
  </si>
  <si>
    <t>6504:8888:6406:422</t>
  </si>
  <si>
    <t>1242:1764:709:192</t>
  </si>
  <si>
    <t>7140:3966:7142:3967</t>
  </si>
  <si>
    <t>1275:377:1673:582</t>
  </si>
  <si>
    <t>6499:8892:5254:1574</t>
  </si>
  <si>
    <t>1241:1764:649:252</t>
  </si>
  <si>
    <t>2310:6133:8981:4793</t>
  </si>
  <si>
    <t>291:1222:1769:625</t>
  </si>
  <si>
    <t>7420:5393:5254:4149</t>
  </si>
  <si>
    <t>1687:1184:649:387</t>
  </si>
  <si>
    <t>2310:8795:7142:3969</t>
  </si>
  <si>
    <t>291:1759:1275:582</t>
  </si>
  <si>
    <t>3969:2589:6040:9619</t>
  </si>
  <si>
    <t>582:305:1217:1802</t>
  </si>
  <si>
    <t>5121:422:7233:9443</t>
  </si>
  <si>
    <t>642:192:1280:1793</t>
  </si>
  <si>
    <t>8615:422:3923:9258</t>
  </si>
  <si>
    <t>1352:192:580:1783</t>
  </si>
  <si>
    <t>8893:4613:3462:5251</t>
  </si>
  <si>
    <t>1764:616:351:1176</t>
  </si>
  <si>
    <t>6136:4791:2310:8979</t>
  </si>
  <si>
    <t>1222:625:291:1769</t>
  </si>
  <si>
    <t>8158:422:7236:6403</t>
  </si>
  <si>
    <t>1726:192:1280:709</t>
  </si>
  <si>
    <t>8340:422:6037:7418</t>
  </si>
  <si>
    <t>1735:192:690:1289</t>
  </si>
  <si>
    <t>李泽言·简约心意</t>
    <phoneticPr fontId="71" type="noConversion"/>
  </si>
  <si>
    <t>0,闲逸瞬间活动限定</t>
    <phoneticPr fontId="71" type="noConversion"/>
  </si>
  <si>
    <t>1377,253,1</t>
    <phoneticPr fontId="71" type="noConversion"/>
  </si>
  <si>
    <t>许墨·畅游心扉</t>
    <phoneticPr fontId="71" type="noConversion"/>
  </si>
  <si>
    <t>2381,253,1</t>
    <phoneticPr fontId="71" type="noConversion"/>
  </si>
  <si>
    <t>李泽言·捕捉</t>
    <phoneticPr fontId="71" type="noConversion"/>
  </si>
  <si>
    <t>1379,253,1</t>
    <phoneticPr fontId="71" type="noConversion"/>
  </si>
  <si>
    <t>许墨·细嗅</t>
    <phoneticPr fontId="71" type="noConversion"/>
  </si>
  <si>
    <t>2383,253,1</t>
    <phoneticPr fontId="71" type="noConversion"/>
  </si>
  <si>
    <t>1378,253,1</t>
    <phoneticPr fontId="71" type="noConversion"/>
  </si>
  <si>
    <t>简约优雅，刚好和你很衬。</t>
  </si>
  <si>
    <t>2382,253,1</t>
    <phoneticPr fontId="71" type="noConversion"/>
  </si>
  <si>
    <t>这片小小天地，有着我们专属的美好回忆。</t>
  </si>
  <si>
    <t>1380,253,1</t>
    <phoneticPr fontId="71" type="noConversion"/>
  </si>
  <si>
    <t>140439,251,1</t>
    <phoneticPr fontId="71" type="noConversion"/>
  </si>
  <si>
    <t>你所期待的时光，我当然会让它足够特别。</t>
  </si>
  <si>
    <t>2384,253,1</t>
    <phoneticPr fontId="71" type="noConversion"/>
  </si>
  <si>
    <t>140440,251,1</t>
    <phoneticPr fontId="71" type="noConversion"/>
  </si>
  <si>
    <t>只愿与你分享，沉淀在心底的那缕清香。</t>
    <phoneticPr fontId="71" type="noConversion"/>
  </si>
  <si>
    <t>记录之约</t>
    <phoneticPr fontId="71" type="noConversion"/>
  </si>
  <si>
    <t>茶园之约</t>
    <phoneticPr fontId="71" type="noConversion"/>
  </si>
  <si>
    <t>我提议和李泽言一人“承包”一半的约会时间，共同完成最想和对方做的一件事。我带李泽言来到猫先生展览馆，让他感受我童年最爱的卡通展。当黄昏来临，他最想做的事却是……</t>
    <phoneticPr fontId="71" type="noConversion"/>
  </si>
  <si>
    <t>在由我安排的六小时约会时间里，我带着李泽言来到“猫先生主题展”的大门口，得意地扬了扬入场票。</t>
    <phoneticPr fontId="71" type="noConversion"/>
  </si>
  <si>
    <t>我告诉李泽言这是我小时候最爱的卡通，猫先生也是喵星球最厉害的人。我本想抓拍李泽言，没想到他却好心情地帮我拍起了合照。</t>
    <phoneticPr fontId="71" type="noConversion"/>
  </si>
  <si>
    <t>来到展馆最里面的游戏馆，李泽言一本正经地打着小手枪，我忍不住玩心大起在他身后扮鬼脸，更在抓拍镜头出现时捏起他的脸冲镜头眯眯笑。</t>
    <phoneticPr fontId="71" type="noConversion"/>
  </si>
  <si>
    <t>吃了两份冰淇淋，又记录了不少“李泽言的另一面”，我满意极了，而接下来正好到了李泽言安排的时间。随着眼前景色的越来越熟悉，没想到李泽言要带我去的竟然是……</t>
    <phoneticPr fontId="71" type="noConversion"/>
  </si>
  <si>
    <t>几天前，我和许墨合作的一个节目送审，就在我焦虑地等待结果的期间，许墨提议和我去一趟附近的茶园……</t>
    <phoneticPr fontId="71" type="noConversion"/>
  </si>
  <si>
    <t>在我焦虑地等待节目送审结果的期间，我和许墨来到了一个位于郊外的茶园。本来对这趟“采茶之行”期待满满的我，却失望地发现天空中下起了下雨。</t>
    <phoneticPr fontId="71" type="noConversion"/>
  </si>
  <si>
    <t>在茶园主人的带领下，我们来到了山上的茶室。在聊天中，我得知了许墨带我来到茶园的真正用意……</t>
    <phoneticPr fontId="71" type="noConversion"/>
  </si>
  <si>
    <t>在茶室中，我和许墨静静地品着茶。和他一起共享这样悠闲惬意的时光，似乎让我心头的焦虑也渐渐消散了……</t>
    <phoneticPr fontId="71" type="noConversion"/>
  </si>
  <si>
    <t>天在不知不觉中放晴了，我和许墨前往茶园去采茶。无意间，我看到了一个立牌上的标语——所有你期待的美好，都会如期而至。被这句话触动的我，决定向许墨袒露心中一直被压下去的心情。</t>
    <phoneticPr fontId="71" type="noConversion"/>
  </si>
  <si>
    <t>D:\evol_release_birthday2021lx</t>
    <phoneticPr fontId="71" type="noConversion"/>
  </si>
  <si>
    <t>card_info_data</t>
    <phoneticPr fontId="71" type="noConversion"/>
  </si>
  <si>
    <t>card_id</t>
    <phoneticPr fontId="71" type="noConversion"/>
  </si>
  <si>
    <t>goods_info_data</t>
    <phoneticPr fontId="71" type="noConversion"/>
  </si>
  <si>
    <t>goods_id</t>
    <phoneticPr fontId="71" type="noConversion"/>
  </si>
  <si>
    <t>card_design_info_data</t>
    <phoneticPr fontId="71" type="noConversion"/>
  </si>
  <si>
    <t>card_advance_info_data</t>
    <phoneticPr fontId="71" type="noConversion"/>
  </si>
  <si>
    <t>card_id|card_rank</t>
    <phoneticPr fontId="71" type="noConversion"/>
  </si>
  <si>
    <t>card_evolution_info_data</t>
    <phoneticPr fontId="71" type="noConversion"/>
  </si>
  <si>
    <t>task_text_data</t>
    <phoneticPr fontId="71" type="noConversion"/>
  </si>
  <si>
    <t>id</t>
    <phoneticPr fontId="71" type="noConversion"/>
  </si>
  <si>
    <t>short_msg_info_data</t>
    <phoneticPr fontId="71" type="noConversion"/>
  </si>
  <si>
    <t>short_msg_id</t>
    <phoneticPr fontId="71" type="noConversion"/>
  </si>
  <si>
    <t>short_msg_text</t>
    <phoneticPr fontId="71" type="noConversion"/>
  </si>
  <si>
    <t>short_msg_option_info_data</t>
    <phoneticPr fontId="71" type="noConversion"/>
  </si>
  <si>
    <t>short_msg_id|msg_option_id</t>
    <phoneticPr fontId="71" type="noConversion"/>
  </si>
  <si>
    <t>phone_msg_info_data</t>
    <phoneticPr fontId="71" type="noConversion"/>
  </si>
  <si>
    <t>phone_msg_id</t>
    <phoneticPr fontId="71" type="noConversion"/>
  </si>
  <si>
    <t>phone_msg_option_info_data</t>
    <phoneticPr fontId="71" type="noConversion"/>
  </si>
  <si>
    <t>phone_msg_id|msg_option_id</t>
    <phoneticPr fontId="71" type="noConversion"/>
  </si>
  <si>
    <t>friend_msg_info_data</t>
    <phoneticPr fontId="71" type="noConversion"/>
  </si>
  <si>
    <t>friend_msg_id</t>
    <phoneticPr fontId="71" type="noConversion"/>
  </si>
  <si>
    <t>friend_msg_text</t>
    <phoneticPr fontId="71" type="noConversion"/>
  </si>
  <si>
    <t>friend_msg_text_id</t>
    <phoneticPr fontId="71" type="noConversion"/>
  </si>
  <si>
    <t>engagement_info_data</t>
    <phoneticPr fontId="71" type="noConversion"/>
  </si>
  <si>
    <t>engagement_id</t>
    <phoneticPr fontId="71" type="noConversion"/>
  </si>
  <si>
    <t>engagement_text</t>
    <phoneticPr fontId="71" type="noConversion"/>
  </si>
  <si>
    <t>text_id</t>
    <phoneticPr fontId="71" type="noConversion"/>
  </si>
  <si>
    <t>extrastory_info</t>
    <phoneticPr fontId="71" type="noConversion"/>
  </si>
  <si>
    <t>extrastory_id</t>
    <phoneticPr fontId="71" type="noConversion"/>
  </si>
  <si>
    <t>extrastory_text</t>
    <phoneticPr fontId="71" type="noConversion"/>
  </si>
  <si>
    <t>extra_story|id</t>
    <phoneticPr fontId="71" type="noConversion"/>
  </si>
  <si>
    <t>activity_story_list</t>
    <phoneticPr fontId="71" type="noConversion"/>
  </si>
  <si>
    <t>activity_extrastory</t>
    <phoneticPr fontId="71" type="noConversion"/>
  </si>
  <si>
    <t>card_sp_info</t>
    <phoneticPr fontId="71" type="noConversion"/>
  </si>
  <si>
    <t>card_evolution_sp_info</t>
    <phoneticPr fontId="71" type="noConversion"/>
  </si>
  <si>
    <t>card_id|card_evolution_type|card_evolution_level</t>
    <phoneticPr fontId="71" type="noConversion"/>
  </si>
  <si>
    <t>male_tape_info</t>
    <phoneticPr fontId="71" type="noConversion"/>
  </si>
  <si>
    <t>config_id</t>
    <phoneticPr fontId="71" type="noConversion"/>
  </si>
  <si>
    <t>male_tape_text</t>
    <phoneticPr fontId="71" type="noConversion"/>
  </si>
  <si>
    <t>male_tape_id|sub_id</t>
    <phoneticPr fontId="71" type="noConversion"/>
  </si>
  <si>
    <t>story_extra_info</t>
    <phoneticPr fontId="71" type="noConversion"/>
  </si>
  <si>
    <t>story_id</t>
    <phoneticPr fontId="71" type="noConversion"/>
  </si>
  <si>
    <t>card_evolution_er_info</t>
    <phoneticPr fontId="71" type="noConversion"/>
  </si>
  <si>
    <t>card_id|card_evolution_level</t>
    <phoneticPr fontId="71" type="noConversion"/>
  </si>
  <si>
    <t>card_combine</t>
    <phoneticPr fontId="71" type="noConversion"/>
  </si>
  <si>
    <t>newworld_card_info</t>
    <phoneticPr fontId="71" type="noConversion"/>
  </si>
  <si>
    <t>story</t>
    <phoneticPr fontId="71" type="noConversion"/>
  </si>
  <si>
    <t>stage|id</t>
    <phoneticPr fontId="71" type="noConversion"/>
  </si>
  <si>
    <t>download_data</t>
    <phoneticPr fontId="71" type="noConversion"/>
  </si>
  <si>
    <t>id|type</t>
    <phoneticPr fontId="71" type="noConversion"/>
  </si>
  <si>
    <t>许墨·醇香悠长</t>
    <phoneticPr fontId="71" type="noConversion"/>
  </si>
  <si>
    <t>有些存在，值得用更多的时光去等待。</t>
    <phoneticPr fontId="71" type="noConversion"/>
  </si>
  <si>
    <t>2386,253,1</t>
    <phoneticPr fontId="71" type="noConversion"/>
  </si>
  <si>
    <t>2385,253,1</t>
    <phoneticPr fontId="71" type="noConversion"/>
  </si>
  <si>
    <t>橙绿蓝</t>
    <phoneticPr fontId="71" type="noConversion"/>
  </si>
  <si>
    <t>橙蓝粉</t>
    <phoneticPr fontId="71" type="noConversion"/>
  </si>
  <si>
    <t>粉绿蓝</t>
    <phoneticPr fontId="71" type="noConversion"/>
  </si>
  <si>
    <t>蓝绿粉</t>
    <phoneticPr fontId="71" type="noConversion"/>
  </si>
  <si>
    <t>宠物扭蛋</t>
    <phoneticPr fontId="71" type="noConversion"/>
  </si>
  <si>
    <t>蛋id</t>
    <phoneticPr fontId="71" type="noConversion"/>
  </si>
  <si>
    <t>奖励id</t>
    <phoneticPr fontId="71" type="noConversion"/>
  </si>
  <si>
    <t>道具id</t>
    <phoneticPr fontId="71" type="noConversion"/>
  </si>
  <si>
    <t>道具类型</t>
    <phoneticPr fontId="71" type="noConversion"/>
  </si>
  <si>
    <t>道具数量</t>
    <phoneticPr fontId="71" type="noConversion"/>
  </si>
  <si>
    <t>道具权重</t>
    <phoneticPr fontId="71" type="noConversion"/>
  </si>
  <si>
    <t>奖励名</t>
    <phoneticPr fontId="71" type="noConversion"/>
  </si>
  <si>
    <t>黄柴柴</t>
    <phoneticPr fontId="71" type="noConversion"/>
  </si>
  <si>
    <t>异瞳</t>
    <phoneticPr fontId="71" type="noConversion"/>
  </si>
  <si>
    <t>小猴子刘海</t>
    <phoneticPr fontId="71" type="noConversion"/>
  </si>
  <si>
    <t>豆豆眉</t>
    <phoneticPr fontId="71" type="noConversion"/>
  </si>
  <si>
    <t>小V领</t>
    <phoneticPr fontId="71" type="noConversion"/>
  </si>
  <si>
    <t>大V领</t>
    <phoneticPr fontId="71" type="noConversion"/>
  </si>
  <si>
    <t>腿脚</t>
    <phoneticPr fontId="71" type="noConversion"/>
  </si>
  <si>
    <t>耳朵黄毛</t>
    <phoneticPr fontId="71" type="noConversion"/>
  </si>
  <si>
    <t>生气刘海</t>
    <phoneticPr fontId="71" type="noConversion"/>
  </si>
  <si>
    <t>身体</t>
    <phoneticPr fontId="71" type="noConversion"/>
  </si>
  <si>
    <t>眉毛</t>
    <phoneticPr fontId="71" type="noConversion"/>
  </si>
  <si>
    <t>脸</t>
    <phoneticPr fontId="71" type="noConversion"/>
  </si>
  <si>
    <t>耳朵</t>
    <phoneticPr fontId="71" type="noConversion"/>
  </si>
  <si>
    <t>刘海</t>
    <phoneticPr fontId="71" type="noConversion"/>
  </si>
  <si>
    <t>瓜皮刘海</t>
    <phoneticPr fontId="71" type="noConversion"/>
  </si>
  <si>
    <t>2:小V领</t>
    <phoneticPr fontId="71" type="noConversion"/>
  </si>
  <si>
    <t>2:小傲娇</t>
    <phoneticPr fontId="71" type="noConversion"/>
  </si>
  <si>
    <t>2:妹妹</t>
    <phoneticPr fontId="71" type="noConversion"/>
  </si>
  <si>
    <t>3:中筒袜</t>
    <phoneticPr fontId="71" type="noConversion"/>
  </si>
  <si>
    <t>3:大V领</t>
    <phoneticPr fontId="71" type="noConversion"/>
  </si>
  <si>
    <t>3:调皮鬼</t>
    <phoneticPr fontId="71" type="noConversion"/>
  </si>
  <si>
    <t>4:好多手套</t>
    <phoneticPr fontId="71" type="noConversion"/>
  </si>
  <si>
    <t>4:没头脑</t>
    <phoneticPr fontId="71" type="noConversion"/>
  </si>
  <si>
    <t>瞳色2</t>
    <phoneticPr fontId="71" type="noConversion"/>
  </si>
  <si>
    <t>1:狸花</t>
    <phoneticPr fontId="71" type="noConversion"/>
  </si>
  <si>
    <t>1:豆豆眉</t>
    <phoneticPr fontId="71" type="noConversion"/>
  </si>
  <si>
    <t>2:小猴子刘海</t>
    <phoneticPr fontId="71" type="noConversion"/>
  </si>
  <si>
    <t>3:黑柴柴</t>
    <phoneticPr fontId="71" type="noConversion"/>
  </si>
  <si>
    <t>3:大橘</t>
    <phoneticPr fontId="71" type="noConversion"/>
  </si>
  <si>
    <t>物种</t>
    <phoneticPr fontId="71" type="noConversion"/>
  </si>
  <si>
    <t>品种1</t>
    <phoneticPr fontId="71" type="noConversion"/>
  </si>
  <si>
    <t>品种2</t>
    <phoneticPr fontId="71" type="noConversion"/>
  </si>
  <si>
    <t>毛色1</t>
    <phoneticPr fontId="71" type="noConversion"/>
  </si>
  <si>
    <t>毛色2</t>
    <phoneticPr fontId="71" type="noConversion"/>
  </si>
  <si>
    <t>瞳色1</t>
    <phoneticPr fontId="71" type="noConversion"/>
  </si>
  <si>
    <t>腿脚1</t>
    <phoneticPr fontId="71" type="noConversion"/>
  </si>
  <si>
    <t>腿脚2</t>
    <phoneticPr fontId="71" type="noConversion"/>
  </si>
  <si>
    <t>尾巴1</t>
    <phoneticPr fontId="71" type="noConversion"/>
  </si>
  <si>
    <t>尾巴2</t>
    <phoneticPr fontId="71" type="noConversion"/>
  </si>
  <si>
    <t>痣1</t>
    <phoneticPr fontId="71" type="noConversion"/>
  </si>
  <si>
    <t>痣2</t>
    <phoneticPr fontId="71" type="noConversion"/>
  </si>
  <si>
    <t>嘴巴腮1</t>
    <phoneticPr fontId="71" type="noConversion"/>
  </si>
  <si>
    <t>嘴巴腮2</t>
    <phoneticPr fontId="71" type="noConversion"/>
  </si>
  <si>
    <t>刘海1</t>
    <phoneticPr fontId="71" type="noConversion"/>
  </si>
  <si>
    <t>刘海2</t>
    <phoneticPr fontId="71" type="noConversion"/>
  </si>
  <si>
    <t>耳朵1</t>
    <phoneticPr fontId="71" type="noConversion"/>
  </si>
  <si>
    <t>耳朵2</t>
    <phoneticPr fontId="71" type="noConversion"/>
  </si>
  <si>
    <t>眉毛1</t>
    <phoneticPr fontId="71" type="noConversion"/>
  </si>
  <si>
    <t>眉毛2</t>
    <phoneticPr fontId="71" type="noConversion"/>
  </si>
  <si>
    <t>脸1</t>
    <phoneticPr fontId="71" type="noConversion"/>
  </si>
  <si>
    <t>脸2</t>
    <phoneticPr fontId="71" type="noConversion"/>
  </si>
  <si>
    <t>身体1</t>
    <phoneticPr fontId="71" type="noConversion"/>
  </si>
  <si>
    <t>身体2</t>
    <phoneticPr fontId="71" type="noConversion"/>
  </si>
  <si>
    <t>性格1</t>
    <phoneticPr fontId="71" type="noConversion"/>
  </si>
  <si>
    <t>性格2</t>
    <phoneticPr fontId="71" type="noConversion"/>
  </si>
  <si>
    <t>性别1</t>
    <phoneticPr fontId="71" type="noConversion"/>
  </si>
  <si>
    <t>性别2</t>
    <phoneticPr fontId="71" type="noConversion"/>
  </si>
  <si>
    <t>1:田园</t>
    <phoneticPr fontId="71" type="noConversion"/>
  </si>
  <si>
    <t>1:柴犬</t>
    <phoneticPr fontId="71" type="noConversion"/>
  </si>
  <si>
    <t>1:黄柴柴</t>
    <phoneticPr fontId="71" type="noConversion"/>
  </si>
  <si>
    <t>1:媒婆痣</t>
    <phoneticPr fontId="71" type="noConversion"/>
  </si>
  <si>
    <t>1:嘴巴腮红</t>
    <phoneticPr fontId="71" type="noConversion"/>
  </si>
  <si>
    <t>1:生气刘海</t>
    <phoneticPr fontId="71" type="noConversion"/>
  </si>
  <si>
    <t>1:全白胸花</t>
    <phoneticPr fontId="71" type="noConversion"/>
  </si>
  <si>
    <t>1:粘人精</t>
    <phoneticPr fontId="71" type="noConversion"/>
  </si>
  <si>
    <t>1:弟弟</t>
    <phoneticPr fontId="71" type="noConversion"/>
  </si>
  <si>
    <t>10101|10102</t>
    <phoneticPr fontId="71" type="noConversion"/>
  </si>
  <si>
    <t>2:田园</t>
    <phoneticPr fontId="71" type="noConversion"/>
  </si>
  <si>
    <t>2:奶牛</t>
    <phoneticPr fontId="71" type="noConversion"/>
  </si>
  <si>
    <t>2:白柴柴</t>
    <phoneticPr fontId="71" type="noConversion"/>
  </si>
  <si>
    <t>2:半指手套</t>
    <phoneticPr fontId="71" type="noConversion"/>
  </si>
  <si>
    <t>2:瓜皮刘海</t>
    <phoneticPr fontId="71" type="noConversion"/>
  </si>
  <si>
    <t>41001|41002</t>
    <phoneticPr fontId="71" type="noConversion"/>
  </si>
  <si>
    <t>10101|10103</t>
    <phoneticPr fontId="71" type="noConversion"/>
  </si>
  <si>
    <t>10102|10103</t>
    <phoneticPr fontId="71" type="noConversion"/>
  </si>
  <si>
    <t>41001|41003</t>
    <phoneticPr fontId="71" type="noConversion"/>
  </si>
  <si>
    <t>41002|41003</t>
    <phoneticPr fontId="71" type="noConversion"/>
  </si>
  <si>
    <t>51001|51002</t>
    <phoneticPr fontId="71" type="noConversion"/>
  </si>
  <si>
    <t>51001|51003</t>
    <phoneticPr fontId="71" type="noConversion"/>
  </si>
  <si>
    <t>20101|20102</t>
    <phoneticPr fontId="71" type="noConversion"/>
  </si>
  <si>
    <t>51002|51003</t>
    <phoneticPr fontId="71" type="noConversion"/>
  </si>
  <si>
    <t>20101|20103</t>
    <phoneticPr fontId="71" type="noConversion"/>
  </si>
  <si>
    <t>51001|51004</t>
    <phoneticPr fontId="71" type="noConversion"/>
  </si>
  <si>
    <t>20102|20103</t>
    <phoneticPr fontId="71" type="noConversion"/>
  </si>
  <si>
    <t>51002|51004</t>
    <phoneticPr fontId="71" type="noConversion"/>
  </si>
  <si>
    <t>51003|51004</t>
    <phoneticPr fontId="71" type="noConversion"/>
  </si>
  <si>
    <t>51001|51005</t>
    <phoneticPr fontId="71" type="noConversion"/>
  </si>
  <si>
    <t>51002|51005</t>
    <phoneticPr fontId="71" type="noConversion"/>
  </si>
  <si>
    <t>51003|51005</t>
    <phoneticPr fontId="71" type="noConversion"/>
  </si>
  <si>
    <t>51004|51005</t>
    <phoneticPr fontId="71" type="noConversion"/>
  </si>
  <si>
    <t>20201|20202</t>
    <phoneticPr fontId="71" type="noConversion"/>
  </si>
  <si>
    <t>55001|55002</t>
    <phoneticPr fontId="71" type="noConversion"/>
  </si>
  <si>
    <t>20201|20203</t>
    <phoneticPr fontId="71" type="noConversion"/>
  </si>
  <si>
    <t>20202|20203</t>
    <phoneticPr fontId="71" type="noConversion"/>
  </si>
  <si>
    <t>58001|58002</t>
    <phoneticPr fontId="71" type="noConversion"/>
  </si>
  <si>
    <t>59001|59002</t>
    <phoneticPr fontId="71" type="noConversion"/>
  </si>
  <si>
    <t>59001|59003</t>
    <phoneticPr fontId="71" type="noConversion"/>
  </si>
  <si>
    <t>59002|59003</t>
    <phoneticPr fontId="71" type="noConversion"/>
  </si>
  <si>
    <t>59001|59004</t>
    <phoneticPr fontId="71" type="noConversion"/>
  </si>
  <si>
    <t>59002|59004</t>
    <phoneticPr fontId="71" type="noConversion"/>
  </si>
  <si>
    <t>59003|59004</t>
    <phoneticPr fontId="71" type="noConversion"/>
  </si>
  <si>
    <t>品种</t>
    <phoneticPr fontId="71" type="noConversion"/>
  </si>
  <si>
    <t>毛色</t>
    <phoneticPr fontId="71" type="noConversion"/>
  </si>
  <si>
    <t>尾巴</t>
    <phoneticPr fontId="71" type="noConversion"/>
  </si>
  <si>
    <t>痣</t>
    <phoneticPr fontId="71" type="noConversion"/>
  </si>
  <si>
    <t>嘴巴腮</t>
    <phoneticPr fontId="71" type="noConversion"/>
  </si>
  <si>
    <t>眼线</t>
    <phoneticPr fontId="71" type="noConversion"/>
  </si>
  <si>
    <t>左瞳孔</t>
    <phoneticPr fontId="71" type="noConversion"/>
  </si>
  <si>
    <t>右瞳孔</t>
    <phoneticPr fontId="71" type="noConversion"/>
  </si>
  <si>
    <t>左虹膜</t>
    <phoneticPr fontId="71" type="noConversion"/>
  </si>
  <si>
    <t>右虹膜</t>
    <phoneticPr fontId="71" type="noConversion"/>
  </si>
  <si>
    <t>uid</t>
    <phoneticPr fontId="71" type="noConversion"/>
  </si>
  <si>
    <t>model_uid</t>
    <phoneticPr fontId="71" type="noConversion"/>
  </si>
  <si>
    <t>eye</t>
    <phoneticPr fontId="71" type="noConversion"/>
  </si>
  <si>
    <t>decal_res</t>
    <phoneticPr fontId="71" type="noConversion"/>
  </si>
  <si>
    <t>tag_id</t>
    <phoneticPr fontId="71" type="noConversion"/>
  </si>
  <si>
    <t>1|1|1|1|1</t>
    <phoneticPr fontId="71" type="noConversion"/>
  </si>
  <si>
    <t>1|1|0|0|0|0|0|0|0</t>
    <phoneticPr fontId="71" type="noConversion"/>
  </si>
  <si>
    <t>1|2|1|1|1</t>
    <phoneticPr fontId="71" type="noConversion"/>
  </si>
  <si>
    <t>2|1|0|0|0|0|0|0|0</t>
    <phoneticPr fontId="71" type="noConversion"/>
  </si>
  <si>
    <t>4|1|0|0|0|0|0|0|0</t>
    <phoneticPr fontId="71" type="noConversion"/>
  </si>
  <si>
    <t>3|1|0|0|0|0|0|0|0</t>
    <phoneticPr fontId="71" type="noConversion"/>
  </si>
  <si>
    <t>1|2|2|2|2</t>
    <phoneticPr fontId="71" type="noConversion"/>
  </si>
  <si>
    <t>3:黄眼睛</t>
    <phoneticPr fontId="71" type="noConversion"/>
  </si>
  <si>
    <t>1|2|2|3|3</t>
    <phoneticPr fontId="71" type="noConversion"/>
  </si>
  <si>
    <t>1|1|1|2|2</t>
    <phoneticPr fontId="71" type="noConversion"/>
  </si>
  <si>
    <t>1|1|1|3|3</t>
    <phoneticPr fontId="71" type="noConversion"/>
  </si>
  <si>
    <t>1|1|1|3|1</t>
    <phoneticPr fontId="71" type="noConversion"/>
  </si>
  <si>
    <t>1|1|1|0|0|0|0|0|0</t>
    <phoneticPr fontId="71" type="noConversion"/>
  </si>
  <si>
    <t>1|1|1|1|2</t>
    <phoneticPr fontId="71" type="noConversion"/>
  </si>
  <si>
    <t>1|1|1|2|1</t>
    <phoneticPr fontId="71" type="noConversion"/>
  </si>
  <si>
    <t>1|1|1|2|3</t>
    <phoneticPr fontId="71" type="noConversion"/>
  </si>
  <si>
    <t>1|1|0|1|0|0|0|0|0</t>
    <phoneticPr fontId="71" type="noConversion"/>
  </si>
  <si>
    <t>1|101|10101|41001|51001|52001</t>
    <phoneticPr fontId="71" type="noConversion"/>
  </si>
  <si>
    <t>1|101|10101|41001|51002|52001</t>
    <phoneticPr fontId="71" type="noConversion"/>
  </si>
  <si>
    <t>1|101|10101|41001|51003|52002</t>
    <phoneticPr fontId="71" type="noConversion"/>
  </si>
  <si>
    <t>1|101|10101|41001|51004|52001</t>
    <phoneticPr fontId="71" type="noConversion"/>
  </si>
  <si>
    <t>1|101|10101|41001|51003|52001</t>
    <phoneticPr fontId="71" type="noConversion"/>
  </si>
  <si>
    <t>1|101|10101|41002|51001|52001</t>
    <phoneticPr fontId="71" type="noConversion"/>
  </si>
  <si>
    <t>1|101|10101|41002|51002|52001</t>
    <phoneticPr fontId="71" type="noConversion"/>
  </si>
  <si>
    <t>1|101|10101|41002|51003|52001</t>
    <phoneticPr fontId="71" type="noConversion"/>
  </si>
  <si>
    <t>1|101|10101|41002|51004|52001</t>
    <phoneticPr fontId="71" type="noConversion"/>
  </si>
  <si>
    <t>1|101|10101|41003|51001|52001</t>
    <phoneticPr fontId="71" type="noConversion"/>
  </si>
  <si>
    <t>1|101|10101|41003|51002|52001</t>
    <phoneticPr fontId="71" type="noConversion"/>
  </si>
  <si>
    <t>1|101|10101|41003|51003|52001</t>
    <phoneticPr fontId="71" type="noConversion"/>
  </si>
  <si>
    <t>1|101|10101|41003|51004|52001</t>
    <phoneticPr fontId="71" type="noConversion"/>
  </si>
  <si>
    <t>1|101|10101|40001|51001|52001</t>
    <phoneticPr fontId="71" type="noConversion"/>
  </si>
  <si>
    <t>1|101|10101|40001|51002|52001</t>
    <phoneticPr fontId="71" type="noConversion"/>
  </si>
  <si>
    <t>1|101|10101|40001|51003|52001</t>
    <phoneticPr fontId="71" type="noConversion"/>
  </si>
  <si>
    <t>1|101|10101|40001|51004|52001</t>
    <phoneticPr fontId="71" type="noConversion"/>
  </si>
  <si>
    <t>1|101|10102|41001|51001|52001|53001</t>
    <phoneticPr fontId="71" type="noConversion"/>
  </si>
  <si>
    <t>1|101|10102|41001|51001|52001</t>
    <phoneticPr fontId="71" type="noConversion"/>
  </si>
  <si>
    <t>1|101|10102|41002|51001|52001|53001</t>
    <phoneticPr fontId="71" type="noConversion"/>
  </si>
  <si>
    <t>1|101|10102|41002|51001|52001</t>
    <phoneticPr fontId="71" type="noConversion"/>
  </si>
  <si>
    <t>1|101|10102|41003|51001|52001|53001</t>
    <phoneticPr fontId="71" type="noConversion"/>
  </si>
  <si>
    <t>1|101|10102|41003|51001|52001</t>
    <phoneticPr fontId="71" type="noConversion"/>
  </si>
  <si>
    <t>1|101|10102|40001|51001|52001|53001</t>
    <phoneticPr fontId="71" type="noConversion"/>
  </si>
  <si>
    <t>1|101|10102|40001|51001|52001</t>
    <phoneticPr fontId="71" type="noConversion"/>
  </si>
  <si>
    <t>1|101|10103|41001|51001|52001|54001</t>
    <phoneticPr fontId="71" type="noConversion"/>
  </si>
  <si>
    <t>1|101|10103|41001|51001|52001</t>
    <phoneticPr fontId="71" type="noConversion"/>
  </si>
  <si>
    <t>fda884</t>
    <phoneticPr fontId="71" type="noConversion"/>
  </si>
  <si>
    <t>f6b575</t>
    <phoneticPr fontId="71" type="noConversion"/>
  </si>
  <si>
    <t>b0c597</t>
    <phoneticPr fontId="71" type="noConversion"/>
  </si>
  <si>
    <t>93b4e0</t>
    <phoneticPr fontId="71" type="noConversion"/>
  </si>
  <si>
    <t>83bab5</t>
    <phoneticPr fontId="71" type="noConversion"/>
  </si>
  <si>
    <t>fc9086</t>
    <phoneticPr fontId="71" type="noConversion"/>
  </si>
  <si>
    <t>b0a6bd</t>
    <phoneticPr fontId="71" type="noConversion"/>
  </si>
  <si>
    <t>fc93b8</t>
    <phoneticPr fontId="71" type="noConversion"/>
  </si>
  <si>
    <t>d29cda</t>
    <phoneticPr fontId="71" type="noConversion"/>
  </si>
  <si>
    <t>ffffff</t>
    <phoneticPr fontId="71" type="noConversion"/>
  </si>
  <si>
    <t>f1d18b</t>
    <phoneticPr fontId="71" type="noConversion"/>
  </si>
  <si>
    <t>宠物资源映射</t>
    <phoneticPr fontId="71" type="noConversion"/>
  </si>
  <si>
    <t>配置id</t>
    <phoneticPr fontId="71" type="noConversion"/>
  </si>
  <si>
    <t>宠物类型</t>
    <phoneticPr fontId="71" type="noConversion"/>
  </si>
  <si>
    <t>资源类型</t>
    <phoneticPr fontId="71" type="noConversion"/>
  </si>
  <si>
    <t>标签组</t>
    <phoneticPr fontId="71" type="noConversion"/>
  </si>
  <si>
    <t>标签</t>
    <phoneticPr fontId="71" type="noConversion"/>
  </si>
  <si>
    <t>雨箫</t>
    <phoneticPr fontId="71" type="noConversion"/>
  </si>
  <si>
    <t>写在歌词里的暗号，只有你能懂。</t>
  </si>
  <si>
    <r>
      <t>从我被</t>
    </r>
    <r>
      <rPr>
        <sz val="10.5"/>
        <color theme="1"/>
        <rFont val="Calibri"/>
        <family val="2"/>
      </rPr>
      <t>Helios</t>
    </r>
    <r>
      <rPr>
        <sz val="10.5"/>
        <color theme="1"/>
        <rFont val="宋体"/>
        <family val="3"/>
        <charset val="134"/>
      </rPr>
      <t>买下来到如今，我从未想过自己的人生会与他偏离。在经历过一次绑架之后，我发现他的态度突然有了转变，然后问我是不是想离开……</t>
    </r>
  </si>
  <si>
    <r>
      <t>我梦见自己和</t>
    </r>
    <r>
      <rPr>
        <sz val="10.5"/>
        <color theme="1"/>
        <rFont val="Calibri"/>
        <family val="2"/>
      </rPr>
      <t>Helios</t>
    </r>
    <r>
      <rPr>
        <sz val="10.5"/>
        <color theme="1"/>
        <rFont val="宋体"/>
        <family val="3"/>
        <charset val="134"/>
      </rPr>
      <t>第一次见面时的情景，他捡起了我珍贵的相片，开始了我们接下来的故事。醒来后，</t>
    </r>
    <r>
      <rPr>
        <sz val="10.5"/>
        <color theme="1"/>
        <rFont val="Calibri"/>
        <family val="2"/>
      </rPr>
      <t>Helios</t>
    </r>
    <r>
      <rPr>
        <sz val="10.5"/>
        <color theme="1"/>
        <rFont val="宋体"/>
        <family val="3"/>
        <charset val="134"/>
      </rPr>
      <t>一直在守着我，还为我准备了食物。没想到此时他却突然问我，想不想离开他……</t>
    </r>
  </si>
  <si>
    <t>关于他的问题，我思索了很久。深夜我拿着包袱去房间里找他，并提出了想跟他学习一些防身术……</t>
  </si>
  <si>
    <r>
      <t>七月初七到来了，酒楼里来了一些洋人，说是有一笔大买卖要和</t>
    </r>
    <r>
      <rPr>
        <sz val="10.5"/>
        <color theme="1"/>
        <rFont val="Calibri"/>
        <family val="2"/>
      </rPr>
      <t>Helios</t>
    </r>
    <r>
      <rPr>
        <sz val="10.5"/>
        <color theme="1"/>
        <rFont val="宋体"/>
        <family val="3"/>
        <charset val="134"/>
      </rPr>
      <t>商谈。事情顺利地解决后，</t>
    </r>
    <r>
      <rPr>
        <sz val="10.5"/>
        <color theme="1"/>
        <rFont val="Calibri"/>
        <family val="2"/>
      </rPr>
      <t>Helios</t>
    </r>
    <r>
      <rPr>
        <sz val="10.5"/>
        <color theme="1"/>
        <rFont val="宋体"/>
        <family val="3"/>
        <charset val="134"/>
      </rPr>
      <t>终于和我解释了一切，他始终独自背负着一个巨大的秘密，最后他拉着我老庙走去，并让我用他真正的名字求姻缘。</t>
    </r>
  </si>
  <si>
    <t>周棋洛·暗香</t>
    <phoneticPr fontId="71" type="noConversion"/>
  </si>
  <si>
    <t>你注定要与我纠缠不休。</t>
  </si>
  <si>
    <t>顾盼之约</t>
  </si>
  <si>
    <t>0,流金岁月活动限定</t>
  </si>
  <si>
    <t>0,流金岁月活动限定</t>
    <phoneticPr fontId="71" type="noConversion"/>
  </si>
  <si>
    <t>李泽言·疏影</t>
    <phoneticPr fontId="71" type="noConversion"/>
  </si>
  <si>
    <t>软红万丈，我只想与一人朝暮为守。</t>
  </si>
  <si>
    <t>灼目之约</t>
  </si>
  <si>
    <t>晚上我借着去金宝阁唱堂会的机会，成功偷回了自己之前被抢走的家传宝石，但却面临着被发现的危机，是李泽言出手帮了我。</t>
  </si>
  <si>
    <t>李泽言说要捧我成角，他只是为了帮我逃离金宝阁吗？知道了李泽言在准备拔起金宝阁黑色交易的计划后，怀揣着藏在心中的感情，我告诉李泽言愿意帮他一臂之力，但李泽言却似乎并不愿我牵扯进这场风波。</t>
  </si>
  <si>
    <t>计划当天，我被当成人质请去了金宝阁。李泽言说他一定保我平安，但计划进行中的时候，他却遇到了危险，千钧一发之际，我在台上毅然摔碎了家传的宝石，为他赢得了反击的机会。</t>
  </si>
  <si>
    <t>许墨·隐戏</t>
    <phoneticPr fontId="71" type="noConversion"/>
  </si>
  <si>
    <t>我们有一个心照不宣的秘密，不是么？</t>
  </si>
  <si>
    <t>我受组织的命令，伪装成许先生的相亲对象，和他一同登上了前往外地的火车，没想到在即将抵达终点站时，一场惊心动魄的大戏正在等着我们……</t>
  </si>
  <si>
    <t>我受到组织的命令，伪装成许墨先生的相亲对象接近他，在他邀请我乘火车前往外地时，我的上级突然给我下达了一个新的命令……</t>
  </si>
  <si>
    <t>许先生是一个危险人物，这件事我很早就知道了，而当他在我面前说出要铲除我所在组织里的核心成员“雪狐”时，我的心还是会忍不住战栗——这样的人物，真的是我可以靠近的吗？</t>
  </si>
  <si>
    <t>三天的相处下来，我对许先生一无所获，许先生却抓住了我的破绽，并邀请我参加火车上的七夕晚宴，为了不暴露组织，也为了“雪狐”，我终于下定了决心……</t>
  </si>
  <si>
    <t>七夕的晚宴上，伴随着爆炸的硝烟和阴谋的溃败，我和许先生用一场戏引出了真正的叛徒，尽管坏人伏罪，我们也知道黑暗中还有更多的邪恶正在觊觎着不灭的星火，这一次，有了许墨在身边陪伴，我再也不会畏惧。</t>
  </si>
  <si>
    <t>白起·留音</t>
    <phoneticPr fontId="71" type="noConversion"/>
  </si>
  <si>
    <t>凌肖·轻狂</t>
    <phoneticPr fontId="71" type="noConversion"/>
  </si>
  <si>
    <t>无间之约</t>
  </si>
  <si>
    <t>自由之约</t>
  </si>
  <si>
    <t>周棋洛·默契暗号</t>
    <phoneticPr fontId="71" type="noConversion"/>
  </si>
  <si>
    <r>
      <t>我的传家宝凤簪被人撬走了宝石，找人修的时候偶遇了荣昌商行的少爷李泽言，他明明身份不凡，却经营着一间神秘的小铺子，随着我们越来越熟悉，彼此隐藏的秘密逐渐袒露了出来</t>
    </r>
    <r>
      <rPr>
        <sz val="10.5"/>
        <color theme="1"/>
        <rFont val="等线"/>
        <family val="3"/>
        <charset val="134"/>
      </rPr>
      <t>……</t>
    </r>
    <phoneticPr fontId="71" type="noConversion"/>
  </si>
  <si>
    <t>我来到了李泽言的铺子，询问凤簪的修复进度，他是我一个月前认识的珠宝修复师，同时也是荣昌商行的少爷，李泽言说凤簪上还缺一颗宝石，我告诉他明天就会将宝石带来。</t>
    <phoneticPr fontId="71" type="noConversion"/>
  </si>
  <si>
    <r>
      <t>我从茅草屋里醒来的时候发现自己被绑架了。本想靠自己的努力逃生，没想到</t>
    </r>
    <r>
      <rPr>
        <sz val="10.5"/>
        <color theme="1"/>
        <rFont val="Calibri"/>
        <family val="2"/>
      </rPr>
      <t>Helios</t>
    </r>
    <r>
      <rPr>
        <sz val="10.5"/>
        <color theme="1"/>
        <rFont val="宋体"/>
        <family val="3"/>
        <charset val="134"/>
      </rPr>
      <t>竟然来救我了……！</t>
    </r>
    <phoneticPr fontId="71" type="noConversion"/>
  </si>
  <si>
    <t>3391,253,1</t>
    <phoneticPr fontId="71" type="noConversion"/>
  </si>
  <si>
    <t>3392,253,1</t>
    <phoneticPr fontId="71" type="noConversion"/>
  </si>
  <si>
    <t>5:没有手套</t>
    <phoneticPr fontId="71" type="noConversion"/>
  </si>
  <si>
    <t>6:前爪手套</t>
    <phoneticPr fontId="71" type="noConversion"/>
  </si>
  <si>
    <t>7:内八花纹</t>
    <phoneticPr fontId="71" type="noConversion"/>
  </si>
  <si>
    <t>3:黄色尾巴</t>
    <phoneticPr fontId="71" type="noConversion"/>
  </si>
  <si>
    <t>1:黄耳朵</t>
    <phoneticPr fontId="71" type="noConversion"/>
  </si>
  <si>
    <t>1:经典刘海</t>
    <phoneticPr fontId="71" type="noConversion"/>
  </si>
  <si>
    <t>4:褐眼睛</t>
    <phoneticPr fontId="71" type="noConversion"/>
  </si>
  <si>
    <t>1|1|0|0|0|1|1|1|1</t>
    <phoneticPr fontId="71" type="noConversion"/>
  </si>
  <si>
    <t>5:黑眼睛</t>
    <phoneticPr fontId="71" type="noConversion"/>
  </si>
  <si>
    <t>9:手臂全白</t>
    <phoneticPr fontId="71" type="noConversion"/>
  </si>
  <si>
    <t>3|1|0|0|0|1|1|1|1</t>
    <phoneticPr fontId="71" type="noConversion"/>
  </si>
  <si>
    <t>3|1|0|0|0|1|0|2|2</t>
    <phoneticPr fontId="71" type="noConversion"/>
  </si>
  <si>
    <t>10:小白手套</t>
    <phoneticPr fontId="71" type="noConversion"/>
  </si>
  <si>
    <t>4|1|0|0|0|1|1|1|3</t>
    <phoneticPr fontId="71" type="noConversion"/>
  </si>
  <si>
    <t>4:白色尾巴</t>
    <phoneticPr fontId="71" type="noConversion"/>
  </si>
  <si>
    <t>2:白耳朵</t>
    <phoneticPr fontId="71" type="noConversion"/>
  </si>
  <si>
    <t>5:黑尾巴</t>
    <phoneticPr fontId="71" type="noConversion"/>
  </si>
  <si>
    <t>3:黑耳朵</t>
    <phoneticPr fontId="71" type="noConversion"/>
  </si>
  <si>
    <t>1|1|0|0|0|1|1|1|2</t>
    <phoneticPr fontId="71" type="noConversion"/>
  </si>
  <si>
    <t>4:双V领</t>
    <phoneticPr fontId="71" type="noConversion"/>
  </si>
  <si>
    <t>1|1|0|0|0|1|1|1|3</t>
    <phoneticPr fontId="71" type="noConversion"/>
  </si>
  <si>
    <t>11:黄毛手套</t>
    <phoneticPr fontId="71" type="noConversion"/>
  </si>
  <si>
    <t>6:黄毛黑尾巴</t>
    <phoneticPr fontId="71" type="noConversion"/>
  </si>
  <si>
    <t>4:耳朵黄毛</t>
    <phoneticPr fontId="71" type="noConversion"/>
  </si>
  <si>
    <t>3|2|0|0|0|2|1|1|1</t>
    <phoneticPr fontId="71" type="noConversion"/>
  </si>
  <si>
    <t>3|2|0|0|0|2|1|1|2</t>
    <phoneticPr fontId="71" type="noConversion"/>
  </si>
  <si>
    <t>3|2|0|0|0|2|1|1|3</t>
    <phoneticPr fontId="71" type="noConversion"/>
  </si>
  <si>
    <t>褐眼睛</t>
    <phoneticPr fontId="71" type="noConversion"/>
  </si>
  <si>
    <t>黑眼睛</t>
    <phoneticPr fontId="71" type="noConversion"/>
  </si>
  <si>
    <t>没有手套</t>
    <phoneticPr fontId="71" type="noConversion"/>
  </si>
  <si>
    <t>前爪手套</t>
    <phoneticPr fontId="71" type="noConversion"/>
  </si>
  <si>
    <t>内八花纹</t>
    <phoneticPr fontId="71" type="noConversion"/>
  </si>
  <si>
    <t>小内八花纹</t>
    <phoneticPr fontId="71" type="noConversion"/>
  </si>
  <si>
    <t>手臂全白</t>
    <phoneticPr fontId="71" type="noConversion"/>
  </si>
  <si>
    <t>小白手套</t>
    <phoneticPr fontId="71" type="noConversion"/>
  </si>
  <si>
    <t>黄毛手套</t>
    <phoneticPr fontId="71" type="noConversion"/>
  </si>
  <si>
    <t>黄色尾巴</t>
    <phoneticPr fontId="71" type="noConversion"/>
  </si>
  <si>
    <t>白色尾巴</t>
    <phoneticPr fontId="71" type="noConversion"/>
  </si>
  <si>
    <t>黑尾巴</t>
    <phoneticPr fontId="71" type="noConversion"/>
  </si>
  <si>
    <t>黄毛黑尾巴</t>
    <phoneticPr fontId="71" type="noConversion"/>
  </si>
  <si>
    <t>黄耳朵</t>
    <phoneticPr fontId="71" type="noConversion"/>
  </si>
  <si>
    <t>白耳朵</t>
    <phoneticPr fontId="71" type="noConversion"/>
  </si>
  <si>
    <t>黑耳朵</t>
    <phoneticPr fontId="71" type="noConversion"/>
  </si>
  <si>
    <t>经典刘海</t>
    <phoneticPr fontId="71" type="noConversion"/>
  </si>
  <si>
    <t>白白胸花</t>
    <phoneticPr fontId="71" type="noConversion"/>
  </si>
  <si>
    <t>双V领</t>
    <phoneticPr fontId="71" type="noConversion"/>
  </si>
  <si>
    <t>1:白白胸花</t>
    <phoneticPr fontId="71" type="noConversion"/>
  </si>
  <si>
    <t>8:小内八花纹</t>
    <phoneticPr fontId="71" type="noConversion"/>
  </si>
  <si>
    <t>41004|41005</t>
    <phoneticPr fontId="71" type="noConversion"/>
  </si>
  <si>
    <t>51001|51006</t>
    <phoneticPr fontId="71" type="noConversion"/>
  </si>
  <si>
    <t>51002|51006</t>
    <phoneticPr fontId="71" type="noConversion"/>
  </si>
  <si>
    <t>51003|51006</t>
    <phoneticPr fontId="71" type="noConversion"/>
  </si>
  <si>
    <t>51004|51006</t>
    <phoneticPr fontId="71" type="noConversion"/>
  </si>
  <si>
    <t>51005|51006</t>
    <phoneticPr fontId="71" type="noConversion"/>
  </si>
  <si>
    <t>51007|51008</t>
    <phoneticPr fontId="71" type="noConversion"/>
  </si>
  <si>
    <t>51007|51009</t>
    <phoneticPr fontId="71" type="noConversion"/>
  </si>
  <si>
    <t>51008|51009</t>
    <phoneticPr fontId="71" type="noConversion"/>
  </si>
  <si>
    <t>51007|51010</t>
    <phoneticPr fontId="71" type="noConversion"/>
  </si>
  <si>
    <t>51008|51010</t>
    <phoneticPr fontId="71" type="noConversion"/>
  </si>
  <si>
    <t>51009|51010</t>
    <phoneticPr fontId="71" type="noConversion"/>
  </si>
  <si>
    <t>51007|51011</t>
    <phoneticPr fontId="71" type="noConversion"/>
  </si>
  <si>
    <t>51008|51011</t>
    <phoneticPr fontId="71" type="noConversion"/>
  </si>
  <si>
    <t>51009|51011</t>
    <phoneticPr fontId="71" type="noConversion"/>
  </si>
  <si>
    <t>51010|51011</t>
    <phoneticPr fontId="71" type="noConversion"/>
  </si>
  <si>
    <t>52001|52002</t>
    <phoneticPr fontId="71" type="noConversion"/>
  </si>
  <si>
    <t>52003|52004</t>
    <phoneticPr fontId="71" type="noConversion"/>
  </si>
  <si>
    <t>52003|52005</t>
    <phoneticPr fontId="71" type="noConversion"/>
  </si>
  <si>
    <t>52004|52005</t>
    <phoneticPr fontId="71" type="noConversion"/>
  </si>
  <si>
    <t>52003|52006</t>
    <phoneticPr fontId="71" type="noConversion"/>
  </si>
  <si>
    <t>52004|52006</t>
    <phoneticPr fontId="71" type="noConversion"/>
  </si>
  <si>
    <t>52005|52006</t>
    <phoneticPr fontId="71" type="noConversion"/>
  </si>
  <si>
    <t>56001|56002</t>
    <phoneticPr fontId="71" type="noConversion"/>
  </si>
  <si>
    <t>56001|56003</t>
    <phoneticPr fontId="71" type="noConversion"/>
  </si>
  <si>
    <t>56002|56003</t>
    <phoneticPr fontId="71" type="noConversion"/>
  </si>
  <si>
    <t>56001|56004</t>
    <phoneticPr fontId="71" type="noConversion"/>
  </si>
  <si>
    <t>56002|56004</t>
    <phoneticPr fontId="71" type="noConversion"/>
  </si>
  <si>
    <t>56003|56004</t>
    <phoneticPr fontId="71" type="noConversion"/>
  </si>
  <si>
    <t>许墨·于人海抵达</t>
    <phoneticPr fontId="71" type="noConversion"/>
  </si>
  <si>
    <t>于人海抵达</t>
    <phoneticPr fontId="71" type="noConversion"/>
  </si>
  <si>
    <t>20004,332,1|902007,333,1|902008,333,1</t>
    <phoneticPr fontId="71" type="noConversion"/>
  </si>
  <si>
    <t>这场月下之舞，由我陪你。</t>
  </si>
  <si>
    <t>想要看到的世界，我给你。</t>
  </si>
  <si>
    <r>
      <t>从小我一直在邮轮上生活，几次偷跑下船的经历都犹如噩梦一般，之后我便听从外婆的嘱咐，再也不敢下船。</t>
    </r>
    <r>
      <rPr>
        <sz val="10.5"/>
        <color rgb="FF171A1D"/>
        <rFont val="宋体"/>
        <family val="3"/>
        <charset val="134"/>
      </rPr>
      <t>原以为我会永远在船上通过想象这个世界来度过一生，直到一个名叫凌肖的船客出现。</t>
    </r>
  </si>
  <si>
    <t>新一批的船客马上就要登船了，我正在餐厅里做着最后的准备工作，却没想到有一个青年踩着我从未见过的木板破窗而入，更没想到的是——他竟然是头等舱的船客！</t>
    <phoneticPr fontId="71" type="noConversion"/>
  </si>
  <si>
    <t>登船后，我终于得知这个青年的名字叫凌肖，而且他竟然还提出要我带他去驾驶舱参观，本想拒绝时，他却提出了诱人的“交易”……</t>
    <phoneticPr fontId="71" type="noConversion"/>
  </si>
  <si>
    <t>和凌肖相处得越久，收获了越多的惊喜。他在我的房间里画上了世界各地的模样，让我知道了这个世界的有趣和广阔。但就在一次交谈之中，他提出让我在七夕节当天请一天的假。</t>
  </si>
  <si>
    <t>七夕当天，我换上从未穿过的旗袍，而凌肖似乎也早有准备，为我戴上了他送的项链。等我们走到了甲板发现这和预计的晚会完全不一样，而这一切的改变竟然都是凌肖的主意……</t>
  </si>
  <si>
    <t>1158,252,1</t>
    <phoneticPr fontId="71" type="noConversion"/>
  </si>
  <si>
    <t>1159,252,1</t>
    <phoneticPr fontId="71" type="noConversion"/>
  </si>
  <si>
    <t>2153,252,1</t>
    <phoneticPr fontId="71" type="noConversion"/>
  </si>
  <si>
    <t>2154,252,1</t>
    <phoneticPr fontId="71" type="noConversion"/>
  </si>
  <si>
    <t>3152,252,1</t>
    <phoneticPr fontId="71" type="noConversion"/>
  </si>
  <si>
    <t>3153,252,1</t>
    <phoneticPr fontId="71" type="noConversion"/>
  </si>
  <si>
    <t>4160,252,1</t>
    <phoneticPr fontId="71" type="noConversion"/>
  </si>
  <si>
    <t>4161,252,1</t>
    <phoneticPr fontId="71" type="noConversion"/>
  </si>
  <si>
    <t>8052,252,1</t>
    <phoneticPr fontId="71" type="noConversion"/>
  </si>
  <si>
    <t>1385,253,1</t>
    <phoneticPr fontId="71" type="noConversion"/>
  </si>
  <si>
    <t>2391,253,1</t>
    <phoneticPr fontId="71" type="noConversion"/>
  </si>
  <si>
    <t>4395,253,1</t>
    <phoneticPr fontId="71" type="noConversion"/>
  </si>
  <si>
    <t>6224,253,1</t>
    <phoneticPr fontId="71" type="noConversion"/>
  </si>
  <si>
    <t>3395,253,1</t>
    <phoneticPr fontId="71" type="noConversion"/>
  </si>
  <si>
    <t>我接到一份需要去邻省拍摄几个月的户外真人秀工作。这个期间，我和许墨只能通过电话维持联系，虽然隔着屏幕，却好像我们依然陪伴在彼此身边……</t>
  </si>
  <si>
    <t>我接到一份户外真人秀拍摄的工作，要去邻省的乡下待几个月。为了弥补未来见不到面的时光，最近我和许墨每天都要见面，甚至有些“如胶似漆”。但告别的时刻终于还是来临了，我们在车站依依惜别。</t>
  </si>
  <si>
    <t>在拍摄地安顿好后，我因为认床而有些睡不着，就给许墨发起了消息。正巧他也没有睡，打视频电话陪我聊天，不知不觉中我就睡着了。这一晚初尝了想念的微苦，而我不知道的是，电话那头的许墨也一样……</t>
  </si>
  <si>
    <t>拍摄进行了一个月，工作上出现诸多不顺，这天收工后我情绪低落地朝村外走，忽然有些想家。回过神来的时候我已经买票回到了恋语市，一场大雨拦住了我，我在商店里给许墨打电话。我们隔着屏幕互诉思念，烦恼也渐渐消散，获得了坚持的力量。</t>
  </si>
  <si>
    <t>拍摄进行了两个月时，许墨也迎来了工作上的难关。我宽慰他说可以为自己建立一个盼头，这样就能相对轻松地跨过困难。几天后在邻市的拍摄中，我竟然看到了许墨，原来他的“盼头”就是赶来见我……</t>
  </si>
  <si>
    <t>拍摄终于全部结束了，许墨来车站接我回家。我看到他养的花，约好以后会和他一起养，许墨趁机拿出了为我准备的礼物，是一支口红。他帮我涂好，看着近在咫尺的思念之人，忽然有些贪心，想索要更多的“补偿”，重新在彼此身上留下自己的色彩……</t>
  </si>
  <si>
    <t>type</t>
    <phoneticPr fontId="71" type="noConversion"/>
  </si>
  <si>
    <t>道具名</t>
    <phoneticPr fontId="71" type="noConversion"/>
  </si>
  <si>
    <t>品质</t>
    <phoneticPr fontId="71" type="noConversion"/>
  </si>
  <si>
    <t>保底品质</t>
    <phoneticPr fontId="71" type="noConversion"/>
  </si>
  <si>
    <t>23102</t>
  </si>
  <si>
    <t>家具</t>
  </si>
  <si>
    <t>23103</t>
  </si>
  <si>
    <t>22102</t>
  </si>
  <si>
    <t>22103</t>
  </si>
  <si>
    <t>15303</t>
  </si>
  <si>
    <t>14103</t>
  </si>
  <si>
    <t>14104</t>
  </si>
  <si>
    <t>14105</t>
  </si>
  <si>
    <t>星星发卡</t>
  </si>
  <si>
    <t>服饰</t>
  </si>
  <si>
    <t>花花发卡</t>
  </si>
  <si>
    <t>小恶魔翅膀</t>
  </si>
  <si>
    <t>小天使翅膀</t>
  </si>
  <si>
    <t>派对之星帽</t>
  </si>
  <si>
    <t>黑色小礼帽</t>
  </si>
  <si>
    <t>粉粉兔耳朵</t>
  </si>
  <si>
    <t>酷酷太阳镜</t>
  </si>
  <si>
    <t>红色鱼骨三角巾</t>
  </si>
  <si>
    <t>金属铭牌圈</t>
  </si>
  <si>
    <t>绿色口水巾</t>
  </si>
  <si>
    <t>小领结口水巾</t>
  </si>
  <si>
    <t>黑色铃铛</t>
  </si>
  <si>
    <t>帅气水手巾</t>
  </si>
  <si>
    <t>黑色小领结</t>
  </si>
  <si>
    <t>零食1</t>
    <phoneticPr fontId="71" type="noConversion"/>
  </si>
  <si>
    <t>道具</t>
    <phoneticPr fontId="71" type="noConversion"/>
  </si>
  <si>
    <t>零食2</t>
    <phoneticPr fontId="71" type="noConversion"/>
  </si>
  <si>
    <t>零食3</t>
    <phoneticPr fontId="71" type="noConversion"/>
  </si>
  <si>
    <t>零食4</t>
  </si>
  <si>
    <t>零食5</t>
  </si>
  <si>
    <t>消耗玩具1</t>
  </si>
  <si>
    <t>消耗玩具2</t>
  </si>
  <si>
    <t>消耗玩具3</t>
    <phoneticPr fontId="71" type="noConversion"/>
  </si>
  <si>
    <t>消耗玩具4</t>
    <phoneticPr fontId="71" type="noConversion"/>
  </si>
  <si>
    <t>消耗玩具5</t>
    <phoneticPr fontId="71" type="noConversion"/>
  </si>
  <si>
    <t>2|201|20101|41004|51007|52003|56001|57001|58001|59001</t>
    <phoneticPr fontId="71" type="noConversion"/>
  </si>
  <si>
    <t>2|201|20101|41005|51007|52003|56001|57001|58001|59001</t>
    <phoneticPr fontId="71" type="noConversion"/>
  </si>
  <si>
    <t>2|201|20101|41004|51009|52003|56001|57001|58001|59001</t>
    <phoneticPr fontId="71" type="noConversion"/>
  </si>
  <si>
    <t>2|201|20101|41005|51009|52003|56001|57001|58001|59001</t>
    <phoneticPr fontId="71" type="noConversion"/>
  </si>
  <si>
    <t>2|201|20101|41004|51009|52003|56001|58002|59002</t>
    <phoneticPr fontId="71" type="noConversion"/>
  </si>
  <si>
    <t>2|201|20101|41005|51009|52003|56001|58002|59002</t>
    <phoneticPr fontId="71" type="noConversion"/>
  </si>
  <si>
    <t>2|201|20101|41004|51010|52003|56001|57001|58001|59003</t>
    <phoneticPr fontId="71" type="noConversion"/>
  </si>
  <si>
    <t>2|201|20101|41005|51010|52003|56001|57001|58001|59003</t>
    <phoneticPr fontId="71" type="noConversion"/>
  </si>
  <si>
    <t>2|201|20103|41004|51007|52005|56003|57001|58001|59001</t>
    <phoneticPr fontId="71" type="noConversion"/>
  </si>
  <si>
    <t>2|201|20103|41005|51007|52005|56003|57001|58001|59001</t>
    <phoneticPr fontId="71" type="noConversion"/>
  </si>
  <si>
    <t>2|201|20103|41004|51007|52005|56003|57001|58001|59002</t>
    <phoneticPr fontId="71" type="noConversion"/>
  </si>
  <si>
    <t>2|201|20103|41005|51007|52005|56003|57001|58001|59002</t>
    <phoneticPr fontId="71" type="noConversion"/>
  </si>
  <si>
    <t>2|201|20103|41004|51007|52005|56003|57001|58001|59004</t>
    <phoneticPr fontId="71" type="noConversion"/>
  </si>
  <si>
    <t>2|201|20103|41005|51007|52005|56003|57001|58001|59004</t>
    <phoneticPr fontId="71" type="noConversion"/>
  </si>
  <si>
    <t>2|201|20103|41004|51011|52006|56004|57001|58001|59001</t>
    <phoneticPr fontId="71" type="noConversion"/>
  </si>
  <si>
    <t>2|201|20103|41005|51011|52006|56004|57001|58001|59001</t>
    <phoneticPr fontId="71" type="noConversion"/>
  </si>
  <si>
    <t>2|201|20103|41004|51011|52006|56004|57001|58001|59002</t>
    <phoneticPr fontId="71" type="noConversion"/>
  </si>
  <si>
    <t>2|201|20103|41005|51011|52006|56004|57001|58001|59002</t>
    <phoneticPr fontId="71" type="noConversion"/>
  </si>
  <si>
    <t>2|201|20103|41004|51011|52006|56004|57001|58001|59004</t>
    <phoneticPr fontId="71" type="noConversion"/>
  </si>
  <si>
    <t>2|201|20103|41005|51011|52006|56004|57001|58001|59004</t>
    <phoneticPr fontId="71" type="noConversion"/>
  </si>
  <si>
    <t>宠物动作</t>
    <phoneticPr fontId="71" type="noConversion"/>
  </si>
  <si>
    <t>idle03a</t>
  </si>
  <si>
    <t>idle01a</t>
    <phoneticPr fontId="80" type="noConversion"/>
  </si>
  <si>
    <t>idle01b</t>
    <phoneticPr fontId="80" type="noConversion"/>
  </si>
  <si>
    <t>idle01c</t>
    <phoneticPr fontId="80" type="noConversion"/>
  </si>
  <si>
    <t>idle02a</t>
    <phoneticPr fontId="80" type="noConversion"/>
  </si>
  <si>
    <t>idle02b</t>
    <phoneticPr fontId="80" type="noConversion"/>
  </si>
  <si>
    <t>idle02c</t>
    <phoneticPr fontId="80" type="noConversion"/>
  </si>
  <si>
    <t>idle03a</t>
    <phoneticPr fontId="80" type="noConversion"/>
  </si>
  <si>
    <t>idle03b</t>
    <phoneticPr fontId="80" type="noConversion"/>
  </si>
  <si>
    <t>idle03c</t>
    <phoneticPr fontId="80" type="noConversion"/>
  </si>
  <si>
    <t>idle04a</t>
    <phoneticPr fontId="80" type="noConversion"/>
  </si>
  <si>
    <t>idle04b</t>
    <phoneticPr fontId="80" type="noConversion"/>
  </si>
  <si>
    <t>idle04c</t>
    <phoneticPr fontId="80" type="noConversion"/>
  </si>
  <si>
    <t>idle05a</t>
    <phoneticPr fontId="80" type="noConversion"/>
  </si>
  <si>
    <t>idle05b</t>
    <phoneticPr fontId="80" type="noConversion"/>
  </si>
  <si>
    <t>idle05c</t>
    <phoneticPr fontId="80" type="noConversion"/>
  </si>
  <si>
    <t>idle06a</t>
    <phoneticPr fontId="80" type="noConversion"/>
  </si>
  <si>
    <t>idle06b</t>
    <phoneticPr fontId="80" type="noConversion"/>
  </si>
  <si>
    <t>idle06c</t>
    <phoneticPr fontId="80" type="noConversion"/>
  </si>
  <si>
    <t>idle07a</t>
    <phoneticPr fontId="80" type="noConversion"/>
  </si>
  <si>
    <t>idle07b</t>
    <phoneticPr fontId="80" type="noConversion"/>
  </si>
  <si>
    <t>idle07c</t>
    <phoneticPr fontId="80" type="noConversion"/>
  </si>
  <si>
    <t>idle08a</t>
    <phoneticPr fontId="80" type="noConversion"/>
  </si>
  <si>
    <t>idle08b</t>
    <phoneticPr fontId="80" type="noConversion"/>
  </si>
  <si>
    <t>idle08c</t>
    <phoneticPr fontId="80" type="noConversion"/>
  </si>
  <si>
    <t>idle09a</t>
    <phoneticPr fontId="80" type="noConversion"/>
  </si>
  <si>
    <t>idle09b</t>
    <phoneticPr fontId="80" type="noConversion"/>
  </si>
  <si>
    <t>idle09c</t>
    <phoneticPr fontId="80" type="noConversion"/>
  </si>
  <si>
    <t>idle10a</t>
    <phoneticPr fontId="80" type="noConversion"/>
  </si>
  <si>
    <t>idle10b</t>
    <phoneticPr fontId="80" type="noConversion"/>
  </si>
  <si>
    <t>idle10c</t>
    <phoneticPr fontId="80" type="noConversion"/>
  </si>
  <si>
    <t>idle11a</t>
    <phoneticPr fontId="80" type="noConversion"/>
  </si>
  <si>
    <t>idle11b</t>
    <phoneticPr fontId="80" type="noConversion"/>
  </si>
  <si>
    <t>idle11c</t>
    <phoneticPr fontId="80" type="noConversion"/>
  </si>
  <si>
    <t>idle12a</t>
    <phoneticPr fontId="80" type="noConversion"/>
  </si>
  <si>
    <t>idle12b</t>
    <phoneticPr fontId="80" type="noConversion"/>
  </si>
  <si>
    <t>idle12c</t>
    <phoneticPr fontId="80" type="noConversion"/>
  </si>
  <si>
    <t>idle13a</t>
    <phoneticPr fontId="80" type="noConversion"/>
  </si>
  <si>
    <t>idle13b</t>
    <phoneticPr fontId="80" type="noConversion"/>
  </si>
  <si>
    <t>idle13c</t>
    <phoneticPr fontId="80" type="noConversion"/>
  </si>
  <si>
    <t>idle14a</t>
    <phoneticPr fontId="80" type="noConversion"/>
  </si>
  <si>
    <t>idle14b</t>
    <phoneticPr fontId="80" type="noConversion"/>
  </si>
  <si>
    <t>idle14c</t>
    <phoneticPr fontId="80" type="noConversion"/>
  </si>
  <si>
    <t>idle15a</t>
    <phoneticPr fontId="80" type="noConversion"/>
  </si>
  <si>
    <t>idle15b</t>
    <phoneticPr fontId="80" type="noConversion"/>
  </si>
  <si>
    <t>idle15c</t>
    <phoneticPr fontId="80" type="noConversion"/>
  </si>
  <si>
    <t>idle16a</t>
    <phoneticPr fontId="80" type="noConversion"/>
  </si>
  <si>
    <t>idle16b</t>
    <phoneticPr fontId="80" type="noConversion"/>
  </si>
  <si>
    <t>idle16c</t>
    <phoneticPr fontId="80" type="noConversion"/>
  </si>
  <si>
    <t>idle17a</t>
    <phoneticPr fontId="80" type="noConversion"/>
  </si>
  <si>
    <t>idle17b</t>
    <phoneticPr fontId="80" type="noConversion"/>
  </si>
  <si>
    <t>idle17c</t>
    <phoneticPr fontId="80" type="noConversion"/>
  </si>
  <si>
    <t>idle18a</t>
    <phoneticPr fontId="80" type="noConversion"/>
  </si>
  <si>
    <t>idle18b</t>
    <phoneticPr fontId="80" type="noConversion"/>
  </si>
  <si>
    <t>idle18c</t>
    <phoneticPr fontId="80" type="noConversion"/>
  </si>
  <si>
    <t>idle19a</t>
    <phoneticPr fontId="80" type="noConversion"/>
  </si>
  <si>
    <t>idle19b</t>
    <phoneticPr fontId="80" type="noConversion"/>
  </si>
  <si>
    <t>idle19c</t>
    <phoneticPr fontId="80" type="noConversion"/>
  </si>
  <si>
    <t>idle20a</t>
    <phoneticPr fontId="80" type="noConversion"/>
  </si>
  <si>
    <t>idle20b</t>
    <phoneticPr fontId="80" type="noConversion"/>
  </si>
  <si>
    <t>idle20c</t>
    <phoneticPr fontId="80" type="noConversion"/>
  </si>
  <si>
    <t>idle21a</t>
    <phoneticPr fontId="80" type="noConversion"/>
  </si>
  <si>
    <t>idle21b</t>
    <phoneticPr fontId="80" type="noConversion"/>
  </si>
  <si>
    <t>idle21c</t>
    <phoneticPr fontId="80" type="noConversion"/>
  </si>
  <si>
    <t>idle22a</t>
    <phoneticPr fontId="80" type="noConversion"/>
  </si>
  <si>
    <t>idle22b</t>
    <phoneticPr fontId="80" type="noConversion"/>
  </si>
  <si>
    <t>idle22c</t>
    <phoneticPr fontId="80" type="noConversion"/>
  </si>
  <si>
    <t>idle23a</t>
    <phoneticPr fontId="80" type="noConversion"/>
  </si>
  <si>
    <t>idle23b</t>
    <phoneticPr fontId="80" type="noConversion"/>
  </si>
  <si>
    <t>idle23c</t>
    <phoneticPr fontId="80" type="noConversion"/>
  </si>
  <si>
    <t>idle24a</t>
    <phoneticPr fontId="80" type="noConversion"/>
  </si>
  <si>
    <t>idle24b</t>
    <phoneticPr fontId="80" type="noConversion"/>
  </si>
  <si>
    <t>idle24c</t>
    <phoneticPr fontId="80" type="noConversion"/>
  </si>
  <si>
    <t>attack01</t>
    <phoneticPr fontId="80" type="noConversion"/>
  </si>
  <si>
    <t>attack02</t>
  </si>
  <si>
    <t>attack03</t>
  </si>
  <si>
    <t>attack04</t>
  </si>
  <si>
    <t>attack05</t>
  </si>
  <si>
    <t>attack06</t>
  </si>
  <si>
    <t>attack07</t>
  </si>
  <si>
    <t>attack08</t>
  </si>
  <si>
    <t>attack09</t>
  </si>
  <si>
    <t>香影之约</t>
    <phoneticPr fontId="71" type="noConversion"/>
  </si>
  <si>
    <t>根据组织上的命令，我和白起伪装成一对新婚夫妻来接近我们的目标人物。为了顺利转移所有的情报，我们举办了一场盛大的酒会，但在酒会结束后，白起却告诉我……</t>
  </si>
  <si>
    <t>为了转移情报，我和白起伪装成一对新婚夫妻来到恋语市，与目标人物——洋人布克有了初步的接触。但意外的是，布克突然来访了。</t>
  </si>
  <si>
    <t>我们邀请布克参加三天后的酒会，布克答应了。在他离开后，我检查他送来的礼物，却意外的发现了一枚隐藏很深的窃听器！</t>
  </si>
  <si>
    <t>我装作送咖啡的样子去书房提醒正在发电报的白起，排查完书房后，我刚松了一口气，恰好被白起口袋里的一条胭脂匣手链勾住了。看着胭脂匣，我想起了许多年前白起曾说，如果我喜欢的话他就送我一条，我的脸微微红了……</t>
  </si>
  <si>
    <t>七月初六晚上，酒会日期举行。尽管意外横生，我和白起最终还是顺利地完成了任务，掩护同仁转移了所有情报。而在洋楼只剩下我和白起时，他掏出那条手链，一边替我戴上，一边告诉我说……</t>
  </si>
  <si>
    <t>119586:119587:119588</t>
    <phoneticPr fontId="71" type="noConversion"/>
  </si>
  <si>
    <t>周棋洛·糖果日记</t>
    <phoneticPr fontId="71" type="noConversion"/>
  </si>
  <si>
    <t>欢迎你永久出演我的生活电影。</t>
    <phoneticPr fontId="71" type="noConversion"/>
  </si>
  <si>
    <t>点滴之约</t>
    <phoneticPr fontId="71" type="noConversion"/>
  </si>
  <si>
    <t>我和周棋洛决定在家拍一支Vlog来记录我们的生活。虽然在这过程中，我们进行了很多内容上的编排，但始终注视着对方的两颗心是自然而真挚的……</t>
  </si>
  <si>
    <t>周末的早上，由于周棋洛的一个可爱的噩梦，使得我们在拌嘴的过程中，临时决定在家拍Vlog。</t>
  </si>
  <si>
    <t>我们决定先拍摄以穿搭为内容的Vlog，并为彼此选了用来点缀穿搭的首饰。周棋洛在这过程的专业表现让我叹为观止。</t>
  </si>
  <si>
    <t>第二个Vlog的内容是吃播。做果酱时，周棋洛以夸张的盛赞来逗我开心；我们的嘴唇被果酱染了色，于是就有了一次令人心跳不已的刷牙经历……</t>
  </si>
  <si>
    <t>周棋洛把Vlog当天剪了出来，并用黑客技术的手段传到了他的微博上。在看成片时，我们双双意识到，原来我们在生活中，会不知不觉中放大对方的一举一动。</t>
  </si>
  <si>
    <t>白起·渴望</t>
    <phoneticPr fontId="71" type="noConversion"/>
  </si>
  <si>
    <t>我会把所有时光，都打上属于我们的印记。</t>
  </si>
  <si>
    <t>修车之约</t>
  </si>
  <si>
    <t>我跟白起惬意地在山间开车，他以前经常在这条路线上兜风。就在我们说笑间，车子却突然传来一阵异响……</t>
  </si>
  <si>
    <t>我跟白起在他经常开的路线上兜风，说笑间，车子却突然传来一阵异响。白起下车检查后，说问题不大，还能继续开。而且附近刚好有家熟悉的汽车维修店，我们也可以顺便过去休息一下。</t>
  </si>
  <si>
    <t>我们到了维修店，却发现这里并没有人，白起说看来老板是有事外出了。在与老板沟通之后，白起决定进店“自助”修理汽车。</t>
  </si>
  <si>
    <t>白起让我帮他搭把手，于是我便成为了他的专属小助理，除了替他递工具之外，我还捉住了一直向白起撒娇、想让他陪自己玩的小狗“豆包”。就在一切都顺利解决时，我突然对白起说，还有件事，我也可以帮他完成。</t>
    <phoneticPr fontId="71" type="noConversion"/>
  </si>
  <si>
    <t>我和白起一起擦洗了车身，我问他对我这个小助理的表现是否满意，他却做出了一个意料之外的回答……</t>
  </si>
  <si>
    <t>许墨·新化学反应</t>
    <phoneticPr fontId="71" type="noConversion"/>
  </si>
  <si>
    <t>听好，这是我的回答。</t>
    <phoneticPr fontId="71" type="noConversion"/>
  </si>
  <si>
    <t>整理办公室里的物品时，我发现了很多“过期”的东西，有些甚至带来了小小的遗憾。这时我遇到了前来帮忙的李泽言，不知道他会怎么看待“保质期”这件事呢……</t>
  </si>
  <si>
    <t>因公司扩张，我需要调整工位，在收拾东西的过程中发现了一些“过期”的物件。李泽言来帮我搬东西，我们聊起了曾经腰斩的一个项目，我感慨机遇错过就不再来，李泽言却提出了不同的看法……</t>
  </si>
  <si>
    <t>李泽言发现了我收进箱子的啤酒和本该被丢掉的东西，我因为舍不得丢掉而拦住了他。得知我在因为错过了一次约会而遗憾，李泽言决定要带我去补偿这个遗憾。</t>
  </si>
  <si>
    <t>李泽言带我来到了一个露天汽车电影院，播放的电影刚好和我想邀请他看的那部是同一位导演。我拉着他一起喝我带出来的啤酒，感谢他弥补了我的遗憾，李泽言说只要他在，我所有的遗憾都可以被满足。</t>
  </si>
  <si>
    <t>我的酒量依然没有长进，李泽言却说只要我需要，可以永远用他当“挡箭牌”。我意识到他是相信“永远”的，他也的确做得到，因为任何东西他都会给我最新的、最好的，永远不用担心过期。我也向他表明心迹，或许所谓永远的爱，就是一次又一次重新为对方心动。</t>
  </si>
  <si>
    <t>4156,252,1</t>
    <phoneticPr fontId="71" type="noConversion"/>
  </si>
  <si>
    <t>4394,253,1</t>
    <phoneticPr fontId="71" type="noConversion"/>
  </si>
  <si>
    <t>4157,252,1</t>
    <phoneticPr fontId="71" type="noConversion"/>
  </si>
  <si>
    <t>3393,253,1</t>
    <phoneticPr fontId="71" type="noConversion"/>
  </si>
  <si>
    <t>140447,251,1</t>
    <phoneticPr fontId="71" type="noConversion"/>
  </si>
  <si>
    <t>3394,253,1</t>
    <phoneticPr fontId="71" type="noConversion"/>
  </si>
  <si>
    <t>1386,253,1</t>
    <phoneticPr fontId="71" type="noConversion"/>
  </si>
  <si>
    <t>1160,252,1</t>
    <phoneticPr fontId="71" type="noConversion"/>
  </si>
  <si>
    <t>弥新之约</t>
    <phoneticPr fontId="71" type="noConversion"/>
  </si>
  <si>
    <t>新化学反应</t>
    <phoneticPr fontId="71" type="noConversion"/>
  </si>
  <si>
    <t>20005,332,1|902009,333,1|902010,333,1</t>
    <phoneticPr fontId="71" type="noConversion"/>
  </si>
  <si>
    <t>周棋洛·心意繁盛</t>
  </si>
  <si>
    <t>3150,252,1</t>
  </si>
  <si>
    <t>2021/8/25 5:00</t>
  </si>
  <si>
    <t>3390,253,1</t>
  </si>
  <si>
    <t>3151,252,1</t>
  </si>
  <si>
    <t>朝着太阳的方向走，下个转角我们就会相遇。</t>
  </si>
  <si>
    <t>独行之约</t>
  </si>
  <si>
    <t>我和周棋洛参与了一项行为实验：两人分别在这张城市地图上标出几个自己想去的地点，按照自己规划的路线独自旅行，标注的地点和规划的路线，都需要和对方保密。我和周棋洛将这项实验视作有趣的游戏，决定参与。</t>
  </si>
  <si>
    <t>我和周棋洛来到旅行的最后一站，碰巧看到一个艺术大学的学生在做什么展览。在问清楚了他们发起的行为实验是怎么一回事之后，我们决定参与。</t>
  </si>
  <si>
    <t>由于游戏规则的保密性，我和周棋洛并不知道对方都勾选了哪些地点，也不知道对方会选择在什么时候去往这些地方，两人的旅行此刻突然变成了一人游。</t>
  </si>
  <si>
    <t>从城市公园出来之后，我按照自己规划的路线前往下一个目的地——长缘观。打来电话的周棋洛说，他碰巧也在道观里，还给我留了一个小惊喜。</t>
  </si>
  <si>
    <t>周棋洛觉得，也许这个实验的最终目的不是殊途同归，而是我们不在彼此身边的时候，也可以各自看到不同的风景。因为两个人的“在一起”，并不是非要时时刻刻都在一起。</t>
  </si>
  <si>
    <t>李泽言·不可控因素</t>
    <phoneticPr fontId="71" type="noConversion"/>
  </si>
  <si>
    <t>白起·与月色沉眠</t>
    <phoneticPr fontId="71" type="noConversion"/>
  </si>
  <si>
    <t>凌肖·热夏症候群</t>
    <phoneticPr fontId="71" type="noConversion"/>
  </si>
  <si>
    <t>10006,332,1|901011,333,1|901012,333,1</t>
    <phoneticPr fontId="71" type="noConversion"/>
  </si>
  <si>
    <t>30004,332,1|903007,333,1|903008,333,1</t>
    <phoneticPr fontId="71" type="noConversion"/>
  </si>
  <si>
    <t>40006,332,1|904011,333,1|904012,333,1</t>
    <phoneticPr fontId="71" type="noConversion"/>
  </si>
  <si>
    <t>80001,332,1|908001,333,1|908002,333,1</t>
    <phoneticPr fontId="71" type="noConversion"/>
  </si>
  <si>
    <t>不可控因素</t>
  </si>
  <si>
    <t>与月色沉眠</t>
  </si>
  <si>
    <t>热夏症候群</t>
  </si>
  <si>
    <t>最近有一所大学邀请我，以影视制作人的身份在这所学校担任外聘教师。但我却没想到在这里遇见了李泽言，还试听了我的课堂……</t>
  </si>
  <si>
    <t>有一所大学邀请我，以影视制作人的身份在这所学校担任外聘教师，但没想到在这里能偶遇李泽言。在他试听课结束以后，我借机邀请他以“学生”的身份来上我的课。</t>
  </si>
  <si>
    <t>走进教室的李泽言，不出意外地引起了“小小风波”。在我组织好课堂纪律后，便正式开始讲授今天的课题——电影人物中的欲望。在讲述的过程中，却发现我和李泽言的目光总是忍不住相接。</t>
  </si>
  <si>
    <t>下课后，李泽言陪我去多功能室备课。我忽然即兴地让李泽言来配合我备课，希望他能配合我完美地展示出在镜头下，人物欲望的张力表现。为此，我掏出了方案中的“点睛之笔”……</t>
  </si>
  <si>
    <t>看着李泽言唇边的吻痕，我的心不由自主地怦怦直跳。似乎我们在不知不觉中，应证了我备课的内容……但就在备课快结束时，一阵敲门声打断了我们。</t>
  </si>
  <si>
    <t>备课结束后，我们来到了贵宾休息室里等待。换完礼服出来后，我发现李泽言自然地帮我放置了一次性拖鞋。似乎每当有这样温暖的感觉，似乎都有有李泽言在身边。而我们也缓缓地聊起来彼此之间的欲望……</t>
  </si>
  <si>
    <t>周棋洛刚刚结束了一部新电影的拍摄，远哥说他的状态不太对劲，刚刚下飞机的我决定直接去他家看看……</t>
  </si>
  <si>
    <t>此前周棋洛刚刚结束了新电影的拍摄，他好像有些异常的沉默，于是我去他家里找他，见面后发现周棋洛生病了……</t>
  </si>
  <si>
    <t>周棋洛有点热伤风了，给他找冰宝贴的时候，我发现周棋洛的某些生活小习惯发生了轻微的改变，我觉得有些疑惑，直到看到了他新电影的剧本……</t>
  </si>
  <si>
    <t>周棋洛和角色共情太深，我决心帮他填上心里因此产生的空洞——首先从填上胃的空缺开始。我趁他睡觉的时候去超市买菜，但走到一半却发现自己身后多了两个小尾巴。</t>
  </si>
  <si>
    <t>吃火锅的时候，周棋洛向我讲了一些在剧组发生的事情，我也了解了更多他一个人经历的时光，十分遗憾当时的自己没有陪在他的身边……</t>
  </si>
  <si>
    <t>公司临时有事，虽然周棋洛示意我可以先去处理，但走到中途我还是决定改成线上会议。折返的时候周棋洛正在给Cello秃掉的尾巴上绑毛线花，看到我时他十分惊喜，他告诉我，我缺席的独家演出，他现在补给我。</t>
  </si>
  <si>
    <t>我们不赶时间，有些事可以慢慢来。</t>
  </si>
  <si>
    <t>公司最近在准备一个摇滚乐队的专辑推广活动，在我和他们队贝斯手谢弛刚结束采访时，凌肖正好过来了。他一看到贝斯手脸色都变了，难道他们之间有什么过节？</t>
  </si>
  <si>
    <t>我看到了乐队以前的视频，才知道原来他们曾经都是队友，而谢弛的背叛出走差点让Isolated没能参加最重要的音乐节。我向凌肖打听起这段过往，他却跟我说和谢弛约了乐队battle？！</t>
  </si>
  <si>
    <t>凌肖第一次参加的音乐节的经历也太传奇了吧！听到乐队给我描述起当年的情景，我的心也忍不住向往起来。我相信，这样的Isolated一定会赢的！</t>
    <phoneticPr fontId="71" type="noConversion"/>
  </si>
  <si>
    <t>凌肖借口要赔我一支口红，于是我们俩傻傻的大半夜寻找化妆品店，又傻傻地喝了好多啤酒，等再回到LiveHouse时，我也有些醉了，干脆趴在沙发上小憩，而就在这时，凌肖拎着赔我的那支口红回来了，他将我抱在怀里，难得地说了几句真心话……</t>
  </si>
  <si>
    <t>在乐队Battle开始后，凌肖居然点了我来做battle的伴奏！在我居然弹出了凌肖在当年音乐节时的旋律后，谢弛宣告了认输。虽然赢下了battle，凌肖的心情却有些低落的样子，我好奇问起了他这次准备的杀手锏，而他在迷离的灯光中给了我回答……</t>
    <phoneticPr fontId="71" type="noConversion"/>
  </si>
  <si>
    <t>119589:119590:119591</t>
    <phoneticPr fontId="71" type="noConversion"/>
  </si>
  <si>
    <t>119592:119593:119594</t>
    <phoneticPr fontId="71" type="noConversion"/>
  </si>
  <si>
    <t>119595:119596:119597</t>
    <phoneticPr fontId="71" type="noConversion"/>
  </si>
  <si>
    <t>纯色尾巴</t>
    <phoneticPr fontId="71" type="noConversion"/>
  </si>
  <si>
    <t>尾巴尖加白</t>
    <phoneticPr fontId="71" type="noConversion"/>
  </si>
  <si>
    <t>1:纯色尾巴</t>
    <phoneticPr fontId="71" type="noConversion"/>
  </si>
  <si>
    <t>2:尾巴尖加白</t>
    <phoneticPr fontId="71" type="noConversion"/>
  </si>
  <si>
    <t>2|201|20102|41004|51009|52004|56002|57001|58001|59001</t>
    <phoneticPr fontId="71" type="noConversion"/>
  </si>
  <si>
    <t>2|201|20102|41005|51009|52004|56002|57001|58001|59001</t>
    <phoneticPr fontId="71" type="noConversion"/>
  </si>
  <si>
    <t>1|1|1|3|2</t>
    <phoneticPr fontId="71" type="noConversion"/>
  </si>
  <si>
    <t>1|1|0|0|1|0|0|0|0</t>
    <phoneticPr fontId="71" type="noConversion"/>
  </si>
  <si>
    <t>1|102|10201|41002|51005|52001|55001</t>
    <phoneticPr fontId="71" type="noConversion"/>
  </si>
  <si>
    <t>1|1|0|0|2|0|0|0|0</t>
    <phoneticPr fontId="71" type="noConversion"/>
  </si>
  <si>
    <t>1|102|10201|41002|51005|52001|55002</t>
    <phoneticPr fontId="71" type="noConversion"/>
  </si>
  <si>
    <t>2|1|0|0|1|0|0|0|0</t>
    <phoneticPr fontId="71" type="noConversion"/>
  </si>
  <si>
    <t>1|102|10201|41003|51006|52001|55001</t>
    <phoneticPr fontId="71" type="noConversion"/>
  </si>
  <si>
    <t>2|1|0|0|2|0|0|0|0</t>
    <phoneticPr fontId="71" type="noConversion"/>
  </si>
  <si>
    <t>1|102|10201|41003|51006|52001|55002</t>
    <phoneticPr fontId="71" type="noConversion"/>
  </si>
  <si>
    <t>1|102|10201|40001|51005|52001|55001</t>
    <phoneticPr fontId="71" type="noConversion"/>
  </si>
  <si>
    <t>1|102|10201|40001|51005|52001|55002</t>
    <phoneticPr fontId="71" type="noConversion"/>
  </si>
  <si>
    <t>dog_id</t>
    <phoneticPr fontId="71" type="noConversion"/>
  </si>
  <si>
    <t>cat_id</t>
    <phoneticPr fontId="71" type="noConversion"/>
  </si>
  <si>
    <t>道具分类</t>
    <phoneticPr fontId="71" type="noConversion"/>
  </si>
  <si>
    <t>券数</t>
    <phoneticPr fontId="71" type="noConversion"/>
  </si>
  <si>
    <t>保底数</t>
    <phoneticPr fontId="71" type="noConversion"/>
  </si>
  <si>
    <t>家具蛋1-cat</t>
  </si>
  <si>
    <t>家具蛋1-dog</t>
  </si>
  <si>
    <t>家具蛋2-cat</t>
  </si>
  <si>
    <t>道具</t>
  </si>
  <si>
    <t>家具蛋2-dog</t>
  </si>
  <si>
    <t>家具蛋3-cat</t>
  </si>
  <si>
    <t>家具蛋3-dog</t>
  </si>
  <si>
    <t>家具蛋3-cat-保底</t>
  </si>
  <si>
    <t>家具蛋3-dog-保底</t>
  </si>
  <si>
    <t>服饰蛋1-cat</t>
  </si>
  <si>
    <t>服饰蛋1-dog</t>
  </si>
  <si>
    <t>服饰蛋2-cat</t>
  </si>
  <si>
    <t>服饰蛋2-dog</t>
  </si>
  <si>
    <t>服饰蛋2-cat-保底</t>
  </si>
  <si>
    <t>服饰蛋2-dog-保底</t>
  </si>
  <si>
    <t>服饰蛋3-cat</t>
  </si>
  <si>
    <t>服饰蛋3-dog</t>
  </si>
  <si>
    <t>服饰蛋3-cat-保底</t>
  </si>
  <si>
    <t>服饰蛋3-dog-保底</t>
  </si>
  <si>
    <t>道具蛋2-cat</t>
  </si>
  <si>
    <t>道具蛋2-dog</t>
  </si>
  <si>
    <t>我留下的证明，没有任何人可以抹去。</t>
  </si>
  <si>
    <t>再靠近一点，我想记住你的色彩。</t>
  </si>
  <si>
    <t>和你一起的剧集，永不落幕。</t>
  </si>
  <si>
    <t>我被一个激进的观众退下了楼梯，脚也打上了石膏。在了解情况之后，白起直接住进了我家说要照顾我……在每日相处的过程中，我发现了白起另一面之前不曾了解的事，也打破我对“日常”的认知……</t>
  </si>
  <si>
    <t>白起直接铁青着脸走进了我的病房里，比往日自己受伤还要紧张失措，我向他解释了情况，考虑到我的腿伤和我接下来的工作情况，白起竟然直接住进了我家里……？！</t>
  </si>
  <si>
    <t>令人紧张的“同居生活”开始了，我的目光始终被他吸引，而无论我做什么，白起都会第一时间出现在我的面前。</t>
  </si>
  <si>
    <t>为了让我的参赛作品能够正常推进，我最后还是决定亲自去暗房把照片洗出来，只不过当我真的面对这些照片时，那些恶毒的咒骂又再次出现在了我的眼前，而此时白起走到了我的身边，为我寻找到了那些被我忽视掉的事物。</t>
  </si>
  <si>
    <t>在回家的路上，我们竟然遇到了莫名的袭击？！但白起完全不慌不忙，并配合队友将罪犯控制住了。在解决这件事后，白起却变得很紧张，也许是担心我因此而产生恐惧，但依然将一些从未对我说过的事告诉了我。</t>
  </si>
  <si>
    <t>我愈加专心地沉浸在作品的创作中，我知道这些来之不易。在一切拍摄结束后，我带白起来到了我们的拍摄地点，“发表”了一番特别的“获奖致辞”……</t>
  </si>
  <si>
    <t>给你我的引线，由你点燃一切。</t>
  </si>
  <si>
    <t>我近期采访合作乐队的贝斯手居然和Isolated有所渊源！而他们之间的恩怨，凌肖决定用一场乐队battle来解决，在这期间，我也想帮凌肖做点什么……</t>
  </si>
  <si>
    <t>本来闲适的假日突然出现了停水停电的情况，于是我决定出门处理一下洗一半的各种衣服，没想到遇到了来帮许墨取文件的阿明，我决定代替他去完成“这项任务”。不过，不知道是不是因为阿明的无心之言，我开始格外在意许墨，而许墨似乎也由于我的在意，看起来更加“诱人”了……</t>
  </si>
  <si>
    <t>悠闲的假期开始了，没想到真像许墨的“预言”一样整个小区都停电了，而更祸不单行的是水也停了，看着我洗到一半的衣服，我决定出门解决它们。</t>
  </si>
  <si>
    <t>我在停车场遇见了来帮许墨取文件的阿明，思索片刻我决定替代阿明完成这个任务，等我见到许墨之后，因为阿明的无心之言，我似乎开始突然很在意许墨。</t>
  </si>
  <si>
    <t>因为越下越大的雨，整个路上变得拥堵不已，而我和许墨的闲聊让这个堵车时光不显得太惹人燥闷，许墨突然问我的问题让我陷入了深深的思考之中，而在我思考的同时，许墨径直打开了车门冲进了雨幕中……</t>
  </si>
  <si>
    <t>我又开心又有点着急地带着他回到了学术会为他提前准备的酒店休息房间中，许墨面对我的生气竟然还在窃喜，我赶紧放了热水让他快去洗澡，没想到他却“蛊惑”我，让我……</t>
    <phoneticPr fontId="71" type="noConversion"/>
  </si>
  <si>
    <t>我努力让自己的理智归位后，突然意识到被送去洗衣服的袋子里，我自己的车钥匙还在里面！我和许墨赶忙冲到洗衣间拯救了我的车钥匙，两个人坐在洗衣间里，在许墨的提示下我终于发觉了许墨那个问题的答案，在我了然的目光中，许墨给我的生活带来了新的化学反应。</t>
  </si>
  <si>
    <t>我将这颗心的每个角落都交付予你。</t>
  </si>
  <si>
    <t>白起·深浅兴味</t>
    <phoneticPr fontId="71" type="noConversion"/>
  </si>
  <si>
    <t>4393,253,1</t>
    <phoneticPr fontId="71" type="noConversion"/>
  </si>
  <si>
    <t>4154,252,1</t>
    <phoneticPr fontId="71" type="noConversion"/>
  </si>
  <si>
    <t>你微笑时的模样，盛开成我的记忆里不会褪色的花。</t>
    <phoneticPr fontId="71" type="noConversion"/>
  </si>
  <si>
    <t>企展之约</t>
    <phoneticPr fontId="71" type="noConversion"/>
  </si>
  <si>
    <t>占卜之约</t>
    <phoneticPr fontId="71" type="noConversion"/>
  </si>
  <si>
    <t>我最近有点倒霉，骑车摔倒、洗澡停水、一连三回飞机晚点。恰好最近有一个神秘的占卜咖啡厅风靡恋语市，无数人都前去打卡，我也拉上了白起一起去。</t>
    <phoneticPr fontId="71" type="noConversion"/>
  </si>
  <si>
    <t>白起来我家时，我向他哭诉了一番最近有多么倒霉，白起为了安慰我，主动问起我有没有想吃的东西，我立刻想到了最近很火的占卜咖啡厅。</t>
    <phoneticPr fontId="71" type="noConversion"/>
  </si>
  <si>
    <t>到达咖啡厅时还没到下午茶时间，店里已经满满都是人。见邻桌的几个女孩正热烈地讨论着自己的占卜结果，我也和白起探讨起了占卜这件事。</t>
    <phoneticPr fontId="71" type="noConversion"/>
  </si>
  <si>
    <t>店长向我们揭示了咖啡占卜可以改变客人运势的奥妙——往人的记忆里送一朵花。我体验过一番之后，似乎有些理解了她的做法。</t>
    <phoneticPr fontId="71" type="noConversion"/>
  </si>
  <si>
    <t>我和白起彼此承诺，在对方不开心的时候，要第一时间做点什么，让对方开心起来。要做彼此记忆里，永远迎风摇曳、永远鲜艳盛开的花。</t>
    <phoneticPr fontId="71" type="noConversion"/>
  </si>
  <si>
    <t>白起·风起时深浅兴味</t>
  </si>
  <si>
    <t>白起·锋刃深浅兴味</t>
  </si>
  <si>
    <t>白起·长夜星火深浅兴味</t>
  </si>
  <si>
    <t>白起·灿烂之年深浅兴味</t>
  </si>
  <si>
    <t>白起·无畏深浅兴味</t>
  </si>
  <si>
    <t>白起·留白心绪深浅兴味</t>
  </si>
  <si>
    <t>白起·隐夜深浅兴味</t>
  </si>
  <si>
    <t>白起·醉行歌深浅兴味</t>
  </si>
  <si>
    <t>白起·斑驳印记深浅兴味</t>
  </si>
  <si>
    <t>白起·私人记号深浅兴味</t>
  </si>
  <si>
    <t>白起·银河来信深浅兴味</t>
  </si>
  <si>
    <t>白起·炽盛深浅兴味</t>
  </si>
  <si>
    <t>白起·宠物深浅兴味</t>
  </si>
  <si>
    <t>李泽言·清朗好日</t>
    <phoneticPr fontId="71" type="noConversion"/>
  </si>
  <si>
    <t>0,宠物直播大赛</t>
    <phoneticPr fontId="71" type="noConversion"/>
  </si>
  <si>
    <t>1381,253,1</t>
    <phoneticPr fontId="71" type="noConversion"/>
  </si>
  <si>
    <t>2021/8/16 5:00</t>
    <phoneticPr fontId="71" type="noConversion"/>
  </si>
  <si>
    <t>1156,252,1</t>
    <phoneticPr fontId="71" type="noConversion"/>
  </si>
  <si>
    <t>不论在哪里都能找到玩伴，是笨蛋的长处吗？</t>
    <phoneticPr fontId="71" type="noConversion"/>
  </si>
  <si>
    <t>冰释之约</t>
    <phoneticPr fontId="71" type="noConversion"/>
  </si>
  <si>
    <t>李泽言罕见地找我帮忙，竟然是去照顾亲戚家的一只小猫？究竟是什么样的特殊原因，能让这位“行走的猫薄荷”都犯了难？</t>
  </si>
  <si>
    <t>汇报完方案后，李泽言似乎有些欲言又止。我原本担心方案出了什么问题，没想到他是让我帮忙，一起去照顾亲戚家的一只小猫。</t>
  </si>
  <si>
    <t>来到这位长辈的家，看着满屋狼藉，我才意识到这只小猫有些“难搞”。我和李泽言只好先将屋子收拾好……</t>
  </si>
  <si>
    <t>在吸引小猫现身时，我得知了李泽言和这只小猫的“过节”，想不到堂堂李总也有在小动物身上吃瘪的过去。小猫吃饱喝足，准备洗澡时，意外再次发生了……</t>
  </si>
  <si>
    <t>经历了一番兵荒马乱，我们终于给小猫洗好了澡。小猫受到李泽言的照顾，也不再抗拒他，一人一猫总算“冰释前嫌”。傍晚的微风中，我忽然意识到，自己一直以来从李泽言那里受到的照顾，也许藏着更多的意义……</t>
  </si>
  <si>
    <t>许墨·萌趣印迹</t>
    <phoneticPr fontId="71" type="noConversion"/>
  </si>
  <si>
    <t>2390,253,1</t>
    <phoneticPr fontId="71" type="noConversion"/>
  </si>
  <si>
    <t>2151,252,1</t>
    <phoneticPr fontId="71" type="noConversion"/>
  </si>
  <si>
    <t>我有很多时候都想依赖你，不仅是现在。</t>
    <phoneticPr fontId="71" type="noConversion"/>
  </si>
  <si>
    <t>无措之约</t>
    <phoneticPr fontId="71" type="noConversion"/>
  </si>
  <si>
    <t>许墨最近又有了新项目，他这次向我承诺一定会按吃饭休息，却都没有做到，我忍不住和他闹起了脾气。在这个关节上，一只调皮的小流浪猫却意外地成为了我们的调解剂……</t>
    <phoneticPr fontId="71" type="noConversion"/>
  </si>
  <si>
    <t>今早我在许墨家门口挂了一个爱心便当，谁知许墨一整天没有联系我，便当也在原地纹丝不动。我正在担忧时，楼道的电梯间传来一阵小猫的叫声——原来是许墨在大雨天救了一只流浪猫回来。</t>
    <phoneticPr fontId="71" type="noConversion"/>
  </si>
  <si>
    <t>出于对许墨的担忧，我和他闹起了小别扭。从储物间找出猫粮后，我发现许墨在沙发上睡着了……</t>
    <phoneticPr fontId="71" type="noConversion"/>
  </si>
  <si>
    <t>正打算向许墨诉说我的心情时，小猫在卧室里闯了祸。许墨主动担任起安抚猫的工作，调皮的小猫却毫不领情。看着许墨少见的尴尬表情，我忍不住笑出了声。</t>
    <phoneticPr fontId="71" type="noConversion"/>
  </si>
  <si>
    <t>我终于告诉了许墨我不开心的原因，而许墨其实也早就猜到了。他告诉我，在这个世界上，他最需要的人就是我。</t>
    <phoneticPr fontId="71" type="noConversion"/>
  </si>
  <si>
    <t>周棋洛·倾音</t>
    <phoneticPr fontId="71" type="noConversion"/>
  </si>
  <si>
    <t>3396,253,1</t>
    <phoneticPr fontId="71" type="noConversion"/>
  </si>
  <si>
    <t>3155,252,1</t>
    <phoneticPr fontId="71" type="noConversion"/>
  </si>
  <si>
    <t>这种小失误，你可要快点从记忆里删除。</t>
    <phoneticPr fontId="71" type="noConversion"/>
  </si>
  <si>
    <t>萌声之约</t>
    <phoneticPr fontId="71" type="noConversion"/>
  </si>
  <si>
    <t>我跟周棋洛挑战用Cello和苹果箱的叫声创造宠物歌曲。可没想到，采声过程意外的曲折。更令我意外的是，最后解决风波的，居然是周棋洛刚学会的某种新技巧……</t>
    <phoneticPr fontId="71" type="noConversion"/>
  </si>
  <si>
    <t>我跟周棋洛约好要为Cello和苹果箱创造歌曲。我提早到达，原本打算来个出其不意的“突击检查”，却因苹果箱的叫声暴露了行踪，被周棋洛发现并带到了工作间里。</t>
    <phoneticPr fontId="71" type="noConversion"/>
  </si>
  <si>
    <t>采声过程中，周棋洛失手播错了引导音频，惹得Cello在房间内四处乱窜，以往的安抚手段也迟迟不起作用。焦头烂额之际，周棋洛却用某种有些新奇的技巧安抚了Cello的情绪。</t>
    <phoneticPr fontId="71" type="noConversion"/>
  </si>
  <si>
    <t>见我也对学习这门“神秘”的技巧动了心，周棋洛主动提出可以教我。可过程中，他却好像故意在逗我脸红……</t>
    <phoneticPr fontId="71" type="noConversion"/>
  </si>
  <si>
    <t>临近“教学”尾声时，周棋洛对我坦然表达了他的想法。而我也终于明白，无论与身边的人相处多久，都要认真将心意传达出去……</t>
    <phoneticPr fontId="71" type="noConversion"/>
  </si>
  <si>
    <t>白起·跃晴</t>
    <phoneticPr fontId="71" type="noConversion"/>
  </si>
  <si>
    <t>4387,253,1</t>
    <phoneticPr fontId="71" type="noConversion"/>
  </si>
  <si>
    <t>4153,252,1</t>
    <phoneticPr fontId="71" type="noConversion"/>
  </si>
  <si>
    <t>小问题，交给我来解决。</t>
    <phoneticPr fontId="71" type="noConversion"/>
  </si>
  <si>
    <t>训练之约</t>
    <phoneticPr fontId="71" type="noConversion"/>
  </si>
  <si>
    <t>警局来了一位蹭吃蹭喝还拆家的“不速之客”——一只走丢的哈士奇。在我的主动请缨下我和白起开始了我们的遛狗之行……</t>
    <phoneticPr fontId="71" type="noConversion"/>
  </si>
  <si>
    <t>白起的同事托他照看一只跑到警局里的哈士奇，我兴奋地提议和白起一起带它去散步。怀揣着对可爱小狗的美好想象，我迎来了和哈士奇“跳跳”的初见。</t>
    <phoneticPr fontId="71" type="noConversion"/>
  </si>
  <si>
    <t>初次见面，跳跳就用不友好的打招呼方式给了我一个“下马威”。随后它对我的各种无视和拒绝更是让我怀疑起自己……</t>
    <phoneticPr fontId="71" type="noConversion"/>
  </si>
  <si>
    <t>在一次次失败中吸取教训，再加上白起的悉心教导，让我慢慢掌握了一点和小狗相处的经验。在成功挑战对跳跳的跟随训练后，得意忘形的我却让跳跳的牵引绳从我手中挣脱，同时我的身体也失去了平衡……</t>
    <phoneticPr fontId="71" type="noConversion"/>
  </si>
  <si>
    <t>无愧于哈士奇“撒手没”的称号，跳跳消失在了我们的视线中。在我们奔走各地寻找无果之时，这只调皮的小狗却出现在一个让我们意想不到的地方。</t>
    <phoneticPr fontId="71" type="noConversion"/>
  </si>
  <si>
    <t>凌肖·本色</t>
    <phoneticPr fontId="71" type="noConversion"/>
  </si>
  <si>
    <t>6220,253,1</t>
    <phoneticPr fontId="71" type="noConversion"/>
  </si>
  <si>
    <t>8050,252,1</t>
    <phoneticPr fontId="71" type="noConversion"/>
  </si>
  <si>
    <t>我可不是什么好脾气的人，不过也得分对象。</t>
    <phoneticPr fontId="71" type="noConversion"/>
  </si>
  <si>
    <t>居家之约</t>
    <phoneticPr fontId="71" type="noConversion"/>
  </si>
  <si>
    <t>我和凌肖约好在家里一起度过周末，但是朋友寄养在我家的小狗——辣条，似乎和凌肖不怎么对付……</t>
    <phoneticPr fontId="71" type="noConversion"/>
  </si>
  <si>
    <t>凌肖来我家过周末，并给朋友寄养在我家的泰迪——辣条，带了一个项圈。但是辣条却把凌肖当成了这片领地的“入侵者”。</t>
    <phoneticPr fontId="71" type="noConversion"/>
  </si>
  <si>
    <t>活泼好斗的辣条叼走了凌肖的衣服，一个银色的饰品从衣服口袋里滑了出来，凌肖迅速将其捡起，并且表情看上去有些不太好……</t>
    <phoneticPr fontId="71" type="noConversion"/>
  </si>
  <si>
    <t>凌肖教辣条认识卡片上的图案，告诉它哪些能碰、哪些不能碰，然而辣条“屡教不改”，再次从凌肖衣服口袋里叼出了那个银色饰品。</t>
    <phoneticPr fontId="71" type="noConversion"/>
  </si>
  <si>
    <t>原来这个银色饰品是凌肖送我的礼物。我仔细打量了下，发现做工很精致，而且上面没有任何品牌logo的字样。我看了眼凌肖亲手做的项圈，心里冒出了一个猜想……</t>
    <phoneticPr fontId="71" type="noConversion"/>
  </si>
  <si>
    <t>李泽言·心墙清朗好日</t>
  </si>
  <si>
    <t>李泽言·围城清朗好日</t>
  </si>
  <si>
    <t>李泽言·热望清朗好日</t>
  </si>
  <si>
    <t>李泽言·浮香清朗好日</t>
  </si>
  <si>
    <t>李泽言·猎行之时清朗好日</t>
  </si>
  <si>
    <t>李泽言·制胜时刻清朗好日</t>
  </si>
  <si>
    <t>李泽言·一眸之隔清朗好日</t>
  </si>
  <si>
    <t>李泽言·今夕景清朗好日</t>
  </si>
  <si>
    <t>李泽言·盛意满怀清朗好日</t>
  </si>
  <si>
    <t>李泽言·静谧晖光清朗好日</t>
  </si>
  <si>
    <t>李泽言·相遇转角清朗好日</t>
  </si>
  <si>
    <t>李泽言·漫言日长清朗好日</t>
  </si>
  <si>
    <t>李泽言·钟影阑珊清朗好日</t>
  </si>
  <si>
    <t>许墨·破局萌趣印迹</t>
  </si>
  <si>
    <t>许墨·陷落萌趣印迹</t>
  </si>
  <si>
    <t>许墨·雨幕萌趣印迹</t>
  </si>
  <si>
    <t>许墨·拟扣心门萌趣印迹</t>
  </si>
  <si>
    <t>许墨·落日余温萌趣印迹</t>
  </si>
  <si>
    <t>许墨·断线萌趣印迹</t>
  </si>
  <si>
    <t>许墨·自深深处萌趣印迹</t>
  </si>
  <si>
    <t>许墨·梦仙林萌趣印迹</t>
  </si>
  <si>
    <t>许墨·独享况味萌趣印迹</t>
  </si>
  <si>
    <t>许墨·私藏暇光萌趣印迹</t>
  </si>
  <si>
    <t>许墨·人潮漫卷萌趣印迹</t>
  </si>
  <si>
    <t>许墨·心窍萌趣印迹</t>
  </si>
  <si>
    <t>周棋洛·迷藏倾音</t>
  </si>
  <si>
    <t>周棋洛·假象倾音</t>
  </si>
  <si>
    <t>周棋洛·梦想起点倾音</t>
  </si>
  <si>
    <t>周棋洛·快乐供应倾音</t>
  </si>
  <si>
    <t>周棋洛·光的缝隙倾音</t>
  </si>
  <si>
    <t>周棋洛·注目倾音</t>
  </si>
  <si>
    <t>周棋洛·倾音欲忘言</t>
  </si>
  <si>
    <t>周棋洛·倾音心动节拍</t>
  </si>
  <si>
    <t>周棋洛·倾音美妙一瞬</t>
  </si>
  <si>
    <t>周棋洛·倾音满分拥抱</t>
  </si>
  <si>
    <t>周棋洛·倾音追光</t>
  </si>
  <si>
    <t>周棋洛·倾音阳光盛惠</t>
  </si>
  <si>
    <t>周棋洛·倾音飞行岛屿</t>
  </si>
  <si>
    <t>白起·风起时跃晴</t>
  </si>
  <si>
    <t>白起·锋刃跃晴</t>
  </si>
  <si>
    <t>白起·长夜星火跃晴</t>
  </si>
  <si>
    <t>白起·灿烂之年跃晴</t>
  </si>
  <si>
    <t>白起·无畏跃晴</t>
  </si>
  <si>
    <t>白起·留白心绪跃晴</t>
  </si>
  <si>
    <t>白起·隐夜跃晴</t>
  </si>
  <si>
    <t>白起·醉行歌跃晴</t>
  </si>
  <si>
    <t>白起·斑驳印记跃晴</t>
  </si>
  <si>
    <t>白起·私人记号跃晴</t>
  </si>
  <si>
    <t>白起·银河来信跃晴</t>
  </si>
  <si>
    <t>白起·炽盛跃晴</t>
  </si>
  <si>
    <t>凌肖·极速定律本色</t>
  </si>
  <si>
    <t>凌肖·高热本色</t>
  </si>
  <si>
    <t>凌肖·侵袭本色</t>
  </si>
  <si>
    <t>凌肖·奔涌本色</t>
  </si>
  <si>
    <t>凌肖·狂热节拍本色</t>
  </si>
  <si>
    <t>凌肖·完美突击本色</t>
  </si>
  <si>
    <t>凌肖·棱角本色</t>
  </si>
  <si>
    <t>周棋洛·迷恋演绎法</t>
    <phoneticPr fontId="71" type="noConversion"/>
  </si>
  <si>
    <t>迷恋演绎法</t>
  </si>
  <si>
    <t>坐姿</t>
    <phoneticPr fontId="80" type="noConversion"/>
  </si>
  <si>
    <t>动作名</t>
    <phoneticPr fontId="80" type="noConversion"/>
  </si>
  <si>
    <t>动作备注</t>
    <phoneticPr fontId="80" type="noConversion"/>
  </si>
  <si>
    <t>定帧时间</t>
    <phoneticPr fontId="80" type="noConversion"/>
  </si>
  <si>
    <t>attack01_1</t>
    <phoneticPr fontId="80" type="noConversion"/>
  </si>
  <si>
    <t>左边球</t>
    <phoneticPr fontId="80" type="noConversion"/>
  </si>
  <si>
    <t>领养不可用</t>
    <phoneticPr fontId="80" type="noConversion"/>
  </si>
  <si>
    <t>attack01_2</t>
  </si>
  <si>
    <t>右边球</t>
    <phoneticPr fontId="80" type="noConversion"/>
  </si>
  <si>
    <t>attack01_3</t>
  </si>
  <si>
    <t>attack01_4</t>
  </si>
  <si>
    <t>attack01_5</t>
  </si>
  <si>
    <t>上边球</t>
    <phoneticPr fontId="80" type="noConversion"/>
  </si>
  <si>
    <t>attack01_6</t>
  </si>
  <si>
    <t>attack02_1</t>
    <phoneticPr fontId="80" type="noConversion"/>
  </si>
  <si>
    <t>按铃铛-普通按按</t>
    <phoneticPr fontId="80" type="noConversion"/>
  </si>
  <si>
    <t>attack02_2</t>
  </si>
  <si>
    <t>按铃铛-普通按按-动了尾巴</t>
    <phoneticPr fontId="80" type="noConversion"/>
  </si>
  <si>
    <t>attack02_3</t>
  </si>
  <si>
    <t>按铃铛-不想按</t>
    <phoneticPr fontId="80" type="noConversion"/>
  </si>
  <si>
    <t>attack02_4</t>
  </si>
  <si>
    <t>按铃铛-超级不想按</t>
    <phoneticPr fontId="80" type="noConversion"/>
  </si>
  <si>
    <t>attack02_5</t>
  </si>
  <si>
    <t>按铃铛-超级想按</t>
    <phoneticPr fontId="80" type="noConversion"/>
  </si>
  <si>
    <t>attack02_6</t>
  </si>
  <si>
    <t>attack03_1</t>
    <phoneticPr fontId="80" type="noConversion"/>
  </si>
  <si>
    <t>猫爬架专用idle</t>
    <phoneticPr fontId="80" type="noConversion"/>
  </si>
  <si>
    <t>attack03_2</t>
  </si>
  <si>
    <t>猫爬架专用idle-眨眼</t>
    <phoneticPr fontId="80" type="noConversion"/>
  </si>
  <si>
    <t>attack03_3</t>
    <phoneticPr fontId="80" type="noConversion"/>
  </si>
  <si>
    <t>猫爬架专用-抬头张望</t>
    <phoneticPr fontId="80" type="noConversion"/>
  </si>
  <si>
    <t>attack03_4</t>
  </si>
  <si>
    <t>猫爬架专用-跺跺脚</t>
    <phoneticPr fontId="80" type="noConversion"/>
  </si>
  <si>
    <t>attack03_5</t>
  </si>
  <si>
    <t>猫爬架专用-低头看手</t>
    <phoneticPr fontId="80" type="noConversion"/>
  </si>
  <si>
    <t>attack03_6</t>
  </si>
  <si>
    <t>猫爬架专用-舔手</t>
    <phoneticPr fontId="80" type="noConversion"/>
  </si>
  <si>
    <t>attack03_7</t>
  </si>
  <si>
    <t>猫爬架专用-低头看看，舔手</t>
    <phoneticPr fontId="80" type="noConversion"/>
  </si>
  <si>
    <t>attack03_8</t>
  </si>
  <si>
    <t>猫爬架专用-打哈欠</t>
    <phoneticPr fontId="80" type="noConversion"/>
  </si>
  <si>
    <t>attack03_9</t>
  </si>
  <si>
    <t>猫爬架专用-打盹</t>
    <phoneticPr fontId="80" type="noConversion"/>
  </si>
  <si>
    <t>attack03_10</t>
  </si>
  <si>
    <t>猫爬架专用-打盹2</t>
    <phoneticPr fontId="80" type="noConversion"/>
  </si>
  <si>
    <t>attack03_11</t>
  </si>
  <si>
    <t>猫爬架专用-不开心</t>
    <phoneticPr fontId="80" type="noConversion"/>
  </si>
  <si>
    <t>待机</t>
    <phoneticPr fontId="80" type="noConversion"/>
  </si>
  <si>
    <t>待机眨眼</t>
    <phoneticPr fontId="80" type="noConversion"/>
  </si>
  <si>
    <t>抬头张望</t>
    <phoneticPr fontId="80" type="noConversion"/>
  </si>
  <si>
    <t>剁剁脚</t>
    <phoneticPr fontId="80" type="noConversion"/>
  </si>
  <si>
    <t>低头看两只脚</t>
    <phoneticPr fontId="80" type="noConversion"/>
  </si>
  <si>
    <t>低头  抬头</t>
    <phoneticPr fontId="80" type="noConversion"/>
  </si>
  <si>
    <t>点尾巴，尾巴缩起来</t>
    <phoneticPr fontId="80" type="noConversion"/>
  </si>
  <si>
    <t>点右手</t>
    <phoneticPr fontId="80" type="noConversion"/>
  </si>
  <si>
    <t>点左手</t>
    <phoneticPr fontId="80" type="noConversion"/>
  </si>
  <si>
    <t>点右耳</t>
    <phoneticPr fontId="80" type="noConversion"/>
  </si>
  <si>
    <t>抬头张望喵喵</t>
    <phoneticPr fontId="80" type="noConversion"/>
  </si>
  <si>
    <t>舔手</t>
    <phoneticPr fontId="80" type="noConversion"/>
  </si>
  <si>
    <t>舔手长-四处看看然后舔手</t>
    <phoneticPr fontId="80" type="noConversion"/>
  </si>
  <si>
    <t>打哈欠</t>
    <phoneticPr fontId="80" type="noConversion"/>
  </si>
  <si>
    <t>打盹困困</t>
    <phoneticPr fontId="80" type="noConversion"/>
  </si>
  <si>
    <t>伸头（被摸头） 很舒服</t>
    <phoneticPr fontId="80" type="noConversion"/>
  </si>
  <si>
    <t>不开心 有点短</t>
    <phoneticPr fontId="80" type="noConversion"/>
  </si>
  <si>
    <t>不开心  长</t>
    <phoneticPr fontId="80" type="noConversion"/>
  </si>
  <si>
    <t>开开心心 喵喵</t>
    <phoneticPr fontId="80" type="noConversion"/>
  </si>
  <si>
    <t>不开心</t>
    <phoneticPr fontId="80" type="noConversion"/>
  </si>
  <si>
    <t>低头看脚</t>
    <phoneticPr fontId="80" type="noConversion"/>
  </si>
  <si>
    <t>猫猫抬头 被摸 很舒服</t>
    <phoneticPr fontId="80" type="noConversion"/>
  </si>
  <si>
    <t>站姿</t>
    <phoneticPr fontId="80" type="noConversion"/>
  </si>
  <si>
    <t>吃饭1</t>
    <phoneticPr fontId="80" type="noConversion"/>
  </si>
  <si>
    <t>吃饭2</t>
    <phoneticPr fontId="80" type="noConversion"/>
  </si>
  <si>
    <t>玩逗猫棒</t>
    <phoneticPr fontId="80" type="noConversion"/>
  </si>
  <si>
    <t>玩猫爬架</t>
    <phoneticPr fontId="80" type="noConversion"/>
  </si>
  <si>
    <t>idle</t>
    <phoneticPr fontId="80" type="noConversion"/>
  </si>
  <si>
    <t>idle2</t>
    <phoneticPr fontId="80" type="noConversion"/>
  </si>
  <si>
    <t>idle3</t>
    <phoneticPr fontId="80" type="noConversion"/>
  </si>
  <si>
    <t>右耳朵</t>
    <phoneticPr fontId="80" type="noConversion"/>
  </si>
  <si>
    <t>左耳朵</t>
    <phoneticPr fontId="80" type="noConversion"/>
  </si>
  <si>
    <t>打盹</t>
    <phoneticPr fontId="80" type="noConversion"/>
  </si>
  <si>
    <t>开心 歪头杀</t>
    <phoneticPr fontId="80" type="noConversion"/>
  </si>
  <si>
    <t>难过</t>
    <phoneticPr fontId="80" type="noConversion"/>
  </si>
  <si>
    <t>attack10</t>
  </si>
  <si>
    <t>attack11</t>
  </si>
  <si>
    <t>attack12</t>
  </si>
  <si>
    <t>attack13</t>
  </si>
  <si>
    <t>attack14</t>
  </si>
  <si>
    <t>attack15</t>
  </si>
  <si>
    <t>attack16</t>
  </si>
  <si>
    <t>刨地</t>
    <phoneticPr fontId="80" type="noConversion"/>
  </si>
  <si>
    <t>站立idle</t>
    <phoneticPr fontId="80" type="noConversion"/>
  </si>
  <si>
    <t>idle4</t>
  </si>
  <si>
    <t>坐idle</t>
    <phoneticPr fontId="80" type="noConversion"/>
  </si>
  <si>
    <t>猫</t>
    <phoneticPr fontId="71" type="noConversion"/>
  </si>
  <si>
    <t>狗</t>
    <phoneticPr fontId="71" type="noConversion"/>
  </si>
  <si>
    <t>挠头</t>
    <phoneticPr fontId="71" type="noConversion"/>
  </si>
  <si>
    <t>看右脚</t>
    <phoneticPr fontId="71" type="noConversion"/>
  </si>
  <si>
    <t>看左脚</t>
    <phoneticPr fontId="71" type="noConversion"/>
  </si>
  <si>
    <t>玩球</t>
    <phoneticPr fontId="71" type="noConversion"/>
  </si>
  <si>
    <t>荡秋千</t>
    <phoneticPr fontId="71" type="noConversion"/>
  </si>
  <si>
    <t>按铃铛-一般般</t>
    <phoneticPr fontId="71" type="noConversion"/>
  </si>
  <si>
    <t>按铃铛-超级想</t>
    <phoneticPr fontId="71" type="noConversion"/>
  </si>
  <si>
    <t>疯狂摇尾巴</t>
    <phoneticPr fontId="71" type="noConversion"/>
  </si>
  <si>
    <t>狗狗蹬腿</t>
    <phoneticPr fontId="80" type="noConversion"/>
  </si>
  <si>
    <t>宠物动作参考</t>
    <phoneticPr fontId="71" type="noConversion"/>
  </si>
  <si>
    <t>保底权重</t>
    <phoneticPr fontId="71" type="noConversion"/>
  </si>
  <si>
    <t>神秘蛋3-cat</t>
  </si>
  <si>
    <t>神秘蛋3-dog</t>
  </si>
  <si>
    <t>李泽言·心澜</t>
    <phoneticPr fontId="71" type="noConversion"/>
  </si>
  <si>
    <t>家具蛋2-cat-保底</t>
  </si>
  <si>
    <t>家具蛋2-dog-保底</t>
  </si>
  <si>
    <t>2021/8/13 5:00</t>
    <phoneticPr fontId="71" type="noConversion"/>
  </si>
  <si>
    <t>类型</t>
    <phoneticPr fontId="71" type="noConversion"/>
  </si>
  <si>
    <t>家具蛋0-cat</t>
  </si>
  <si>
    <t>家具蛋0-dog</t>
  </si>
  <si>
    <t>家具蛋1-cat-保底</t>
  </si>
  <si>
    <t>家具蛋1-dog-保底</t>
  </si>
  <si>
    <t>服饰蛋0-cat-保底</t>
  </si>
  <si>
    <t>服饰蛋0-dog-保底</t>
  </si>
  <si>
    <t>服饰蛋0-cat</t>
  </si>
  <si>
    <t>服饰蛋0-dog</t>
  </si>
  <si>
    <t>服饰蛋1-cat-保底</t>
  </si>
  <si>
    <t>服饰蛋1-dog-保底</t>
  </si>
  <si>
    <t>道具蛋1-cat</t>
  </si>
  <si>
    <t>道具蛋1-dog</t>
  </si>
  <si>
    <t>普通猫粮</t>
    <phoneticPr fontId="71" type="noConversion"/>
  </si>
  <si>
    <t>大份猫粮</t>
    <phoneticPr fontId="71" type="noConversion"/>
  </si>
  <si>
    <t>普通猫砂</t>
    <phoneticPr fontId="71" type="noConversion"/>
  </si>
  <si>
    <t>大份猫砂</t>
    <phoneticPr fontId="71" type="noConversion"/>
  </si>
  <si>
    <t>道具蛋0-cat</t>
  </si>
  <si>
    <t>道具蛋0-dog</t>
  </si>
  <si>
    <t>2021/8/13 5:00</t>
  </si>
  <si>
    <t>0,倾色浮影活动限定|26,61050:25,61050</t>
    <phoneticPr fontId="71" type="noConversion"/>
  </si>
  <si>
    <t>0,倾色浮影活动限定|26,62040:25,62040</t>
    <phoneticPr fontId="71" type="noConversion"/>
  </si>
  <si>
    <t>0,倾色浮影活动限定|26,63040:25,63040</t>
    <phoneticPr fontId="71" type="noConversion"/>
  </si>
  <si>
    <t>0,倾色浮影活动限定|26,64050:25,64050</t>
    <phoneticPr fontId="71" type="noConversion"/>
  </si>
  <si>
    <t>0,倾色浮影活动限定|26,68010:25,68010</t>
    <phoneticPr fontId="71" type="noConversion"/>
  </si>
  <si>
    <t>0,热恋密码活动限定|26,61040:25,61040</t>
    <phoneticPr fontId="71" type="noConversion"/>
  </si>
  <si>
    <t>淡咖汪</t>
    <phoneticPr fontId="71" type="noConversion"/>
  </si>
  <si>
    <t>白咖汪</t>
    <phoneticPr fontId="71" type="noConversion"/>
  </si>
  <si>
    <t>深咖汪</t>
    <phoneticPr fontId="71" type="noConversion"/>
  </si>
  <si>
    <t>淡黑手套</t>
    <phoneticPr fontId="71" type="noConversion"/>
  </si>
  <si>
    <t>白手套</t>
    <phoneticPr fontId="71" type="noConversion"/>
  </si>
  <si>
    <t>中筒袜</t>
    <phoneticPr fontId="71" type="noConversion"/>
  </si>
  <si>
    <t>半指手套</t>
    <phoneticPr fontId="71" type="noConversion"/>
  </si>
  <si>
    <t>咖色尾巴</t>
    <phoneticPr fontId="71" type="noConversion"/>
  </si>
  <si>
    <t>咖色耳朵</t>
    <phoneticPr fontId="71" type="noConversion"/>
  </si>
  <si>
    <t>无眉</t>
    <phoneticPr fontId="71" type="noConversion"/>
  </si>
  <si>
    <t>点点眉</t>
    <phoneticPr fontId="71" type="noConversion"/>
  </si>
  <si>
    <t>二分刘海</t>
    <phoneticPr fontId="71" type="noConversion"/>
  </si>
  <si>
    <t>心心刘海</t>
    <phoneticPr fontId="71" type="noConversion"/>
  </si>
  <si>
    <t>黑口罩</t>
    <phoneticPr fontId="71" type="noConversion"/>
  </si>
  <si>
    <t>白口罩</t>
    <phoneticPr fontId="71" type="noConversion"/>
  </si>
  <si>
    <t>黄色毛毛</t>
    <phoneticPr fontId="71" type="noConversion"/>
  </si>
  <si>
    <t>白咖毛毛</t>
    <phoneticPr fontId="71" type="noConversion"/>
  </si>
  <si>
    <t>奶白毛毛</t>
    <phoneticPr fontId="71" type="noConversion"/>
  </si>
  <si>
    <t>咖色毛毛</t>
    <phoneticPr fontId="71" type="noConversion"/>
  </si>
  <si>
    <t>2:无眉</t>
    <phoneticPr fontId="71" type="noConversion"/>
  </si>
  <si>
    <t>3:点点眉</t>
    <phoneticPr fontId="71" type="noConversion"/>
  </si>
  <si>
    <t>3:二分刘海</t>
    <phoneticPr fontId="71" type="noConversion"/>
  </si>
  <si>
    <t>1:淡咖汪</t>
    <phoneticPr fontId="71" type="noConversion"/>
  </si>
  <si>
    <t>4:心心刘海</t>
    <phoneticPr fontId="71" type="noConversion"/>
  </si>
  <si>
    <t>2:白咖汪</t>
    <phoneticPr fontId="71" type="noConversion"/>
  </si>
  <si>
    <t>7:咖色尾巴</t>
    <phoneticPr fontId="71" type="noConversion"/>
  </si>
  <si>
    <t>5:咖色耳朵</t>
    <phoneticPr fontId="71" type="noConversion"/>
  </si>
  <si>
    <t>5:黑口罩</t>
    <phoneticPr fontId="71" type="noConversion"/>
  </si>
  <si>
    <t>5:黄色毛毛</t>
    <phoneticPr fontId="71" type="noConversion"/>
  </si>
  <si>
    <t>3:深咖汪</t>
    <phoneticPr fontId="71" type="noConversion"/>
  </si>
  <si>
    <t>12:淡黑手套</t>
    <phoneticPr fontId="71" type="noConversion"/>
  </si>
  <si>
    <t>6:白口罩</t>
    <phoneticPr fontId="71" type="noConversion"/>
  </si>
  <si>
    <t>6:白咖毛毛</t>
    <phoneticPr fontId="71" type="noConversion"/>
  </si>
  <si>
    <t>13:白手套</t>
    <phoneticPr fontId="71" type="noConversion"/>
  </si>
  <si>
    <t>7:奶白毛毛</t>
    <phoneticPr fontId="71" type="noConversion"/>
  </si>
  <si>
    <t>14:中筒袜</t>
    <phoneticPr fontId="71" type="noConversion"/>
  </si>
  <si>
    <t>8:咖色毛毛</t>
    <phoneticPr fontId="71" type="noConversion"/>
  </si>
  <si>
    <t>15:半指手套</t>
    <phoneticPr fontId="71" type="noConversion"/>
  </si>
  <si>
    <t>51007|51012</t>
    <phoneticPr fontId="71" type="noConversion"/>
  </si>
  <si>
    <t>51008|51012</t>
    <phoneticPr fontId="71" type="noConversion"/>
  </si>
  <si>
    <t>51009|51012</t>
    <phoneticPr fontId="71" type="noConversion"/>
  </si>
  <si>
    <t>51010|51012</t>
    <phoneticPr fontId="71" type="noConversion"/>
  </si>
  <si>
    <t>51011|51012</t>
    <phoneticPr fontId="71" type="noConversion"/>
  </si>
  <si>
    <t>51007|51013</t>
    <phoneticPr fontId="71" type="noConversion"/>
  </si>
  <si>
    <t>51008|51013</t>
    <phoneticPr fontId="71" type="noConversion"/>
  </si>
  <si>
    <t>51009|51013</t>
    <phoneticPr fontId="71" type="noConversion"/>
  </si>
  <si>
    <t>51010|51013</t>
    <phoneticPr fontId="71" type="noConversion"/>
  </si>
  <si>
    <t>51011|51013</t>
    <phoneticPr fontId="71" type="noConversion"/>
  </si>
  <si>
    <t>51012|51013</t>
    <phoneticPr fontId="71" type="noConversion"/>
  </si>
  <si>
    <t>51007|51014</t>
    <phoneticPr fontId="71" type="noConversion"/>
  </si>
  <si>
    <t>51008|51014</t>
    <phoneticPr fontId="71" type="noConversion"/>
  </si>
  <si>
    <t>51009|51014</t>
    <phoneticPr fontId="71" type="noConversion"/>
  </si>
  <si>
    <t>51010|51014</t>
    <phoneticPr fontId="71" type="noConversion"/>
  </si>
  <si>
    <t>51011|51014</t>
    <phoneticPr fontId="71" type="noConversion"/>
  </si>
  <si>
    <t>51012|51014</t>
    <phoneticPr fontId="71" type="noConversion"/>
  </si>
  <si>
    <t>51013|51014</t>
    <phoneticPr fontId="71" type="noConversion"/>
  </si>
  <si>
    <t>51007|51015</t>
    <phoneticPr fontId="71" type="noConversion"/>
  </si>
  <si>
    <t>51008|51015</t>
    <phoneticPr fontId="71" type="noConversion"/>
  </si>
  <si>
    <t>51009|51015</t>
    <phoneticPr fontId="71" type="noConversion"/>
  </si>
  <si>
    <t>51010|51015</t>
    <phoneticPr fontId="71" type="noConversion"/>
  </si>
  <si>
    <t>51011|51015</t>
    <phoneticPr fontId="71" type="noConversion"/>
  </si>
  <si>
    <t>51012|51015</t>
    <phoneticPr fontId="71" type="noConversion"/>
  </si>
  <si>
    <t>51013|51015</t>
    <phoneticPr fontId="71" type="noConversion"/>
  </si>
  <si>
    <t>51014|51015</t>
    <phoneticPr fontId="71" type="noConversion"/>
  </si>
  <si>
    <t>52003|52007</t>
    <phoneticPr fontId="71" type="noConversion"/>
  </si>
  <si>
    <t>52004|52007</t>
    <phoneticPr fontId="71" type="noConversion"/>
  </si>
  <si>
    <t>52005|52007</t>
    <phoneticPr fontId="71" type="noConversion"/>
  </si>
  <si>
    <t>52006|52007</t>
    <phoneticPr fontId="71" type="noConversion"/>
  </si>
  <si>
    <t>56001|56005</t>
    <phoneticPr fontId="71" type="noConversion"/>
  </si>
  <si>
    <t>56002|56005</t>
    <phoneticPr fontId="71" type="noConversion"/>
  </si>
  <si>
    <t>56003|56005</t>
    <phoneticPr fontId="71" type="noConversion"/>
  </si>
  <si>
    <t>56004|56005</t>
    <phoneticPr fontId="71" type="noConversion"/>
  </si>
  <si>
    <t>57001|57002</t>
    <phoneticPr fontId="71" type="noConversion"/>
  </si>
  <si>
    <t>57001|57003</t>
    <phoneticPr fontId="71" type="noConversion"/>
  </si>
  <si>
    <t>57002|57003</t>
    <phoneticPr fontId="71" type="noConversion"/>
  </si>
  <si>
    <t>58001|58003</t>
    <phoneticPr fontId="71" type="noConversion"/>
  </si>
  <si>
    <t>58002|58003</t>
    <phoneticPr fontId="71" type="noConversion"/>
  </si>
  <si>
    <t>58001|58004</t>
    <phoneticPr fontId="71" type="noConversion"/>
  </si>
  <si>
    <t>58002|58004</t>
    <phoneticPr fontId="71" type="noConversion"/>
  </si>
  <si>
    <t>58003|58004</t>
    <phoneticPr fontId="71" type="noConversion"/>
  </si>
  <si>
    <t>58001|58005</t>
    <phoneticPr fontId="71" type="noConversion"/>
  </si>
  <si>
    <t>58002|58005</t>
    <phoneticPr fontId="71" type="noConversion"/>
  </si>
  <si>
    <t>58003|58005</t>
    <phoneticPr fontId="71" type="noConversion"/>
  </si>
  <si>
    <t>58004|58005</t>
    <phoneticPr fontId="71" type="noConversion"/>
  </si>
  <si>
    <t>58001|58006</t>
    <phoneticPr fontId="71" type="noConversion"/>
  </si>
  <si>
    <t>58002|58006</t>
    <phoneticPr fontId="71" type="noConversion"/>
  </si>
  <si>
    <t>58003|58006</t>
    <phoneticPr fontId="71" type="noConversion"/>
  </si>
  <si>
    <t>58004|58006</t>
    <phoneticPr fontId="71" type="noConversion"/>
  </si>
  <si>
    <t>58005|58006</t>
    <phoneticPr fontId="71" type="noConversion"/>
  </si>
  <si>
    <t>59001|59005</t>
    <phoneticPr fontId="71" type="noConversion"/>
  </si>
  <si>
    <t>59002|59005</t>
    <phoneticPr fontId="71" type="noConversion"/>
  </si>
  <si>
    <t>59003|59005</t>
    <phoneticPr fontId="71" type="noConversion"/>
  </si>
  <si>
    <t>59004|59005</t>
    <phoneticPr fontId="71" type="noConversion"/>
  </si>
  <si>
    <t>59001|59006</t>
    <phoneticPr fontId="71" type="noConversion"/>
  </si>
  <si>
    <t>59002|59006</t>
    <phoneticPr fontId="71" type="noConversion"/>
  </si>
  <si>
    <t>59003|59006</t>
    <phoneticPr fontId="71" type="noConversion"/>
  </si>
  <si>
    <t>59004|59006</t>
    <phoneticPr fontId="71" type="noConversion"/>
  </si>
  <si>
    <t>59005|59006</t>
    <phoneticPr fontId="71" type="noConversion"/>
  </si>
  <si>
    <t>59001|59007</t>
    <phoneticPr fontId="71" type="noConversion"/>
  </si>
  <si>
    <t>59002|59007</t>
    <phoneticPr fontId="71" type="noConversion"/>
  </si>
  <si>
    <t>59003|59007</t>
    <phoneticPr fontId="71" type="noConversion"/>
  </si>
  <si>
    <t>59004|59007</t>
    <phoneticPr fontId="71" type="noConversion"/>
  </si>
  <si>
    <t>59005|59007</t>
    <phoneticPr fontId="71" type="noConversion"/>
  </si>
  <si>
    <t>59006|59007</t>
    <phoneticPr fontId="71" type="noConversion"/>
  </si>
  <si>
    <t>59001|59008</t>
    <phoneticPr fontId="71" type="noConversion"/>
  </si>
  <si>
    <t>59002|59008</t>
    <phoneticPr fontId="71" type="noConversion"/>
  </si>
  <si>
    <t>59003|59008</t>
    <phoneticPr fontId="71" type="noConversion"/>
  </si>
  <si>
    <t>59004|59008</t>
    <phoneticPr fontId="71" type="noConversion"/>
  </si>
  <si>
    <t>59005|59008</t>
    <phoneticPr fontId="71" type="noConversion"/>
  </si>
  <si>
    <t>59006|59008</t>
    <phoneticPr fontId="71" type="noConversion"/>
  </si>
  <si>
    <t>59007|59008</t>
    <phoneticPr fontId="71" type="noConversion"/>
  </si>
  <si>
    <t>1|1|0|0|0|2|1|1|1</t>
    <phoneticPr fontId="71" type="noConversion"/>
  </si>
  <si>
    <t>2|202|20201|41004|51012|52007|56005|57003|58003|59005</t>
    <phoneticPr fontId="71" type="noConversion"/>
  </si>
  <si>
    <t>3|1|0|0|0|2|1|1|1</t>
    <phoneticPr fontId="71" type="noConversion"/>
  </si>
  <si>
    <t>2|202|20202|41004|51009|52007|56005|57003|58003|59006</t>
    <phoneticPr fontId="71" type="noConversion"/>
  </si>
  <si>
    <t>3|1|0|0|0|2|1|1|2</t>
    <phoneticPr fontId="71" type="noConversion"/>
  </si>
  <si>
    <t>2|202|20202|41004|51009|52007|56005|57003|58003|59007</t>
    <phoneticPr fontId="71" type="noConversion"/>
  </si>
  <si>
    <t>3|1|0|0|0|2|1|2|1</t>
    <phoneticPr fontId="71" type="noConversion"/>
  </si>
  <si>
    <t>2|202|20202|41004|51009|52007|56005|57003|58004|59006</t>
    <phoneticPr fontId="71" type="noConversion"/>
  </si>
  <si>
    <t>3|1|0|0|0|2|1|2|2</t>
    <phoneticPr fontId="71" type="noConversion"/>
  </si>
  <si>
    <t>2|202|20202|41004|51009|52007|56005|57003|58004|59007</t>
    <phoneticPr fontId="71" type="noConversion"/>
  </si>
  <si>
    <t>2|202|20203|41004|51013|52007|56005|57003|58005|59008</t>
    <phoneticPr fontId="71" type="noConversion"/>
  </si>
  <si>
    <t>2|202|20203|41004|51013|52007|56005|57003|58006|59008</t>
    <phoneticPr fontId="71" type="noConversion"/>
  </si>
  <si>
    <t>2|202|20203|41004|51014|52007|56005|57003|58005|59008</t>
    <phoneticPr fontId="71" type="noConversion"/>
  </si>
  <si>
    <t>2|202|20203|41004|51014|52007|56005|57003|58006|59008</t>
    <phoneticPr fontId="71" type="noConversion"/>
  </si>
  <si>
    <t>2|202|20203|41004|51015|52007|56005|57003|58005|59008</t>
    <phoneticPr fontId="71" type="noConversion"/>
  </si>
  <si>
    <t>2|202|20203|41004|51015|52007|56005|57003|58006|59008</t>
    <phoneticPr fontId="71" type="noConversion"/>
  </si>
  <si>
    <t>宠物类型</t>
  </si>
  <si>
    <t>姿势</t>
  </si>
  <si>
    <t>动作</t>
  </si>
  <si>
    <t>时间</t>
  </si>
  <si>
    <t>idle01b</t>
  </si>
  <si>
    <t>idle01c</t>
  </si>
  <si>
    <t>idle02a</t>
  </si>
  <si>
    <t>idle02b</t>
  </si>
  <si>
    <t>idle02c</t>
  </si>
  <si>
    <t>idle03b</t>
  </si>
  <si>
    <t>idle03c</t>
  </si>
  <si>
    <t>idle04b</t>
  </si>
  <si>
    <t>idle04c</t>
  </si>
  <si>
    <t>idle05b</t>
  </si>
  <si>
    <t>idle05c</t>
  </si>
  <si>
    <t>idle07c</t>
  </si>
  <si>
    <t>idle08a</t>
  </si>
  <si>
    <t>idle10a</t>
  </si>
  <si>
    <t>idle11a</t>
  </si>
  <si>
    <t>idle13a</t>
  </si>
  <si>
    <t>idle14b</t>
  </si>
  <si>
    <t>idle14c</t>
  </si>
  <si>
    <t>idle15b</t>
  </si>
  <si>
    <t>idle15c</t>
  </si>
  <si>
    <t>idle21c</t>
  </si>
  <si>
    <t>attack01</t>
  </si>
  <si>
    <t>attack01_5c</t>
  </si>
  <si>
    <t>attack02_6a</t>
  </si>
  <si>
    <t>attack01_2a</t>
  </si>
  <si>
    <t>attack03_4c</t>
  </si>
  <si>
    <t>attack01_5b</t>
  </si>
  <si>
    <t>纯色爪爪</t>
    <phoneticPr fontId="71" type="noConversion"/>
  </si>
  <si>
    <t>1|102|10201|40001|51006|52001|55001</t>
    <phoneticPr fontId="71" type="noConversion"/>
  </si>
  <si>
    <t>1|102|10201|40001|51006|52001|55002</t>
    <phoneticPr fontId="71" type="noConversion"/>
  </si>
  <si>
    <t>1|1|0|0|0|2|1|2|1</t>
    <phoneticPr fontId="71" type="noConversion"/>
  </si>
  <si>
    <t>2|1|0|0|0|2|1|1|1</t>
    <phoneticPr fontId="71" type="noConversion"/>
  </si>
  <si>
    <t>2|1|0|0|0|2|1|2|1</t>
    <phoneticPr fontId="71" type="noConversion"/>
  </si>
  <si>
    <t>秋千小领主</t>
    <phoneticPr fontId="71" type="noConversion"/>
  </si>
  <si>
    <t>1:纯色爪爪</t>
    <phoneticPr fontId="71" type="noConversion"/>
  </si>
  <si>
    <t>听说是田园中的老大</t>
  </si>
  <si>
    <t>长得像奥利奥，又像小奶牛</t>
  </si>
  <si>
    <t>别名大橘子，只是橘色显胖罢了</t>
  </si>
  <si>
    <t>圆头圆脑的小起司</t>
  </si>
  <si>
    <t>经典配色，永不过时</t>
  </si>
  <si>
    <t>像奶油蛋糕一样的白色柴柴</t>
  </si>
  <si>
    <t>外表酷酷内心火热的黑柴</t>
  </si>
  <si>
    <t>毛皮是淡淡的咖啡色，奶里奶气</t>
  </si>
  <si>
    <t>毛皮是典雅的白咖色，永不过时</t>
  </si>
  <si>
    <t>是一只帅气的深咖色的田园汪</t>
  </si>
  <si>
    <t>两只眼睛颜色不一样，很少见</t>
  </si>
  <si>
    <t>神采奕奕的金黄色眼睛</t>
  </si>
  <si>
    <t>拥有绿宝石一样的眼睛</t>
  </si>
  <si>
    <t>拥有湖水般的蓝色眼睛</t>
  </si>
  <si>
    <t>小眼睛是褐色的</t>
  </si>
  <si>
    <t>小眼睛是黑色的</t>
  </si>
  <si>
    <t>是穿着中筒袜的小猫咪</t>
  </si>
  <si>
    <t>全世界拥有手套最多的小猫咪</t>
  </si>
  <si>
    <t>有猫猫手套却没有猫猫脚套~</t>
  </si>
  <si>
    <t>腿上有内八花纹的小汪汪</t>
  </si>
  <si>
    <t>虽然小，但也是白手套</t>
  </si>
  <si>
    <t>拥有珍贵的黄色皮毛手套</t>
  </si>
  <si>
    <t>拥有珍贵的淡黑皮毛手套</t>
  </si>
  <si>
    <t>是穿着中筒袜的小汪汪</t>
  </si>
  <si>
    <t>拥有经典的白色小尾巴</t>
  </si>
  <si>
    <t>拥有经典的黑色小尾巴</t>
  </si>
  <si>
    <t>黄黑色的小尾巴看起来很威风</t>
  </si>
  <si>
    <t>咖色小尾巴看起来很威风</t>
  </si>
  <si>
    <t>是有媒婆痣的小猫咪</t>
  </si>
  <si>
    <t>嘴巴上有一抹腮红</t>
  </si>
  <si>
    <t>“我真的没有在皱眉头哦”</t>
  </si>
  <si>
    <t>是可可爱爱的西瓜头猫猫</t>
  </si>
  <si>
    <t>耳朵尖尖是黄色的</t>
  </si>
  <si>
    <t>耳朵尖尖是白色的</t>
  </si>
  <si>
    <t>耳朵尖尖是黑色的</t>
  </si>
  <si>
    <t>耳朵上有一小朵黄毛</t>
  </si>
  <si>
    <t>耳朵尖尖是咖啡色的</t>
  </si>
  <si>
    <t>眉毛像两颗小豆子</t>
  </si>
  <si>
    <t>眉毛是两个小圆点</t>
  </si>
  <si>
    <t>经典的眼罩刘海</t>
  </si>
  <si>
    <t>拥有小猴子刘海</t>
  </si>
  <si>
    <t>中分发型，十分典雅</t>
  </si>
  <si>
    <t>谁能拒绝刘海上的小心心呢</t>
  </si>
  <si>
    <t>胸前是一朵白白的小花</t>
  </si>
  <si>
    <t>穿着小v领上衣</t>
  </si>
  <si>
    <t>穿着大v领上衣</t>
  </si>
  <si>
    <t>不得了，穿着双v领上衣</t>
  </si>
  <si>
    <t>身上长着黄色的柔软毛毛</t>
  </si>
  <si>
    <t>身上长着奶白色的柔软毛毛</t>
  </si>
  <si>
    <t>身上长着咖啡色的柔软毛毛</t>
  </si>
  <si>
    <t>看起来是酷酷的小动物。</t>
  </si>
  <si>
    <t>是调皮的小机灵鬼。</t>
  </si>
  <si>
    <t>虎头虎脑的样子，只想着干饭。</t>
  </si>
  <si>
    <t>李泽言·心墙心澜</t>
  </si>
  <si>
    <t>李泽言·围城心澜</t>
  </si>
  <si>
    <t>李泽言·热望心澜</t>
  </si>
  <si>
    <t>李泽言·浮香心澜</t>
  </si>
  <si>
    <t>李泽言·猎行之时心澜</t>
  </si>
  <si>
    <t>李泽言·制胜时刻心澜</t>
  </si>
  <si>
    <t>李泽言·一眸之隔心澜</t>
  </si>
  <si>
    <t>李泽言·今夕景心澜</t>
  </si>
  <si>
    <t>李泽言·盛意满怀心澜</t>
  </si>
  <si>
    <t>李泽言·静谧晖光心澜</t>
  </si>
  <si>
    <t>李泽言·相遇转角心澜</t>
  </si>
  <si>
    <t>李泽言·漫言日长心澜</t>
  </si>
  <si>
    <t>李泽言·钟影阑珊心澜</t>
  </si>
  <si>
    <t>7419:7697:422:6678</t>
  </si>
  <si>
    <t>1289:1702:192:724</t>
  </si>
  <si>
    <t>李泽言·清朗好日心澜</t>
  </si>
  <si>
    <t>0,中秋活动限定</t>
    <phoneticPr fontId="71" type="noConversion"/>
  </si>
  <si>
    <t>2021/9/9 5:00</t>
    <phoneticPr fontId="71" type="noConversion"/>
  </si>
  <si>
    <t>橙蓝绿</t>
    <phoneticPr fontId="71" type="noConversion"/>
  </si>
  <si>
    <t>绿粉橙</t>
    <phoneticPr fontId="71" type="noConversion"/>
  </si>
  <si>
    <t>3|2|0|0|0|0|0|0|0</t>
    <phoneticPr fontId="71" type="noConversion"/>
  </si>
  <si>
    <t>0,来日方长活动限定</t>
    <phoneticPr fontId="71" type="noConversion"/>
  </si>
  <si>
    <t>李泽言·绯色秋夕</t>
    <phoneticPr fontId="71" type="noConversion"/>
  </si>
  <si>
    <t>许墨·灯寄人间</t>
    <phoneticPr fontId="71" type="noConversion"/>
  </si>
  <si>
    <t>此时此刻，你和漫天灯火一同落入我心底。</t>
  </si>
  <si>
    <t>周棋洛·星落满天</t>
    <phoneticPr fontId="71" type="noConversion"/>
  </si>
  <si>
    <t>夜幕中的繁星，因你变得熠熠发光。</t>
  </si>
  <si>
    <t>白起·秋夜灯火</t>
    <phoneticPr fontId="71" type="noConversion"/>
  </si>
  <si>
    <t>我想一起赏花灯的人，从来只有你。</t>
  </si>
  <si>
    <t>凌肖·荷香映月</t>
    <phoneticPr fontId="71" type="noConversion"/>
  </si>
  <si>
    <t>属于我们的星桥花火，当然得与众不同。</t>
  </si>
  <si>
    <t>1391,253,1</t>
    <phoneticPr fontId="71" type="noConversion"/>
  </si>
  <si>
    <t>1392,253,1</t>
    <phoneticPr fontId="71" type="noConversion"/>
  </si>
  <si>
    <t>2396,253,1</t>
    <phoneticPr fontId="71" type="noConversion"/>
  </si>
  <si>
    <t>2397,253,1</t>
    <phoneticPr fontId="71" type="noConversion"/>
  </si>
  <si>
    <t>3401,253,1</t>
    <phoneticPr fontId="71" type="noConversion"/>
  </si>
  <si>
    <t>3402,253,1</t>
    <phoneticPr fontId="71" type="noConversion"/>
  </si>
  <si>
    <t>4400,253,1</t>
    <phoneticPr fontId="71" type="noConversion"/>
  </si>
  <si>
    <t>4401,253,1</t>
    <phoneticPr fontId="71" type="noConversion"/>
  </si>
  <si>
    <t>6229,253,1</t>
    <phoneticPr fontId="71" type="noConversion"/>
  </si>
  <si>
    <t>6230,253,1</t>
    <phoneticPr fontId="71" type="noConversion"/>
  </si>
  <si>
    <t>0,星之奇遇活动限定</t>
    <phoneticPr fontId="71" type="noConversion"/>
  </si>
  <si>
    <t>绿橙蓝</t>
    <phoneticPr fontId="71" type="noConversion"/>
  </si>
  <si>
    <t>周棋洛单攻2</t>
    <phoneticPr fontId="71" type="noConversion"/>
  </si>
  <si>
    <t>163:74:4:180</t>
    <phoneticPr fontId="71" type="noConversion"/>
  </si>
  <si>
    <t>许墨·目之所及</t>
    <phoneticPr fontId="71" type="noConversion"/>
  </si>
  <si>
    <t>0,平凡一日活动限定</t>
    <phoneticPr fontId="71" type="noConversion"/>
  </si>
  <si>
    <t>橙粉绿</t>
    <phoneticPr fontId="71" type="noConversion"/>
  </si>
  <si>
    <t>粉绿蓝</t>
    <phoneticPr fontId="71" type="noConversion"/>
  </si>
  <si>
    <t>2021/9/28 5:00</t>
    <phoneticPr fontId="71" type="noConversion"/>
  </si>
  <si>
    <t>4614:10456:5299:1849</t>
  </si>
  <si>
    <t>616:1846:1179:267</t>
  </si>
  <si>
    <t>4790:9263:4147:4016</t>
  </si>
  <si>
    <t>1152:1784:592:380</t>
  </si>
  <si>
    <t>4429:7146:8793:1849</t>
  </si>
  <si>
    <t>606:1275:1759:267</t>
  </si>
  <si>
    <t>422:7421:7692:6679</t>
  </si>
  <si>
    <t>192:1290:1702:724</t>
  </si>
  <si>
    <t>1849:5533:9254:5579</t>
  </si>
  <si>
    <t>267:664:1783:1193</t>
  </si>
  <si>
    <t>422:6685:9071:6040</t>
  </si>
  <si>
    <t>192:1251:1774:690</t>
  </si>
  <si>
    <t>4150:5533:6314:6218</t>
  </si>
  <si>
    <t>387:664:1630:1227</t>
  </si>
  <si>
    <t>5344:6685:4147:6043</t>
  </si>
  <si>
    <t>654:1649:386:1218</t>
  </si>
  <si>
    <t>5348:5533:5299:6038</t>
  </si>
  <si>
    <t>654:1191:447:1615</t>
  </si>
  <si>
    <t>3966:10365:4147:3737</t>
  </si>
  <si>
    <t>582:1841:1119:365</t>
  </si>
  <si>
    <t>2589:9260:8518:1849</t>
  </si>
  <si>
    <t>510:1783:1347:267</t>
  </si>
  <si>
    <t>1849:5533:7874:6959</t>
  </si>
  <si>
    <t>267:664:1711:1265</t>
  </si>
  <si>
    <t>5251:7421:7694:1849</t>
  </si>
  <si>
    <t>649:1290:1702:267</t>
  </si>
  <si>
    <t>1849:1849:10640:7877</t>
  </si>
  <si>
    <t>411:220:1872:1402</t>
  </si>
  <si>
    <t>1849:4614:10456:5299</t>
  </si>
  <si>
    <t>267:616:1846:1179</t>
  </si>
  <si>
    <t>4016:4790:9263:4147</t>
  </si>
  <si>
    <t>380:1152:1784:592</t>
  </si>
  <si>
    <t>1849:4429:7146:8793</t>
  </si>
  <si>
    <t>267:606:1275:1759</t>
  </si>
  <si>
    <t>6040:422:6685:9071</t>
  </si>
  <si>
    <t>690:192:1251:1774</t>
  </si>
  <si>
    <t>5577:1849:5533:9256</t>
  </si>
  <si>
    <t>1193:267:664:1783</t>
  </si>
  <si>
    <t>6218:4150:5533:6314</t>
  </si>
  <si>
    <t>6043:5344:6685:4147</t>
  </si>
  <si>
    <t>1218:654:1649:386</t>
  </si>
  <si>
    <t>6679:422:7421:7692</t>
  </si>
  <si>
    <t>724:192:1290:1702</t>
  </si>
  <si>
    <t>6038:5348:5533:5299</t>
  </si>
  <si>
    <t>1615:654:1191:447</t>
  </si>
  <si>
    <t>1849:2589:9260:8518</t>
  </si>
  <si>
    <t>267:510:1783:1347</t>
  </si>
  <si>
    <t>6959:1849:5533:7874</t>
  </si>
  <si>
    <t>1265:267:664:1711</t>
  </si>
  <si>
    <t>1849:5251:7421:7694</t>
  </si>
  <si>
    <t>267:649:1290:1702</t>
  </si>
  <si>
    <t>3737:3966:10365:4147</t>
  </si>
  <si>
    <t>365:582:1841:1119</t>
  </si>
  <si>
    <t>0,颐和园活动限定</t>
    <phoneticPr fontId="71" type="noConversion"/>
  </si>
  <si>
    <t>李泽言·颐和园</t>
    <phoneticPr fontId="71" type="noConversion"/>
  </si>
  <si>
    <t>许墨·颐和园</t>
    <phoneticPr fontId="71" type="noConversion"/>
  </si>
  <si>
    <t>周棋洛·颐和园</t>
    <phoneticPr fontId="71" type="noConversion"/>
  </si>
  <si>
    <t>白起·颐和园</t>
    <phoneticPr fontId="71" type="noConversion"/>
  </si>
  <si>
    <t>凌肖·颐和园</t>
    <phoneticPr fontId="71" type="noConversion"/>
  </si>
  <si>
    <t>待定</t>
    <phoneticPr fontId="71" type="noConversion"/>
  </si>
  <si>
    <t>绿橙蓝</t>
    <phoneticPr fontId="71" type="noConversion"/>
  </si>
  <si>
    <t>橙蓝粉</t>
    <phoneticPr fontId="71" type="noConversion"/>
  </si>
  <si>
    <t>橙粉绿</t>
    <phoneticPr fontId="71" type="noConversion"/>
  </si>
  <si>
    <t>蓝粉橙</t>
    <phoneticPr fontId="71" type="noConversion"/>
  </si>
  <si>
    <t>粉绿蓝</t>
    <phoneticPr fontId="71" type="noConversion"/>
  </si>
  <si>
    <t>2021/9/20 5:00</t>
    <phoneticPr fontId="71" type="noConversion"/>
  </si>
  <si>
    <t>你让我的每一天都变得超级甜。</t>
    <phoneticPr fontId="71" type="noConversion"/>
  </si>
  <si>
    <t>鼓舞我向前的勇气，来自你的掌心。</t>
    <phoneticPr fontId="71" type="noConversion"/>
  </si>
  <si>
    <t>幻影之约</t>
    <phoneticPr fontId="71" type="noConversion"/>
  </si>
  <si>
    <t>周棋洛·偏宠之心</t>
    <phoneticPr fontId="71" type="noConversion"/>
  </si>
  <si>
    <t>周棋洛·喧嚣归宿</t>
    <phoneticPr fontId="71" type="noConversion"/>
  </si>
  <si>
    <t>千钧一发之际，周棋洛救下了我，而童乐也救下了他的伙伴，仪器停止了运作，危机宣告解除。而童乐心中被困锁住的那团火焰，我想也会重新燃烧起来。嗯，一定会的。</t>
    <phoneticPr fontId="71" type="noConversion"/>
  </si>
  <si>
    <t>受剧组邀请，我来到了《星之探险家》电影的片场探班，没想到在这里不仅见到了让我惊喜和意外的那个人，还经历了一场“奇妙”的冒险……</t>
    <phoneticPr fontId="71" type="noConversion"/>
  </si>
  <si>
    <t>受到童乐小朋友所在的剧组邀请，我前往《星之探险家》的片场探班，没想到居然在这里见到了周棋洛！他得意地表示他就是我的“惊喜”，并且要带我去看第二个惊喜……</t>
    <phoneticPr fontId="71" type="noConversion"/>
  </si>
  <si>
    <r>
      <t>全新的成像增幅仪结合</t>
    </r>
    <r>
      <rPr>
        <sz val="10.5"/>
        <color theme="1"/>
        <rFont val="Calibri"/>
        <family val="2"/>
      </rPr>
      <t>EVOL</t>
    </r>
    <r>
      <rPr>
        <sz val="10.5"/>
        <color theme="1"/>
        <rFont val="宋体"/>
        <family val="3"/>
        <charset val="134"/>
      </rPr>
      <t>居然可以让场景变得像真的一样！周棋洛在镜头下就好真的在和怪兽战斗一样！我正想再问问这项新技术时，忽然从片场一角传来了骚动……</t>
    </r>
    <phoneticPr fontId="71" type="noConversion"/>
  </si>
  <si>
    <t>明明在戏里是人见人爱的探险家“阿星”，戏外的童乐却被小朋友们所孤立了。看着导演一直不通过的片段，还有家长们的纷争，我和周棋洛都觉得不该是这样的。而就在这时，那台增幅仪忽然失控了！</t>
    <phoneticPr fontId="71" type="noConversion"/>
  </si>
  <si>
    <t>3407,253,1</t>
    <phoneticPr fontId="71" type="noConversion"/>
  </si>
  <si>
    <t>李泽言·至地平线</t>
    <phoneticPr fontId="71" type="noConversion"/>
  </si>
  <si>
    <t>我在意的，是流动的风景里不变的那个人。</t>
    <phoneticPr fontId="71" type="noConversion"/>
  </si>
  <si>
    <t>同时结束了繁忙的工作，我和李泽言请了年假，出门体验一次长途自驾游。下一站就是心心念念的沙漠了，要怎么计划才好呢……</t>
    <phoneticPr fontId="71" type="noConversion"/>
  </si>
  <si>
    <t>沙漠景区宣传册上的推荐项目令我跃跃欲试，本以为李泽言应该体验过，没想到他也是个“新手”，于是导游的身份落到了我的头上。</t>
    <phoneticPr fontId="71" type="noConversion"/>
  </si>
  <si>
    <t>玩了一天，疲惫地回到住处，却意外得知第二天即将迎来一场流星雨，李泽言同意和我一起露营去看。我们聊着聊着又拌起嘴来，但我知道，有他的纵容，也许我们很难产生真正的矛盾。</t>
    <phoneticPr fontId="71" type="noConversion"/>
  </si>
  <si>
    <t>前往露营地的路上导航突然失灵，我们只好通过传统方式找回路线。终于到了目的地，我看到一对新人在拍婚纱照，忽然有些感同身受——世界如此广阔，能与某人彼此依靠也足够浪漫。</t>
    <phoneticPr fontId="71" type="noConversion"/>
  </si>
  <si>
    <t>夜幕降临，那对新人来找我们聊天。新娘送给我一束特别的捧花，她将它视作来自家乡的祝福，送自己和爱人顺利走向远方。星空之下，我靠在李泽言身旁，感觉这份依偎也是一种底气，即使走得很远也不害怕。他回应我，只要两个人一起，去到哪里都可以。</t>
    <phoneticPr fontId="71" type="noConversion"/>
  </si>
  <si>
    <t>远行之约</t>
    <phoneticPr fontId="71" type="noConversion"/>
  </si>
  <si>
    <t>1164,252,1</t>
    <phoneticPr fontId="71" type="noConversion"/>
  </si>
  <si>
    <t>1393,253,1</t>
    <phoneticPr fontId="71" type="noConversion"/>
  </si>
  <si>
    <t>1165,252,1</t>
    <phoneticPr fontId="71" type="noConversion"/>
  </si>
  <si>
    <t>140489,251,1</t>
    <phoneticPr fontId="71" type="noConversion"/>
  </si>
  <si>
    <t>3409,253,1</t>
    <phoneticPr fontId="71" type="noConversion"/>
  </si>
  <si>
    <t>140490,251,1</t>
    <phoneticPr fontId="71" type="noConversion"/>
  </si>
  <si>
    <t>5259,253,1</t>
    <phoneticPr fontId="71" type="noConversion"/>
  </si>
  <si>
    <t>李泽言·专享时限</t>
    <phoneticPr fontId="71" type="noConversion"/>
  </si>
  <si>
    <t>0,21年10月签到奖励</t>
    <phoneticPr fontId="71" type="noConversion"/>
  </si>
  <si>
    <t>2021/10/1 5:00</t>
    <phoneticPr fontId="71" type="noConversion"/>
  </si>
  <si>
    <t>我的时间都是你的，不用精打细算。</t>
    <phoneticPr fontId="71" type="noConversion"/>
  </si>
  <si>
    <t>最亮的这盏许愿灯烛，属于某个笨蛋。</t>
    <phoneticPr fontId="71" type="noConversion"/>
  </si>
  <si>
    <t>1404,253,1</t>
    <phoneticPr fontId="71" type="noConversion"/>
  </si>
  <si>
    <t>1405,253,1</t>
    <phoneticPr fontId="71" type="noConversion"/>
  </si>
  <si>
    <t>白起·疾驰之风</t>
    <phoneticPr fontId="71" type="noConversion"/>
  </si>
  <si>
    <t>冠军和荣耀，都属于我们。</t>
    <phoneticPr fontId="71" type="noConversion"/>
  </si>
  <si>
    <t>为了拍摄一项摩托赛车节目，我组成了一支临时的车队。没想到，在拍摄当天，竟然出现了一名神秘的“替补选手”……</t>
    <phoneticPr fontId="71" type="noConversion"/>
  </si>
  <si>
    <t>夺冠之约</t>
    <phoneticPr fontId="71" type="noConversion"/>
  </si>
  <si>
    <t>和市体局合作的节目录制迫在眉睫，我在忙碌的工作中收到了一月未见的白起的电话，他或许能帮我减缓压力。但再三犹豫后，我还是没有把自己的麻烦告诉白起……</t>
    <phoneticPr fontId="71" type="noConversion"/>
  </si>
  <si>
    <t>韩野临时给我的车队安排了替补队员，而替补队员竟然是白起！我惊讶之余又有些心虚。几日的不规律作息让我有些精神不佳，偷偷买黑咖啡的时候，被白起捉了现行，并一把抱起……</t>
    <phoneticPr fontId="71" type="noConversion"/>
  </si>
  <si>
    <t>因为刘哥的意外受伤，白起成为正式队员。随着集训的推进，我的拍摄也出现了一些问题。就在我焦躁不安的时候，白起提出要带着我深夜兜风，亲自体会一下赛车的感觉。</t>
    <phoneticPr fontId="71" type="noConversion"/>
  </si>
  <si>
    <t>和白起一同体验的赛道疾驰后，我明白了夺冠才是竞技的核心。比赛当日赛况焦灼，白起突破万难夺得冠军。他说因为有我，才有了更多的勇气和力量，对我来说，他的存在也同样给了我支撑与希望。</t>
    <phoneticPr fontId="71" type="noConversion"/>
  </si>
  <si>
    <t>2021/10/26 5:00</t>
    <phoneticPr fontId="71" type="noConversion"/>
  </si>
  <si>
    <t>0,星河印象活动限定</t>
    <phoneticPr fontId="71" type="noConversion"/>
  </si>
  <si>
    <t>白起·硝烟以外</t>
    <phoneticPr fontId="71" type="noConversion"/>
  </si>
  <si>
    <t>李泽言·摇摇欲坠</t>
    <phoneticPr fontId="71" type="noConversion"/>
  </si>
  <si>
    <t>许墨·灰色错觉</t>
    <phoneticPr fontId="71" type="noConversion"/>
  </si>
  <si>
    <t>周棋洛·奔赴予你</t>
    <phoneticPr fontId="71" type="noConversion"/>
  </si>
  <si>
    <t>任何你想抵达的地方，我都会带你前往。</t>
    <phoneticPr fontId="71" type="noConversion"/>
  </si>
  <si>
    <t>我想带着最好看的笑容，来见你。</t>
  </si>
  <si>
    <t>1166,252,1</t>
    <phoneticPr fontId="71" type="noConversion"/>
  </si>
  <si>
    <t>2160,252,1</t>
    <phoneticPr fontId="71" type="noConversion"/>
  </si>
  <si>
    <t>3159,252,1</t>
    <phoneticPr fontId="71" type="noConversion"/>
  </si>
  <si>
    <t>4163,252,1</t>
    <phoneticPr fontId="71" type="noConversion"/>
  </si>
  <si>
    <t>1167,252,1</t>
    <phoneticPr fontId="71" type="noConversion"/>
  </si>
  <si>
    <t>2161,252,1</t>
    <phoneticPr fontId="71" type="noConversion"/>
  </si>
  <si>
    <t>3160,252,1</t>
    <phoneticPr fontId="71" type="noConversion"/>
  </si>
  <si>
    <t>4164,252,1</t>
    <phoneticPr fontId="71" type="noConversion"/>
  </si>
  <si>
    <t>1406,253,1</t>
    <phoneticPr fontId="71" type="noConversion"/>
  </si>
  <si>
    <t>2409,253,1</t>
    <phoneticPr fontId="71" type="noConversion"/>
  </si>
  <si>
    <t>3416,253,1</t>
    <phoneticPr fontId="71" type="noConversion"/>
  </si>
  <si>
    <t>4412,253,1</t>
    <phoneticPr fontId="71" type="noConversion"/>
  </si>
  <si>
    <t>我从不预留无谓的退路。</t>
  </si>
  <si>
    <t>map:int</t>
    <phoneticPr fontId="71" type="noConversion"/>
  </si>
  <si>
    <t>int</t>
    <phoneticPr fontId="71" type="noConversion"/>
  </si>
  <si>
    <t>slice</t>
    <phoneticPr fontId="71" type="noConversion"/>
  </si>
  <si>
    <t>string</t>
    <phoneticPr fontId="71" type="noConversion"/>
  </si>
  <si>
    <t>date</t>
    <phoneticPr fontId="71" type="noConversion"/>
  </si>
  <si>
    <t>list:int</t>
    <phoneticPr fontId="71" type="noConversion"/>
  </si>
  <si>
    <t>bool</t>
    <phoneticPr fontId="71" type="noConversion"/>
  </si>
  <si>
    <t>#</t>
    <phoneticPr fontId="71" type="noConversion"/>
  </si>
  <si>
    <t>lan</t>
    <phoneticPr fontId="71" type="noConversion"/>
  </si>
  <si>
    <t>表头说明</t>
    <phoneticPr fontId="71" type="noConversion"/>
  </si>
  <si>
    <t>数据类型</t>
    <phoneticPr fontId="71" type="noConversion"/>
  </si>
  <si>
    <t>csv非主键</t>
    <phoneticPr fontId="71" type="noConversion"/>
  </si>
  <si>
    <t>csv主键</t>
    <phoneticPr fontId="71" type="noConversion"/>
  </si>
  <si>
    <t>整数</t>
    <phoneticPr fontId="71" type="noConversion"/>
  </si>
  <si>
    <t>字符串</t>
    <phoneticPr fontId="71" type="noConversion"/>
  </si>
  <si>
    <t>需翻译字符串</t>
    <phoneticPr fontId="71" type="noConversion"/>
  </si>
  <si>
    <t>该类型用“;”分隔items</t>
    <phoneticPr fontId="71" type="noConversion"/>
  </si>
  <si>
    <t>类型说明</t>
    <phoneticPr fontId="71" type="noConversion"/>
  </si>
  <si>
    <t>该类型用“,”分隔三元组</t>
    <phoneticPr fontId="71" type="noConversion"/>
  </si>
  <si>
    <t>（最常用）该类型用“:”分隔item</t>
    <phoneticPr fontId="71" type="noConversion"/>
  </si>
  <si>
    <t>float</t>
    <phoneticPr fontId="71" type="noConversion"/>
  </si>
  <si>
    <t>小数</t>
    <phoneticPr fontId="71" type="noConversion"/>
  </si>
  <si>
    <t>用于分隔多个整数，分割符为 ":" 或 ";"或"|"</t>
    <phoneticPr fontId="71" type="noConversion"/>
  </si>
  <si>
    <t>basedrop</t>
    <phoneticPr fontId="71" type="noConversion"/>
  </si>
  <si>
    <t>basedrops</t>
    <phoneticPr fontId="71" type="noConversion"/>
  </si>
  <si>
    <t>该类型用“;”分隔basedrop</t>
    <phoneticPr fontId="71" type="noConversion"/>
  </si>
  <si>
    <t>概率，格式为id,type,num|rate</t>
    <phoneticPr fontId="71" type="noConversion"/>
  </si>
  <si>
    <t>空或0为False，其他为True</t>
    <phoneticPr fontId="71" type="noConversion"/>
  </si>
  <si>
    <t>int64</t>
    <phoneticPr fontId="71" type="noConversion"/>
  </si>
  <si>
    <t>uint</t>
    <phoneticPr fontId="71" type="noConversion"/>
  </si>
  <si>
    <t>uint64</t>
    <phoneticPr fontId="71" type="noConversion"/>
  </si>
  <si>
    <t>float64</t>
    <phoneticPr fontId="71" type="noConversion"/>
  </si>
  <si>
    <t>#用于标记不需要导出的表（填第二行不导出csv文件，填第三行不导出lua文件</t>
    <phoneticPr fontId="71" type="noConversion"/>
  </si>
  <si>
    <t>格式说明</t>
    <phoneticPr fontId="71" type="noConversion"/>
  </si>
  <si>
    <t>第1行</t>
    <phoneticPr fontId="71" type="noConversion"/>
  </si>
  <si>
    <t>第2行</t>
  </si>
  <si>
    <t>第3行</t>
  </si>
  <si>
    <t>第4行</t>
  </si>
  <si>
    <t>客户端类型，需要导出lua的字段填写类型</t>
    <phoneticPr fontId="71" type="noConversion"/>
  </si>
  <si>
    <t>服务器类型，需要导出csv的字段填写类型</t>
    <phoneticPr fontId="71" type="noConversion"/>
  </si>
  <si>
    <t>你存在于我任何始料未及的瞬间。</t>
  </si>
  <si>
    <t>许墨·秋情难却</t>
    <phoneticPr fontId="71" type="noConversion"/>
  </si>
  <si>
    <t>你身上，有我对这个秋天所有的眷恋。</t>
    <phoneticPr fontId="71" type="noConversion"/>
  </si>
  <si>
    <t>暇光之约</t>
    <phoneticPr fontId="71" type="noConversion"/>
  </si>
  <si>
    <t>久违地拥有了一个和许墨同步的周末，我们在家玩起了最近很流行的“不心动挑战”……</t>
    <phoneticPr fontId="71" type="noConversion"/>
  </si>
  <si>
    <t>因为悦悦的视频分享，我和许墨讨论起了最近网络上流行的“不心动挑战”。我提议我们两个进行一次挑战，许墨说，对他而言最容易失败的“不心动挑战”就在面前……</t>
    <phoneticPr fontId="71" type="noConversion"/>
  </si>
  <si>
    <t>看到挑战视频中的特工角色时，我不由地想到了许墨在这个装扮下的模样，无法克制地露出了笑意。许墨看到我的笑，因此露出了一丝微妙的表情……糟了，他不会是误会我了吧？</t>
    <phoneticPr fontId="71" type="noConversion"/>
  </si>
  <si>
    <t>我向许墨解释了自己心动的缘由，并告诉他我觉得他才是最好看的。许墨说这大概是因为我对他产生了“晕轮效应”。想到许墨的挑战，我突发奇想地给他戴上了可以记录心跳的智能手表……</t>
    <phoneticPr fontId="71" type="noConversion"/>
  </si>
  <si>
    <t>果然，我还是没能成功看到许墨心动的模样。但只要能跟他一起享受这闲适的一天，挑战游戏的结果如何，都没关系啦。不过许墨这个大忙人果然还是收到了工作的电话电话。看到他认真的模样，我忍不住向他靠近……</t>
    <phoneticPr fontId="71" type="noConversion"/>
  </si>
  <si>
    <t>许墨·破局秋情难却</t>
  </si>
  <si>
    <t>许墨·陷落秋情难却</t>
  </si>
  <si>
    <t>许墨·雨幕秋情难却</t>
  </si>
  <si>
    <t>许墨·拟扣心门秋情难却</t>
  </si>
  <si>
    <t>许墨·落日余温秋情难却</t>
  </si>
  <si>
    <t>许墨·断线秋情难却</t>
  </si>
  <si>
    <t>许墨·自深深处秋情难却</t>
  </si>
  <si>
    <t>许墨·梦仙林秋情难却</t>
  </si>
  <si>
    <t>许墨·独享况味秋情难却</t>
  </si>
  <si>
    <t>许墨·私藏暇光秋情难却</t>
  </si>
  <si>
    <t>许墨·人潮漫卷秋情难却</t>
  </si>
  <si>
    <t>许墨·心窍秋情难却</t>
  </si>
  <si>
    <t>许墨·萌趣印迹秋情难却</t>
  </si>
  <si>
    <t>白起·风起时疾驰之风</t>
  </si>
  <si>
    <t>白起·锋刃疾驰之风</t>
  </si>
  <si>
    <t>白起·长夜星火疾驰之风</t>
  </si>
  <si>
    <t>白起·灿烂之年疾驰之风</t>
  </si>
  <si>
    <t>白起·无畏疾驰之风</t>
  </si>
  <si>
    <t>白起·留白心绪疾驰之风</t>
  </si>
  <si>
    <t>白起·隐夜疾驰之风</t>
  </si>
  <si>
    <t>白起·醉行歌疾驰之风</t>
  </si>
  <si>
    <t>白起·斑驳印记疾驰之风</t>
  </si>
  <si>
    <t>白起·私人记号疾驰之风</t>
  </si>
  <si>
    <t>白起·银河来信疾驰之风</t>
  </si>
  <si>
    <t>白起·炽盛疾驰之风</t>
  </si>
  <si>
    <t>白起·跃晴疾驰之风</t>
  </si>
  <si>
    <t>白起·深浅兴味疾驰之风</t>
  </si>
  <si>
    <t>特别说明</t>
    <phoneticPr fontId="71" type="noConversion"/>
  </si>
  <si>
    <t>（用于判断原表是2行还是3行标题）</t>
    <phoneticPr fontId="71" type="noConversion"/>
  </si>
  <si>
    <t>字段名（和excel保持一致）</t>
    <phoneticPr fontId="71" type="noConversion"/>
  </si>
  <si>
    <t>字段描述（和excel保持一致）</t>
    <phoneticPr fontId="71" type="noConversion"/>
  </si>
  <si>
    <t>字段名和字段描述一定要和原excel一样</t>
    <phoneticPr fontId="71" type="noConversion"/>
  </si>
  <si>
    <t>服务器类型填写步骤</t>
  </si>
  <si>
    <t>Design\server_tool_exe\excel_export_path下查看是否有json文件，json里可查看服务器所用字段及数据类型</t>
  </si>
  <si>
    <t>*根据type决定index字段是map还是list</t>
  </si>
  <si>
    <t>Design\server_tool_exe\serverconfig下查看是否有csv文件，csv内可查看服务器所用字段，根据字段内容猜测数据类型</t>
  </si>
  <si>
    <t>没有csv文件时，除activity_开头的表外，其他文件无csv则说明服务器不导出该表，A2单元格内填#</t>
  </si>
  <si>
    <t>客户端类型填写步骤</t>
  </si>
  <si>
    <t>Assets\Lua下查看是否有lua文件，如果没有则说明客户端不导出该表，A3单元格内填#</t>
  </si>
  <si>
    <t>有lua文件的则查看字段描述，如果字段描述没有加上[hide]，说明该字段需导出</t>
  </si>
  <si>
    <t>*服务器导出该字段的，配置与服务器相同的数据类型</t>
  </si>
  <si>
    <t>*服务器不导出该字段的，根据内容猜测数据类型</t>
  </si>
  <si>
    <t>*部分字段描述上有类似[key1]的，则客户端类型填：key1,int</t>
  </si>
  <si>
    <t>*部分字段描述上有[hide]的，客户端不需要导出该字段</t>
  </si>
  <si>
    <t>2413,253,1</t>
    <phoneticPr fontId="71" type="noConversion"/>
  </si>
  <si>
    <t>4416,253,1</t>
    <phoneticPr fontId="71" type="noConversion"/>
  </si>
  <si>
    <t>2162,252,1</t>
    <phoneticPr fontId="71" type="noConversion"/>
  </si>
  <si>
    <t>4165,252,1</t>
    <phoneticPr fontId="71" type="noConversion"/>
  </si>
  <si>
    <t>2158,252,1</t>
    <phoneticPr fontId="71" type="noConversion"/>
  </si>
  <si>
    <t>2021/10/12 5:00</t>
    <phoneticPr fontId="71" type="noConversion"/>
  </si>
  <si>
    <t>2401,253,1</t>
    <phoneticPr fontId="71" type="noConversion"/>
  </si>
  <si>
    <t>2159,252,1</t>
    <phoneticPr fontId="71" type="noConversion"/>
  </si>
  <si>
    <t>在我被工作窒息包围的一天，无意中和许墨在地铁上相遇。他似乎发现了我现在不太对的状态，在我准备下地铁时，将我拦了下来……</t>
    <phoneticPr fontId="71" type="noConversion"/>
  </si>
  <si>
    <t>最近我负责了一个S+级别的合作项目，这个必须成功和完美的节目给我带来了不少的压力。我疲惫地坐在了地铁上，想象自己遇见许墨的场景，直到他的手抚到了我的脸上，我才意识到许墨真的出现在了我的面前。</t>
    <phoneticPr fontId="71" type="noConversion"/>
  </si>
  <si>
    <t>在我到站正准备下车时，许墨拦住了我。那一刻，我竟感觉松了口气。我选择了一个他给出的随机数，跟着他一起在一个陌生的站台下了车，走出了地铁站。阳光有些刺眼，却很温暖。</t>
    <phoneticPr fontId="71" type="noConversion"/>
  </si>
  <si>
    <t>我们漫无目的地走着，在散步的路上我和许墨讨论起关于工作的问题。最后我们坐在一个公交站那里，我安静感慨着那些因为沉迷工作而忽视的风景，此时一辆双层公交停在了我们面前。</t>
    <phoneticPr fontId="71" type="noConversion"/>
  </si>
  <si>
    <t>我们坐在公交上，完全不知道目的地是哪里，但我却很安心，因为许墨在这里。我想在奔向终点的道路上，他始终都在我身边，陪我一起寻找各种问题的答案。</t>
    <phoneticPr fontId="71" type="noConversion"/>
  </si>
  <si>
    <t>E:\evol_release_210928_2019</t>
    <phoneticPr fontId="71" type="noConversion"/>
  </si>
  <si>
    <t>item/baseitem</t>
    <phoneticPr fontId="71" type="noConversion"/>
  </si>
  <si>
    <t>items/baseitems</t>
    <phoneticPr fontId="71" type="noConversion"/>
  </si>
  <si>
    <t>itemsinfos/baseitemsinfos</t>
    <phoneticPr fontId="71" type="noConversion"/>
  </si>
  <si>
    <t>格式为用换行分隔的多组：概率:三元组</t>
    <phoneticPr fontId="71" type="noConversion"/>
  </si>
  <si>
    <t>时间，可填-1</t>
    <phoneticPr fontId="71" type="noConversion"/>
  </si>
  <si>
    <t>D:\SVN\BossLove111\evol_release_210928_2019111</t>
    <phoneticPr fontId="71" type="noConversion"/>
  </si>
  <si>
    <t>0,21年11月签到奖励</t>
    <phoneticPr fontId="71" type="noConversion"/>
  </si>
  <si>
    <t>2021/11/1 5:00</t>
    <phoneticPr fontId="71" type="noConversion"/>
  </si>
  <si>
    <t>白起单攻1</t>
    <phoneticPr fontId="71" type="noConversion"/>
  </si>
  <si>
    <t>李泽言防御2</t>
    <phoneticPr fontId="71" type="noConversion"/>
  </si>
  <si>
    <t>周棋洛控场2</t>
    <phoneticPr fontId="71" type="noConversion"/>
  </si>
  <si>
    <t>绿蓝橙</t>
    <phoneticPr fontId="71" type="noConversion"/>
  </si>
  <si>
    <t>橙粉蓝</t>
    <phoneticPr fontId="71" type="noConversion"/>
  </si>
  <si>
    <t>李泽言群攻1</t>
    <phoneticPr fontId="71" type="noConversion"/>
  </si>
  <si>
    <t>许墨单攻1</t>
    <phoneticPr fontId="71" type="noConversion"/>
  </si>
  <si>
    <t>周棋洛防御1</t>
    <phoneticPr fontId="71" type="noConversion"/>
  </si>
  <si>
    <t>白起控场1</t>
    <phoneticPr fontId="71" type="noConversion"/>
  </si>
  <si>
    <t>周棋洛·迷藏BP</t>
  </si>
  <si>
    <t>2310:1574:8158:10177</t>
  </si>
  <si>
    <t>459:224:1384:1831</t>
  </si>
  <si>
    <t>周棋洛·假象BP</t>
  </si>
  <si>
    <t>4477:422:8334:8984</t>
  </si>
  <si>
    <t>609:192:1337:1769</t>
  </si>
  <si>
    <t>周棋洛·梦想起点BP</t>
  </si>
  <si>
    <t>2310:5068:7973:6867</t>
  </si>
  <si>
    <t>291:640:1716:1261</t>
  </si>
  <si>
    <t>周棋洛·快乐供应BP</t>
  </si>
  <si>
    <t>6040:5529:5393:5254</t>
  </si>
  <si>
    <t>1615:1191:657:444</t>
  </si>
  <si>
    <t>周棋洛·光的缝隙BP</t>
  </si>
  <si>
    <t>6501:5346:3966:6406</t>
  </si>
  <si>
    <t>1639:654:377:1236</t>
  </si>
  <si>
    <t>周棋洛·注目BP</t>
  </si>
  <si>
    <t>6679:2589:7694:5254</t>
  </si>
  <si>
    <t>1251:305:1702:649</t>
  </si>
  <si>
    <t>周棋洛·倾音BP</t>
  </si>
  <si>
    <t>2310:3969:8795:7142</t>
  </si>
  <si>
    <t>291:582:1759:1275</t>
  </si>
  <si>
    <t>周棋洛·欲忘言BP</t>
  </si>
  <si>
    <t>6504:422:8888:6406</t>
  </si>
  <si>
    <t>1242:192:1764:709</t>
  </si>
  <si>
    <t>周棋洛·心动节拍BP</t>
  </si>
  <si>
    <t>6499:1574:8892:5254</t>
  </si>
  <si>
    <t>1241:252:1764:649</t>
  </si>
  <si>
    <t>周棋洛·美妙一瞬BP</t>
  </si>
  <si>
    <t>2310:4150:5393:10363</t>
  </si>
  <si>
    <t>291:592:1184:1841</t>
  </si>
  <si>
    <t>周棋洛·满分拥抱BP</t>
  </si>
  <si>
    <t>7140:3967:3966:7142</t>
  </si>
  <si>
    <t>1275:582:377:1673</t>
  </si>
  <si>
    <t>周棋洛·追光BP</t>
  </si>
  <si>
    <t>7420:4149:5393:5254</t>
  </si>
  <si>
    <t>1687:387:1184:649</t>
  </si>
  <si>
    <t>周棋洛·阳光盛惠BP</t>
  </si>
  <si>
    <t>2310:4793:6133:8981</t>
  </si>
  <si>
    <t>291:625:1222:1769</t>
  </si>
  <si>
    <t>周棋洛·飞行岛屿BP</t>
  </si>
  <si>
    <t>3737:4147:3966:10365</t>
  </si>
  <si>
    <t>365:1119:582:1841</t>
  </si>
  <si>
    <t>E:\switch</t>
    <phoneticPr fontId="71" type="noConversion"/>
  </si>
  <si>
    <t>itemsdropinfos</t>
    <phoneticPr fontId="71" type="noConversion"/>
  </si>
  <si>
    <t>特殊表</t>
    <phoneticPr fontId="71" type="noConversion"/>
  </si>
  <si>
    <t>特殊类型</t>
    <phoneticPr fontId="71" type="noConversion"/>
  </si>
  <si>
    <t>story_parallel_world.xlsx</t>
    <phoneticPr fontId="71" type="noConversion"/>
  </si>
  <si>
    <t>story.xlsx</t>
    <phoneticPr fontId="71" type="noConversion"/>
  </si>
  <si>
    <t>story_bubble.xlsx</t>
    <phoneticPr fontId="71" type="noConversion"/>
  </si>
  <si>
    <t>story_game.xlsx</t>
    <phoneticPr fontId="71" type="noConversion"/>
  </si>
  <si>
    <t>pet_goods_game.xlsx</t>
    <phoneticPr fontId="71" type="noConversion"/>
  </si>
  <si>
    <t>掀盖式厕所</t>
  </si>
  <si>
    <t>电动式厕所</t>
  </si>
  <si>
    <t>猫小花饭盆</t>
  </si>
  <si>
    <t>双黄喵饭盆</t>
  </si>
  <si>
    <t>躺椅床屋</t>
  </si>
  <si>
    <t>小鸡逗猫棒</t>
  </si>
  <si>
    <t>奶酪逗猫棒</t>
  </si>
  <si>
    <t>蜜蜂逗猫棒</t>
  </si>
  <si>
    <t>鲸鱼爬架</t>
  </si>
  <si>
    <t>夜空爬架</t>
  </si>
  <si>
    <t>剧毒蘑菇爬架</t>
  </si>
  <si>
    <t>花园爬架</t>
    <phoneticPr fontId="71" type="noConversion"/>
  </si>
  <si>
    <t>周天逗猫棒</t>
  </si>
  <si>
    <t>豆荚床屋</t>
  </si>
  <si>
    <t>鸡布丁饭盆</t>
  </si>
  <si>
    <t>清香开放式厕所</t>
  </si>
  <si>
    <t>竹蜻蜓草帽</t>
  </si>
  <si>
    <t>粉粉翅膀眼镜</t>
  </si>
  <si>
    <t>小包袱</t>
  </si>
  <si>
    <t>蕾丝珍珠围兜</t>
  </si>
  <si>
    <t>蝴蝶结发卡</t>
  </si>
  <si>
    <t>家具</t>
    <phoneticPr fontId="71" type="noConversion"/>
  </si>
  <si>
    <t>服饰</t>
    <phoneticPr fontId="71" type="noConversion"/>
  </si>
  <si>
    <t>紫色幻彩翅膀</t>
    <phoneticPr fontId="71" type="noConversion"/>
  </si>
  <si>
    <t>0,圣祈之音活动限定</t>
    <phoneticPr fontId="71" type="noConversion"/>
  </si>
  <si>
    <t>除了你，没有人在我心里到达了这么远的地方。</t>
    <phoneticPr fontId="71" type="noConversion"/>
  </si>
  <si>
    <t>停滞之约</t>
    <phoneticPr fontId="71" type="noConversion"/>
  </si>
  <si>
    <t>白起·精力汪盛</t>
    <phoneticPr fontId="71" type="noConversion"/>
  </si>
  <si>
    <t>你的信任，我全收下了。</t>
  </si>
  <si>
    <t>李泽言·味知期待</t>
    <phoneticPr fontId="71" type="noConversion"/>
  </si>
  <si>
    <t>0,人间寄味活动限定</t>
    <phoneticPr fontId="71" type="noConversion"/>
  </si>
  <si>
    <t>甜度超标，说的是某个笨蛋，不是点心。</t>
  </si>
  <si>
    <t>许墨·必胜蜜诀</t>
    <phoneticPr fontId="71" type="noConversion"/>
  </si>
  <si>
    <t>你的糕点和故事，都值得我用心品味。</t>
  </si>
  <si>
    <t>周棋洛·一面俱全</t>
    <phoneticPr fontId="71" type="noConversion"/>
  </si>
  <si>
    <t>我最喜欢的味道，跟你分一半！</t>
  </si>
  <si>
    <t>白起·美食每刻</t>
    <phoneticPr fontId="71" type="noConversion"/>
  </si>
  <si>
    <t>不用担心吃不完，有我。</t>
  </si>
  <si>
    <t>凌肖·余味夹倍</t>
    <phoneticPr fontId="71" type="noConversion"/>
  </si>
  <si>
    <t>有纠结口味的工夫，不如全都点个遍。</t>
  </si>
  <si>
    <t>是否去重</t>
    <phoneticPr fontId="71" type="noConversion"/>
  </si>
  <si>
    <t>总权重</t>
    <phoneticPr fontId="71" type="noConversion"/>
  </si>
  <si>
    <t>2021/11/10 5:00</t>
    <phoneticPr fontId="71" type="noConversion"/>
  </si>
  <si>
    <t>粉橙绿</t>
    <phoneticPr fontId="71" type="noConversion"/>
  </si>
  <si>
    <t>许墨控场2</t>
    <phoneticPr fontId="71" type="noConversion"/>
  </si>
  <si>
    <t>许墨群攻1</t>
    <phoneticPr fontId="71" type="noConversion"/>
  </si>
  <si>
    <t>蓝粉橙</t>
    <phoneticPr fontId="71" type="noConversion"/>
  </si>
  <si>
    <t>李泽言·暗翼之牢</t>
    <phoneticPr fontId="71" type="noConversion"/>
  </si>
  <si>
    <t>许墨·锢桎之界</t>
    <phoneticPr fontId="71" type="noConversion"/>
  </si>
  <si>
    <t>爱才是锁困住魂灵的枷锁。</t>
    <phoneticPr fontId="71" type="noConversion"/>
  </si>
  <si>
    <t>周棋洛·辉光之颂</t>
    <phoneticPr fontId="71" type="noConversion"/>
  </si>
  <si>
    <t>白起·白羽之烬</t>
    <phoneticPr fontId="71" type="noConversion"/>
  </si>
  <si>
    <t>有关我的一切，不需要别人来审判。</t>
  </si>
  <si>
    <t>你眼前的，就是这个世界的法则。</t>
  </si>
  <si>
    <t>即使前方满是荆棘，我也会拥抱你。</t>
  </si>
  <si>
    <t>1168,252,1</t>
    <phoneticPr fontId="71" type="noConversion"/>
  </si>
  <si>
    <t>1169,252,1</t>
    <phoneticPr fontId="71" type="noConversion"/>
  </si>
  <si>
    <t>1411,253,1</t>
    <phoneticPr fontId="71" type="noConversion"/>
  </si>
  <si>
    <t>2415,253,1</t>
    <phoneticPr fontId="71" type="noConversion"/>
  </si>
  <si>
    <t>3421,253,1</t>
    <phoneticPr fontId="71" type="noConversion"/>
  </si>
  <si>
    <t>4418,253,1</t>
    <phoneticPr fontId="71" type="noConversion"/>
  </si>
  <si>
    <t>2165,252,1</t>
    <phoneticPr fontId="71" type="noConversion"/>
  </si>
  <si>
    <t>2166,252,1</t>
    <phoneticPr fontId="71" type="noConversion"/>
  </si>
  <si>
    <t>3161,252,1</t>
    <phoneticPr fontId="71" type="noConversion"/>
  </si>
  <si>
    <t>3162,252,1</t>
    <phoneticPr fontId="71" type="noConversion"/>
  </si>
  <si>
    <t>4166,252,1</t>
    <phoneticPr fontId="71" type="noConversion"/>
  </si>
  <si>
    <t>4167,252,1</t>
    <phoneticPr fontId="71" type="noConversion"/>
  </si>
  <si>
    <t>我的翅膀不知道因为什么原因，被染黑了。就在我只身前往天界的禁地寻找原因时，却意外遇见了光天使周棋洛。我问他来到这里的原因，他却说是来抓我的……</t>
    <phoneticPr fontId="71" type="noConversion"/>
  </si>
  <si>
    <t>作为审判天使，我接到了神的命令，要去将已经堕落成为恶魔的白起的双翼斩断，可见到白起后，我却发现，他虽然翅膀是黑的，身上却闻不到任何恶魔的气息……</t>
    <phoneticPr fontId="71" type="noConversion"/>
  </si>
  <si>
    <t>我在费米涅罗已经居住了半年，本应该审判白起，却在和他日复一日的相处中渐渐迷失了原本的任务，直到天穹派来天使提醒我，我不得不对白起进行最后的审判。</t>
    <phoneticPr fontId="71" type="noConversion"/>
  </si>
  <si>
    <t>白起的翅膀为何缠绕着奇怪的火焰符文，这和他的堕落有关吗，我想弄清楚这一切，前往白起家时却被恶魔模样的他强硬对待。</t>
    <phoneticPr fontId="71" type="noConversion"/>
  </si>
  <si>
    <t>我潜入天穹查到了白起翅膀的真相，却差点被神院的巡逻天使发现，情急之下白起忽然出现带我离开，我告诉他我愿意接替他的职责与痛苦，可他却坚定地拒绝了。</t>
    <phoneticPr fontId="71" type="noConversion"/>
  </si>
  <si>
    <t>我重返天穹，查到了解除火焰符文的办法，即使代价是从此成为罪恶的牢笼，我也愿意为了白起这么做，就在我因为代价而痛苦不堪的时候，白起拯救了我。</t>
    <phoneticPr fontId="71" type="noConversion"/>
  </si>
  <si>
    <t>我为了找回希望之种潜入魔界，发现“意外”落入我陷阱中的恶魔李泽言，居然就是失踪已久的总领天使……</t>
  </si>
  <si>
    <t>以恶魔拍卖会的拍品为幌子，我成功潜入了李泽言的身边。与他独处时，我设计用锁链将他束缚了起来，试图拷问出希望之种的下落。</t>
  </si>
  <si>
    <t>让我意外的是，李泽言早已看穿了我的陷阱，而他居然就是失踪已久的总领天使……为了争取留下的机会，我与李泽言约定，要用一个月的时间通过他的考核，证明自己的能力。</t>
  </si>
  <si>
    <t>穿透重重迷雾，我与李泽言到达了藏匿希望之种的塔楼。然而我们发现要取回希望之种，必须有人以染黑翅膀为代价，再也无法回到天堂……</t>
  </si>
  <si>
    <t>神交付了我一项重任——看守一位名叫许墨的叛神罪人。可我第一次遇见许墨时，却发现自己的心没有缘由地隐隐作痛，这究竟是为什么会这样……？</t>
  </si>
  <si>
    <t>我看着面前被关押的许墨，向他郑重地宣布了他接下来的命运——在他承受为期一个月的神罚后，以裁决的方式结束生命。可就在他向我靠近的时候，我的心没有缘由地刺痛了一下。</t>
  </si>
  <si>
    <t>但每当看到他受到神罚的样子，我的心像是被撕裂了一般疼痛着，我不知道自己为什么会这样，但内心里却又一道声音在呐喊：我不希望他受到伤害，一点也不希望……</t>
  </si>
  <si>
    <t>在李泽言的教导下，我如期通过了考核。恶魔集会这晚，我与李泽言趁乱离开，进入了藏匿希望之种的恶魔的领地……</t>
  </si>
  <si>
    <t>我在禁地的图书馆里寻找让翅膀变白的方法，不想却遇见了光天使周棋洛，他告诉我，他是来抓我的……</t>
  </si>
  <si>
    <t>我告诉了周棋洛自己堕落的事实，惊讶过后，他告诉了我天使堕落的原因，我们一一对照，却发现都和我对不上。</t>
  </si>
  <si>
    <t>我们走在禁地的草地上，意外发现了曾经我们都爱吃的蜜果，于是我们像小时候一样的坐在树上吃着蜜果，但我却觉得，在我们之间，有什么变得不一样了……</t>
  </si>
  <si>
    <t>我堕落的事情依然被神发现了。神殿里，天使们的例会照常召开。作为被污染了的天使，我的灵魂被注入圣器中，等待净化。然而，就在我和周棋洛经历的点滴回忆被渐渐抹去时，一个熟悉的声音忽然在脑海中响起……</t>
  </si>
  <si>
    <t>4421,253,1</t>
    <phoneticPr fontId="71" type="noConversion"/>
  </si>
  <si>
    <t>4422,253,1</t>
    <phoneticPr fontId="71" type="noConversion"/>
  </si>
  <si>
    <t>1412,253,1</t>
    <phoneticPr fontId="71" type="noConversion"/>
  </si>
  <si>
    <t>1413,253,1</t>
    <phoneticPr fontId="71" type="noConversion"/>
  </si>
  <si>
    <t>2416,253,1</t>
    <phoneticPr fontId="71" type="noConversion"/>
  </si>
  <si>
    <t>2417,253,1</t>
    <phoneticPr fontId="71" type="noConversion"/>
  </si>
  <si>
    <t>3425,253,1</t>
    <phoneticPr fontId="71" type="noConversion"/>
  </si>
  <si>
    <t>3424,253,1</t>
    <phoneticPr fontId="71" type="noConversion"/>
  </si>
  <si>
    <t>4419,253,1</t>
    <phoneticPr fontId="71" type="noConversion"/>
  </si>
  <si>
    <t>4420,253,1</t>
    <phoneticPr fontId="71" type="noConversion"/>
  </si>
  <si>
    <t>6245,253,1</t>
    <phoneticPr fontId="71" type="noConversion"/>
  </si>
  <si>
    <t>6246,253,1</t>
    <phoneticPr fontId="71" type="noConversion"/>
  </si>
  <si>
    <t>我的记忆全部找回来了，看着即将要坠入荒芜的许墨，我一跃而下，继而将彼此拥入怀中。无论未来会变得如何，这一次，没有任何人再能将我和许墨分开了。</t>
  </si>
  <si>
    <t>许墨的裁决日突然被提前了，我匆匆赶去，却走进了许墨的幻境——是一个美好的世界。随后他告诉我了真相，这里是我和他曾经创造的世界，但神不允许，于是夺走了我的记忆……</t>
  </si>
  <si>
    <t>拂光之约</t>
    <phoneticPr fontId="71" type="noConversion"/>
  </si>
  <si>
    <t>挣脱之约</t>
    <phoneticPr fontId="71" type="noConversion"/>
  </si>
  <si>
    <t>禁忌之约</t>
    <phoneticPr fontId="71" type="noConversion"/>
  </si>
  <si>
    <t>审判之约</t>
    <phoneticPr fontId="71" type="noConversion"/>
  </si>
  <si>
    <t>许墨·走私浪漫</t>
    <phoneticPr fontId="71" type="noConversion"/>
  </si>
  <si>
    <t>0,多云转晴活动限定</t>
    <phoneticPr fontId="71" type="noConversion"/>
  </si>
  <si>
    <t>喜欢一个人的眼睛是不会说谎的，你说对吗？</t>
  </si>
  <si>
    <t>许墨·多云转晴</t>
    <phoneticPr fontId="71" type="noConversion"/>
  </si>
  <si>
    <t>十一月中旬，晴暖如春。</t>
  </si>
  <si>
    <t>回声之约</t>
  </si>
  <si>
    <t>许墨生日的前一天，我结束了在威尼斯的“实地考察”，准备出发去机场返回英国时，接到了许墨的电话。在怔愣中，我清楚地看到了河对岸的桥上，那个熟悉的身影。</t>
  </si>
  <si>
    <t>面对我对他为什么在这里的疑惑，许墨轻描淡写地回应却让我的脸颊发烫。这样坦诚又任性的他，好像越来越常出现在我面前。谈及这趟没有太多收获的寻迹取材，许墨提出可以和我一起寻找。</t>
  </si>
  <si>
    <t>寻迹前，许墨带我去修了先前磕到的相机，原来他当年也曾来过这里。这种冥冥之中的巧合，或许就是时间神奇的地方吧。突然飘起的小雨让眼前的叹息桥多了些朦胧的美丽，我们坐上贡多拉，在敲响的钟声中，相机记录下了属于我们的第四卷纪念册的封面照。</t>
  </si>
  <si>
    <t>黄昏时刻，我和许墨一起买了蛋糕，路过了一家他曾经也来过的老书店，并决定在这里给彼此寄送为期一年的明信片。无意间，我找到了一封珍贵的跨越时间的礼物。这是属于那段时光的回响，也是我们在不断寻找的过程中，制造的属于我们的新的痕迹。</t>
  </si>
  <si>
    <t>2418,253,1</t>
    <phoneticPr fontId="71" type="noConversion"/>
  </si>
  <si>
    <t>2419,253,1</t>
    <phoneticPr fontId="71" type="noConversion"/>
  </si>
  <si>
    <t>2420,253,1</t>
    <phoneticPr fontId="71" type="noConversion"/>
  </si>
  <si>
    <t>140497,251,1</t>
    <phoneticPr fontId="71" type="noConversion"/>
  </si>
  <si>
    <t>2164,252,1</t>
    <phoneticPr fontId="71" type="noConversion"/>
  </si>
  <si>
    <t>李泽言·卿卿</t>
    <phoneticPr fontId="71" type="noConversion"/>
  </si>
  <si>
    <t>1414,253,1</t>
    <phoneticPr fontId="71" type="noConversion"/>
  </si>
  <si>
    <t>140496,251,1</t>
    <phoneticPr fontId="71" type="noConversion"/>
  </si>
  <si>
    <t>1415,253,1</t>
    <phoneticPr fontId="71" type="noConversion"/>
  </si>
  <si>
    <t>我想要的景致，就在垂手可触的身旁。</t>
    <phoneticPr fontId="71" type="noConversion"/>
  </si>
  <si>
    <t>薰衣草之约</t>
    <phoneticPr fontId="71" type="noConversion"/>
  </si>
  <si>
    <t>难得的休息日，李泽言忽然说要带我提前验收他投资的度假村。通过游戏区的小游戏后，没想到大门后竟是一大片的薰衣草花海，而李泽言带我来的真正目的却是……</t>
    <phoneticPr fontId="71" type="noConversion"/>
  </si>
  <si>
    <t>出差两三个礼拜后，难得的休息日李泽言忽然带我来到一个地方，原来是他投资刚竣工的度假村，今天来提前验收一下。</t>
    <phoneticPr fontId="71" type="noConversion"/>
  </si>
  <si>
    <t>度假村内看起来很不错，只不过似乎并没有特别突出的独特性。这时，李泽言问我想不想挑战扔沙包，以换取意外的惊喜。</t>
    <phoneticPr fontId="71" type="noConversion"/>
  </si>
  <si>
    <t>没想到沙包击中红心的惊喜竟然是一大片薰衣草花海，我意外又开心，而度假村的主人则告诉我们，要在恋语市培育出这么大片薰衣草很不容易，这都多亏了李泽言愿意资助支持品种的试验。</t>
    <phoneticPr fontId="71" type="noConversion"/>
  </si>
  <si>
    <t>我和李泽言走入浪漫无边的花海中，也在好玩的蹦蹦云上休息了片刻。而李泽言愿意资助薰衣草试验的理由忽然让我觉得，他带我来这里或许并不是为了验收，而是为了……</t>
    <phoneticPr fontId="71" type="noConversion"/>
  </si>
  <si>
    <t>周棋洛·倾慕</t>
    <phoneticPr fontId="71" type="noConversion"/>
  </si>
  <si>
    <t>3164,252,1</t>
    <phoneticPr fontId="71" type="noConversion"/>
  </si>
  <si>
    <t>3423,253,1</t>
    <phoneticPr fontId="71" type="noConversion"/>
  </si>
  <si>
    <t>3165,252,1</t>
    <phoneticPr fontId="71" type="noConversion"/>
  </si>
  <si>
    <t>我会永远沉陷于你的眼眸。</t>
    <phoneticPr fontId="71" type="noConversion"/>
  </si>
  <si>
    <t>新悸之约</t>
    <phoneticPr fontId="71" type="noConversion"/>
  </si>
  <si>
    <t>为了改善我这段时间乏味的生活，在周棋洛的建议下，我决定去学习吉他。为此，周棋洛特意为我找了一位吉他老师。抵达授课地点后，我发现原来这位吉他老师就正是周棋洛本人。</t>
    <phoneticPr fontId="71" type="noConversion"/>
  </si>
  <si>
    <t>从国外刚回来的周棋洛特意开车来接我吃饭，车厢内日常的对话让我意识到，我这段时间的日子过得十分规律且乏味，这时周棋洛为我“变”出了一个小小的惊喜。</t>
    <phoneticPr fontId="71" type="noConversion"/>
  </si>
  <si>
    <t>在吃饭的过程中，我决定改善一下我这段时间单调的生活。在周棋洛的建议下，我最终拍板学习吉他。周棋洛称他会替我选一位合适的吉他老师。</t>
    <phoneticPr fontId="71" type="noConversion"/>
  </si>
  <si>
    <t>次日，我来到了吉他老师选定的授课地点——花海公园，并在这里毫不意外地看到了周棋洛，他装模作样地称自己为“花老师”，还对我进行了教学面试。</t>
    <phoneticPr fontId="71" type="noConversion"/>
  </si>
  <si>
    <t>周棋洛用幼稚又有趣的方式教我向吉他“打招呼”，在他的带领下我顺利结束了第一堂吉他课。为了表达感谢和心意，我向他说了许多心里话，他也用特别的方式回应了我。</t>
    <phoneticPr fontId="71" type="noConversion"/>
  </si>
  <si>
    <t>周棋洛·无忧暖蕴</t>
    <phoneticPr fontId="71" type="noConversion"/>
  </si>
  <si>
    <t>3422,253,1</t>
    <phoneticPr fontId="71" type="noConversion"/>
  </si>
  <si>
    <t>3163,252,1</t>
    <phoneticPr fontId="71" type="noConversion"/>
  </si>
  <si>
    <t>喝完这杯咖啡，把你所有的烦恼都说给我听吧。</t>
    <phoneticPr fontId="71" type="noConversion"/>
  </si>
  <si>
    <t>共渡之约</t>
    <phoneticPr fontId="71" type="noConversion"/>
  </si>
  <si>
    <t>想要给周棋洛一个惊喜，我来到影视城接他下班，却得知他接下来的工作遇到了一个小难题……</t>
    <phoneticPr fontId="71" type="noConversion"/>
  </si>
  <si>
    <t>为了给通宵拍戏的周棋洛一个惊喜，我清晨来到了影视城接他下班。但听他跟沈远的谈话，周棋洛新剧的宣传直播安排似乎出了一些问题……</t>
    <phoneticPr fontId="71" type="noConversion"/>
  </si>
  <si>
    <t>听周棋洛说完事情的原委之后，我开始帮他一起想解决的办法。能被他依靠也让我感到很有成就感，周棋洛说，我是他的“家人”。</t>
    <phoneticPr fontId="71" type="noConversion"/>
  </si>
  <si>
    <t>在我们共同的努力下，直播总算照常进行了。不愧是周棋洛，即使在我面前流露出疲惫的他，一旦面对镜头，依然光芒四射！</t>
    <phoneticPr fontId="71" type="noConversion"/>
  </si>
  <si>
    <t>直播结束，我们一起踏上了回家的路。我收到了一袋他自己制作的小熊饼干，虽然它们的样子并不那么精致，我却看到了周棋洛坦诚的心意——它们就像周棋洛平凡的一面一样，只会展现在我面前。我跟周棋洛约定，以后我会是那个分享他所有快乐和烦恼的“家人”。</t>
    <phoneticPr fontId="71" type="noConversion"/>
  </si>
  <si>
    <t>subway_dungeon.xlsx</t>
    <phoneticPr fontId="71" type="noConversion"/>
  </si>
  <si>
    <t>board_l2d_action_list.xlsx</t>
    <phoneticPr fontId="71" type="noConversion"/>
  </si>
  <si>
    <t>许墨因工作出差英国，我借拍摄专访为由和他一起，打算今年在英国过生日。筹备素材时，我意外发现许墨曾在获得该奖项后去过威尼斯。计划独自走访威尼斯的我，在返回的清晨，在运河对岸看到了许墨。</t>
  </si>
  <si>
    <t>0,21年12月签到奖励</t>
    <phoneticPr fontId="71" type="noConversion"/>
  </si>
  <si>
    <t>2021/12/1 5:00</t>
    <phoneticPr fontId="71" type="noConversion"/>
  </si>
  <si>
    <t>2021/11/6 5:00</t>
    <phoneticPr fontId="71" type="noConversion"/>
  </si>
  <si>
    <t>橙粉绿</t>
    <phoneticPr fontId="71" type="noConversion"/>
  </si>
  <si>
    <t>绿蓝粉</t>
    <phoneticPr fontId="71" type="noConversion"/>
  </si>
  <si>
    <t>蓝绿橙</t>
    <phoneticPr fontId="71" type="noConversion"/>
  </si>
  <si>
    <t>粉橙绿</t>
    <phoneticPr fontId="71" type="noConversion"/>
  </si>
  <si>
    <t>2021/12/8 5:00</t>
    <phoneticPr fontId="71" type="noConversion"/>
  </si>
  <si>
    <t>2021/11/19 5:00</t>
    <phoneticPr fontId="71" type="noConversion"/>
  </si>
  <si>
    <t>粉蓝橙</t>
    <phoneticPr fontId="71" type="noConversion"/>
  </si>
  <si>
    <t>绿橙粉</t>
    <phoneticPr fontId="71" type="noConversion"/>
  </si>
  <si>
    <t>蓝绿橙</t>
    <phoneticPr fontId="71" type="noConversion"/>
  </si>
  <si>
    <t>蓝粉绿</t>
    <phoneticPr fontId="71" type="noConversion"/>
  </si>
  <si>
    <t>9540:2726:5342:4614</t>
  </si>
  <si>
    <t>1798:312:1181:616</t>
  </si>
  <si>
    <t>8347:1574:7509:4790</t>
  </si>
  <si>
    <t>1736:252:1294:625</t>
  </si>
  <si>
    <t>6230:6220:5342:4429</t>
  </si>
  <si>
    <t>1625:1227:654:401</t>
  </si>
  <si>
    <t>4617:6681:9072:1849</t>
  </si>
  <si>
    <t>616:1251:1774:267</t>
  </si>
  <si>
    <t>5769:6498:9533:422</t>
  </si>
  <si>
    <t>676:1241:1798:192</t>
  </si>
  <si>
    <t>4617:3741:9711:4150</t>
  </si>
  <si>
    <t>1143:365:1807:592</t>
  </si>
  <si>
    <t>6505:5119:10172:422</t>
  </si>
  <si>
    <t>1242:642:1831:192</t>
  </si>
  <si>
    <t>5769:1574:9536:5344</t>
  </si>
  <si>
    <t>1203:252:1798:654</t>
  </si>
  <si>
    <t>4617:2726:9531:5348</t>
  </si>
  <si>
    <t>4617:5301:10452:1849</t>
  </si>
  <si>
    <t>616:1179:1846:267</t>
  </si>
  <si>
    <t>8344:5945:5342:2589</t>
  </si>
  <si>
    <t>1736:1212:654:305</t>
  </si>
  <si>
    <t>9449:1574:7230:3966</t>
  </si>
  <si>
    <t>1793:252:1279:582</t>
  </si>
  <si>
    <t>9728:5299:6769:422</t>
  </si>
  <si>
    <t>1808:652:1255:192</t>
  </si>
  <si>
    <t>9726:5302:5342:1849</t>
  </si>
  <si>
    <t>1808:652:1181:267</t>
  </si>
  <si>
    <t>6505:5121:5342:5251</t>
  </si>
  <si>
    <t>1640:437:1181:649</t>
  </si>
  <si>
    <t>4614:9540:2726:5342</t>
  </si>
  <si>
    <t>616:1798:312:1181</t>
  </si>
  <si>
    <t>4790:8347:1574:7509</t>
  </si>
  <si>
    <t>625:1736:252:1294</t>
  </si>
  <si>
    <t>4429:6230:6220:5342</t>
  </si>
  <si>
    <t>401:1625:1227:654</t>
  </si>
  <si>
    <t>422:6505:5119:10172</t>
  </si>
  <si>
    <t>192:1242:642:1831</t>
  </si>
  <si>
    <t>1849:4617:6681:9072</t>
  </si>
  <si>
    <t>267:616:1251:1774</t>
  </si>
  <si>
    <t>422:5769:6498:9533</t>
  </si>
  <si>
    <t>192:676:1241:1798</t>
  </si>
  <si>
    <t>4150:4617:3741:9711</t>
  </si>
  <si>
    <t>592:1143:365:1807</t>
  </si>
  <si>
    <t>5344:5769:1574:9536</t>
  </si>
  <si>
    <t>654:1203:252:1798</t>
  </si>
  <si>
    <t>5348:4617:2726:9531</t>
  </si>
  <si>
    <t>1181:616:312:1798</t>
  </si>
  <si>
    <t>3966:9449:1574:7230</t>
  </si>
  <si>
    <t>582:1793:252:1279</t>
  </si>
  <si>
    <t>2589:8344:5945:5342</t>
  </si>
  <si>
    <t>305:1736:1212:654</t>
  </si>
  <si>
    <t>1849:4617:5301:10452</t>
  </si>
  <si>
    <t>267:616:1179:1846</t>
  </si>
  <si>
    <t>5251:6505:5121:5342</t>
  </si>
  <si>
    <t>649:1640:437:1181</t>
  </si>
  <si>
    <t>422:9728:5299:6769</t>
  </si>
  <si>
    <t>192:1808:652:1255</t>
  </si>
  <si>
    <t>5342:2726:4614:9540</t>
  </si>
  <si>
    <t>7509:1574:4790:8347</t>
  </si>
  <si>
    <t>1294:252:625:1736</t>
  </si>
  <si>
    <t>5342:6220:4429:6230</t>
  </si>
  <si>
    <t>654:1227:401:1625</t>
  </si>
  <si>
    <t>9072:6681:1849:4617</t>
  </si>
  <si>
    <t>1774:1251:267:616</t>
  </si>
  <si>
    <t>9533:6498:422:5769</t>
  </si>
  <si>
    <t>1798:1241:192:676</t>
  </si>
  <si>
    <t>9711:3741:4150:4617</t>
  </si>
  <si>
    <t>1807:365:592:1143</t>
  </si>
  <si>
    <t>5342:5121:5251:6505</t>
  </si>
  <si>
    <t>1181:437:649:1640</t>
  </si>
  <si>
    <t>9536:1574:5344:5769</t>
  </si>
  <si>
    <t>1798:252:654:1203</t>
  </si>
  <si>
    <t>9531:2726:5348:4617</t>
  </si>
  <si>
    <t>5342:5302:1849:9726</t>
  </si>
  <si>
    <t>1181:652:267:1808</t>
  </si>
  <si>
    <t>10172:5119:422:6505</t>
  </si>
  <si>
    <t>1831:642:192:1242</t>
  </si>
  <si>
    <t>10452:5301:1849:4617</t>
  </si>
  <si>
    <t>5342:5945:2589:8344</t>
  </si>
  <si>
    <t>654:1212:305:1736</t>
  </si>
  <si>
    <t>6769:5299:422:9728</t>
  </si>
  <si>
    <t>1255:652:192:1808</t>
  </si>
  <si>
    <t>7230:1574:3966:9449</t>
  </si>
  <si>
    <t>1279:252:582:1793</t>
  </si>
  <si>
    <t>5342:1849:9724:5304</t>
  </si>
  <si>
    <t>1181:267:1808:652</t>
  </si>
  <si>
    <t>5342:4614:9540:2726</t>
  </si>
  <si>
    <t>1181:616:1798:312</t>
  </si>
  <si>
    <t>7509:4790:8347:1574</t>
  </si>
  <si>
    <t>1294:625:1736:252</t>
  </si>
  <si>
    <t>5342:4429:6230:6220</t>
  </si>
  <si>
    <t>654:401:1625:1227</t>
  </si>
  <si>
    <t>9533:422:5769:6498</t>
  </si>
  <si>
    <t>1798:192:676:1241</t>
  </si>
  <si>
    <t>9070:1849:4617:6683</t>
  </si>
  <si>
    <t>1774:267:616:1251</t>
  </si>
  <si>
    <t>9711:4150:4617:3741</t>
  </si>
  <si>
    <t>1807:592:1143:365</t>
  </si>
  <si>
    <t>9536:5344:5769:1574</t>
  </si>
  <si>
    <t>1798:654:1203:252</t>
  </si>
  <si>
    <t>10172:422:6505:5119</t>
  </si>
  <si>
    <t>1831:192:1242:642</t>
  </si>
  <si>
    <t>9531:5348:4617:2726</t>
  </si>
  <si>
    <t>1798:1181:616:312</t>
  </si>
  <si>
    <t>5342:2589:8344:5945</t>
  </si>
  <si>
    <t>654:305:1736:1212</t>
  </si>
  <si>
    <t>10452:1849:4617:5301</t>
  </si>
  <si>
    <t>1846:267:616:1179</t>
  </si>
  <si>
    <t>5342:5251:6505:5121</t>
  </si>
  <si>
    <t>1181:649:1640:437</t>
  </si>
  <si>
    <t>7230:3966:9449:1574</t>
  </si>
  <si>
    <t>1279:582:1793:252</t>
  </si>
  <si>
    <t>6769:422:9728:5299</t>
  </si>
  <si>
    <t>1255:192:1808:652</t>
  </si>
  <si>
    <t>许墨·指尖温存</t>
    <phoneticPr fontId="71" type="noConversion"/>
  </si>
  <si>
    <t>希望有我在的冬日，你不会感到寒冷。</t>
    <phoneticPr fontId="71" type="noConversion"/>
  </si>
  <si>
    <t>李泽言·周年庆R</t>
    <phoneticPr fontId="71" type="noConversion"/>
  </si>
  <si>
    <t>许墨·周年庆R</t>
    <phoneticPr fontId="71" type="noConversion"/>
  </si>
  <si>
    <t>周棋洛·周年庆R</t>
    <phoneticPr fontId="71" type="noConversion"/>
  </si>
  <si>
    <t>白起·周年庆R</t>
    <phoneticPr fontId="71" type="noConversion"/>
  </si>
  <si>
    <t>凌肖·周年庆R</t>
    <phoneticPr fontId="71" type="noConversion"/>
  </si>
  <si>
    <t>0,周年庆活动限定</t>
    <phoneticPr fontId="71" type="noConversion"/>
  </si>
  <si>
    <t>2021/12/8 5:00</t>
    <phoneticPr fontId="71" type="noConversion"/>
  </si>
  <si>
    <t>占位</t>
    <phoneticPr fontId="71" type="noConversion"/>
  </si>
  <si>
    <t>绿粉蓝</t>
    <phoneticPr fontId="71" type="noConversion"/>
  </si>
  <si>
    <t>粉绿蓝</t>
    <phoneticPr fontId="71" type="noConversion"/>
  </si>
  <si>
    <t>橙绿蓝</t>
    <phoneticPr fontId="71" type="noConversion"/>
  </si>
  <si>
    <t>粉蓝橙</t>
    <phoneticPr fontId="71" type="noConversion"/>
  </si>
  <si>
    <t>蓝橙绿</t>
    <phoneticPr fontId="71" type="noConversion"/>
  </si>
  <si>
    <t>橙粉绿</t>
    <phoneticPr fontId="71" type="noConversion"/>
  </si>
  <si>
    <t>2426,253,1</t>
    <phoneticPr fontId="71" type="noConversion"/>
  </si>
  <si>
    <t>2427,253,1</t>
    <phoneticPr fontId="71" type="noConversion"/>
  </si>
  <si>
    <t>白起·锋鞘</t>
    <phoneticPr fontId="71" type="noConversion"/>
  </si>
  <si>
    <t>凌肖·世界入怀</t>
    <phoneticPr fontId="71" type="noConversion"/>
  </si>
  <si>
    <t>李泽言·尘埃落定</t>
    <phoneticPr fontId="71" type="noConversion"/>
  </si>
  <si>
    <t>周棋洛·炽梦</t>
    <phoneticPr fontId="71" type="noConversion"/>
  </si>
  <si>
    <t>0,记忆回廊活动限定</t>
    <phoneticPr fontId="71" type="noConversion"/>
  </si>
  <si>
    <t>李泽言·不夜天</t>
    <phoneticPr fontId="74" type="noConversion"/>
  </si>
  <si>
    <t>许墨·破月弦</t>
    <phoneticPr fontId="74" type="noConversion"/>
  </si>
  <si>
    <t>周棋洛·霜阑晓</t>
    <phoneticPr fontId="74" type="noConversion"/>
  </si>
  <si>
    <t>白起·挽狂澜</t>
    <phoneticPr fontId="74" type="noConversion"/>
  </si>
  <si>
    <t>0,蔽天活动限定</t>
    <phoneticPr fontId="74" type="noConversion"/>
  </si>
  <si>
    <t>前路若有阻碍，那便踏碎它。</t>
    <phoneticPr fontId="74" type="noConversion"/>
  </si>
  <si>
    <t>入了死局 ，就没有回头的余地。</t>
  </si>
  <si>
    <t>这世间尽是荒芜，唯你是其中例外。</t>
    <phoneticPr fontId="74" type="noConversion"/>
  </si>
  <si>
    <t>剑已出鞘，便只进不退。</t>
    <phoneticPr fontId="74" type="noConversion"/>
  </si>
  <si>
    <t>寒山之约</t>
    <phoneticPr fontId="71" type="noConversion"/>
  </si>
  <si>
    <t>焙雪之约</t>
    <phoneticPr fontId="71" type="noConversion"/>
  </si>
  <si>
    <t>化猫之约</t>
    <phoneticPr fontId="71" type="noConversion"/>
  </si>
  <si>
    <t>秋阑之约</t>
    <phoneticPr fontId="71" type="noConversion"/>
  </si>
  <si>
    <t>我来到魔域想跟李泽言分享糕点，却恰逢他要出门处理魔域的事务。出于好奇，我提出跟他一起……</t>
    <phoneticPr fontId="71" type="noConversion"/>
  </si>
  <si>
    <t>为了与李泽言分享今年最后的桂花糕，我来到魔域，却发觉周围的景色与前些日子有些不同。我来到了李泽言的宫殿，正碰见他准备前往魔域的祭坛。出于好奇，我向李泽言撒娇让他带我同去。</t>
    <phoneticPr fontId="71" type="noConversion"/>
  </si>
  <si>
    <t>在前往祭坛的路上，我看到不少长得像话本中食人花一般的植物，不由地有些害怕。没想到李泽言居然借此吓唬我……走着走着，天上下起了雨，我看到路上一丛漂亮的红花即将被风吹雨打，不禁感到可惜。不知是不是看到了我的神情，李泽言出手护住了那些花……</t>
    <phoneticPr fontId="71" type="noConversion"/>
  </si>
  <si>
    <t>山路湿寒，李泽言见我打冷颤，默然地将我带到了岔路上休息的营地。我自告奋勇地堆起了柴火，烤热自己带在身上的糖饼，打算给李泽言也尝尝。在篝火旁，他似乎说了什么，我正要询问，他却将披风披在了我身上……</t>
    <phoneticPr fontId="71" type="noConversion"/>
  </si>
  <si>
    <t>李泽言牵着我的手登上陡峭的山峰，我们终于到达了祭坛。看到周围一片凋零，我也想出一份力，李泽言默许了我帮助他一起修复祭坛。在我们共同的努力下，魔域重新焕发了生机。我们并肩站在山巅，一同见证着奇迹般的景色……</t>
    <phoneticPr fontId="71" type="noConversion"/>
  </si>
  <si>
    <t>宴都初雪这天，我得了一坛佳酿，便去殊林找许墨分享。在雪色和炉火的陪伴下，我们度过了一个无比温暖的冬夜。</t>
    <phoneticPr fontId="71" type="noConversion"/>
  </si>
  <si>
    <t>初雪这天，我从醉梦阁老板娘那里得了一坛难得的佳酿。我便趁兴去了殊林，想找许墨一起赏雪品酒。</t>
    <phoneticPr fontId="71" type="noConversion"/>
  </si>
  <si>
    <t>温过酒后，我与许墨边聊天边侧耳听着窗外的落雪声。这时，我想起了一个刚在三梦坊听过的故事……</t>
    <phoneticPr fontId="71" type="noConversion"/>
  </si>
  <si>
    <t>趁着醉意，我生出了些逗弄许墨的心思，却被他的反应弄得耳根发烫。我匆忙想借开窗掩饰过去，这时，却看到一朵梅花顺着窗缝飘了进来……</t>
    <phoneticPr fontId="71" type="noConversion"/>
  </si>
  <si>
    <t>酒意上头，我醉眼朦胧着勾缠着许墨的腰带，想要寻找那朵梅花，却被他轻轻扣住了手腕。旋即，月白扇面挡住了我的视线……</t>
    <phoneticPr fontId="71" type="noConversion"/>
  </si>
  <si>
    <t>在一次战斗中，我意外中了敌方的隐能，变成了一只猫，为了让周棋洛能够认出自己，我努力地让自己适应这场意外，也因此和周棋洛靠得更近了……</t>
    <phoneticPr fontId="71" type="noConversion"/>
  </si>
  <si>
    <t>在和敌人的战斗中，我不慎中了对方的隐能，千钧一发时周棋洛及时赶到，我正要向他道谢，却发现自己变成了一只猫……</t>
    <phoneticPr fontId="71" type="noConversion"/>
  </si>
  <si>
    <t>我用了各种方法，都没法让周棋洛能认出我，眼看他就要离开，我终于忍不住使用了必杀技——猫猫抱腿。</t>
    <phoneticPr fontId="71" type="noConversion"/>
  </si>
  <si>
    <t>原来周棋洛已经认出我了！他带着我俯瞰整个宴都，我们“一人一猫”难得享受了一段静谧时光，让我忍不住想让时间更慢一点……</t>
    <phoneticPr fontId="71" type="noConversion"/>
  </si>
  <si>
    <t>休息之后，周棋洛带我回到了三梦坊，没想到平时司空见惯的房间里用猫的视角去看，竟然有这么多新发现，而最大的收获，就是有一个人，愿意陪我入眠……</t>
    <phoneticPr fontId="71" type="noConversion"/>
  </si>
  <si>
    <t>我中了一个魔的哑毒，白起答应帮我报仇，我们重走了当时遇到魔的路线，在白起的陪伴下，我忽然看到了当时未曾发觉的宴都风景。</t>
    <phoneticPr fontId="71" type="noConversion"/>
  </si>
  <si>
    <t>我在巡街的时候和一个魔缠斗，却不慎中了他的哑毒，回到御隐师协会后遇到了白起，他答应为我报仇，抓住魔。</t>
    <phoneticPr fontId="71" type="noConversion"/>
  </si>
  <si>
    <t>我和白起重走了当时的路线，遇到了一个似乎见过魔的波斯商人，但他说的话白起并不能听懂，在一番费力的唇舌之后，我们才发现他早晨见到的人根本不是魔，而是追逐着魔的我……</t>
    <phoneticPr fontId="71" type="noConversion"/>
  </si>
  <si>
    <t>我们在河边稍作休憩，白起说原来宴都已经入秋了，之前都没怎么发觉，我们一同欣赏着此刻的景色，忽然觉得整个天地间都只剩下我们……</t>
    <phoneticPr fontId="71" type="noConversion"/>
  </si>
  <si>
    <t>我们成功抓住了魔，他交出了解药，白起放心不下我，陪着我回了三梦坊。为了聊表谢意，我为他煮了一壶花茶，袅袅热气里，似乎今日的一切都尽在不言中。</t>
    <phoneticPr fontId="71" type="noConversion"/>
  </si>
  <si>
    <t>李泽言·心墙不夜天</t>
  </si>
  <si>
    <t>李泽言·围城不夜天</t>
  </si>
  <si>
    <t>李泽言·热望不夜天</t>
  </si>
  <si>
    <t>李泽言·浮香不夜天</t>
  </si>
  <si>
    <t>李泽言·猎行之时不夜天</t>
  </si>
  <si>
    <t>李泽言·制胜时刻不夜天</t>
  </si>
  <si>
    <t>李泽言·一眸之隔不夜天</t>
  </si>
  <si>
    <t>李泽言·今夕景不夜天</t>
  </si>
  <si>
    <t>李泽言·盛意满怀不夜天</t>
  </si>
  <si>
    <t>李泽言·静谧晖光不夜天</t>
  </si>
  <si>
    <t>李泽言·相遇转角不夜天</t>
  </si>
  <si>
    <t>李泽言·漫言日长不夜天</t>
  </si>
  <si>
    <t>李泽言·钟影阑珊不夜天</t>
  </si>
  <si>
    <t>李泽言·心澜不夜天</t>
  </si>
  <si>
    <t>李泽言·清朗好日不夜天</t>
  </si>
  <si>
    <t>许墨·破局破月弦</t>
  </si>
  <si>
    <t>许墨·陷落破月弦</t>
  </si>
  <si>
    <t>许墨·雨幕破月弦</t>
  </si>
  <si>
    <t>许墨·拟扣心门破月弦</t>
  </si>
  <si>
    <t>许墨·落日余温破月弦</t>
  </si>
  <si>
    <t>许墨·断线破月弦</t>
  </si>
  <si>
    <t>许墨·自深深处破月弦</t>
  </si>
  <si>
    <t>许墨·梦仙林破月弦</t>
  </si>
  <si>
    <t>许墨·独享况味破月弦</t>
  </si>
  <si>
    <t>许墨·私藏暇光破月弦</t>
  </si>
  <si>
    <t>许墨·人潮漫卷破月弦</t>
  </si>
  <si>
    <t>许墨·心窍破月弦</t>
  </si>
  <si>
    <t>许墨·萌趣印迹破月弦</t>
  </si>
  <si>
    <t>许墨·秋情难却破月弦</t>
  </si>
  <si>
    <t>周棋洛·迷藏霜阑晓</t>
  </si>
  <si>
    <t>周棋洛·假象霜阑晓</t>
  </si>
  <si>
    <t>周棋洛·梦想起点霜阑晓</t>
  </si>
  <si>
    <t>周棋洛·快乐供应霜阑晓</t>
  </si>
  <si>
    <t>周棋洛·光的缝隙霜阑晓</t>
  </si>
  <si>
    <t>周棋洛·注目霜阑晓</t>
  </si>
  <si>
    <t>周棋洛·倾音霜阑晓</t>
  </si>
  <si>
    <t>周棋洛·欲忘言霜阑晓</t>
  </si>
  <si>
    <t>周棋洛·心动节拍霜阑晓</t>
  </si>
  <si>
    <t>周棋洛·美妙一瞬霜阑晓</t>
  </si>
  <si>
    <t>周棋洛·满分拥抱霜阑晓</t>
  </si>
  <si>
    <t>周棋洛·追光霜阑晓</t>
  </si>
  <si>
    <t>周棋洛·阳光盛惠霜阑晓</t>
  </si>
  <si>
    <t>周棋洛·飞行岛屿霜阑晓</t>
  </si>
  <si>
    <t>周棋洛·无忧暖蕴霜阑晓</t>
  </si>
  <si>
    <t>白起·风起时挽狂澜</t>
  </si>
  <si>
    <t>白起·锋刃挽狂澜</t>
  </si>
  <si>
    <t>白起·长夜星火挽狂澜</t>
  </si>
  <si>
    <t>白起·灿烂之年挽狂澜</t>
  </si>
  <si>
    <t>白起·无畏挽狂澜</t>
  </si>
  <si>
    <t>白起·留白心绪挽狂澜</t>
  </si>
  <si>
    <t>白起·隐夜挽狂澜</t>
  </si>
  <si>
    <t>白起·醉行歌挽狂澜</t>
  </si>
  <si>
    <t>白起·斑驳印记挽狂澜</t>
  </si>
  <si>
    <t>白起·私人记号挽狂澜</t>
  </si>
  <si>
    <t>白起·银河来信挽狂澜</t>
  </si>
  <si>
    <t>白起·炽盛挽狂澜</t>
  </si>
  <si>
    <t>白起·跃晴挽狂澜</t>
  </si>
  <si>
    <t>白起·深浅兴味挽狂澜</t>
  </si>
  <si>
    <t>白起·疾驰之风挽狂澜</t>
  </si>
  <si>
    <t>主线</t>
    <phoneticPr fontId="71" type="noConversion"/>
  </si>
  <si>
    <t>主线章节</t>
    <phoneticPr fontId="71" type="noConversion"/>
  </si>
  <si>
    <t>章节</t>
    <phoneticPr fontId="74" type="noConversion"/>
  </si>
  <si>
    <t>标题</t>
    <phoneticPr fontId="74" type="noConversion"/>
  </si>
  <si>
    <t>简介</t>
    <phoneticPr fontId="74" type="noConversion"/>
  </si>
  <si>
    <t>战斗关数</t>
    <phoneticPr fontId="71" type="noConversion"/>
  </si>
  <si>
    <t>既然做出了选择，我就绝不会后悔。</t>
  </si>
  <si>
    <t>1170,252,1</t>
    <phoneticPr fontId="71" type="noConversion"/>
  </si>
  <si>
    <t>1171,252,1</t>
    <phoneticPr fontId="71" type="noConversion"/>
  </si>
  <si>
    <t>2167,252,1</t>
    <phoneticPr fontId="71" type="noConversion"/>
  </si>
  <si>
    <t>2168,252,1</t>
    <phoneticPr fontId="71" type="noConversion"/>
  </si>
  <si>
    <t>3166,252,1</t>
    <phoneticPr fontId="71" type="noConversion"/>
  </si>
  <si>
    <t>3167,252,1</t>
    <phoneticPr fontId="71" type="noConversion"/>
  </si>
  <si>
    <t>4168,252,1</t>
    <phoneticPr fontId="71" type="noConversion"/>
  </si>
  <si>
    <t>4169,252,1</t>
    <phoneticPr fontId="71" type="noConversion"/>
  </si>
  <si>
    <t>8057,252,1</t>
    <phoneticPr fontId="71" type="noConversion"/>
  </si>
  <si>
    <t>8058,252,1</t>
    <phoneticPr fontId="71" type="noConversion"/>
  </si>
  <si>
    <t>2429,253,1</t>
    <phoneticPr fontId="71" type="noConversion"/>
  </si>
  <si>
    <t>3432,253,1</t>
    <phoneticPr fontId="71" type="noConversion"/>
  </si>
  <si>
    <t>4429,253,1</t>
    <phoneticPr fontId="71" type="noConversion"/>
  </si>
  <si>
    <t>6253,253,1</t>
    <phoneticPr fontId="71" type="noConversion"/>
  </si>
  <si>
    <t>这份胜利，属于我所坚信的事。</t>
  </si>
  <si>
    <t>许墨·万籁俱寂</t>
    <phoneticPr fontId="71" type="noConversion"/>
  </si>
  <si>
    <t>这或许不是那条最好的路，但我有必须踏足的理由。</t>
  </si>
  <si>
    <t>我会跨越所有辉光与注目，与命运交锋。</t>
  </si>
  <si>
    <t>天黑之后，可比你想象的更精彩。</t>
  </si>
  <si>
    <t>D:\BossLove_Client\branches\evol_release_200915</t>
    <phoneticPr fontId="71" type="noConversion"/>
  </si>
  <si>
    <t>周棋洛·滚烫人生</t>
    <phoneticPr fontId="71" type="noConversion"/>
  </si>
  <si>
    <t>从口味到心跳，我们都是最合拍的一对。</t>
  </si>
  <si>
    <t>白起·悠长韵调</t>
    <phoneticPr fontId="71" type="noConversion"/>
  </si>
  <si>
    <t>报告，我需要你的指导。</t>
  </si>
  <si>
    <t>4431,253,1</t>
    <phoneticPr fontId="71" type="noConversion"/>
  </si>
  <si>
    <t>3433,253,1</t>
    <phoneticPr fontId="71" type="noConversion"/>
  </si>
  <si>
    <t>3434,253,1</t>
    <phoneticPr fontId="71" type="noConversion"/>
  </si>
  <si>
    <t>140505,251,1</t>
    <phoneticPr fontId="71" type="noConversion"/>
  </si>
  <si>
    <t>4174,252,1</t>
    <phoneticPr fontId="71" type="noConversion"/>
  </si>
  <si>
    <t>4175,252,1</t>
    <phoneticPr fontId="71" type="noConversion"/>
  </si>
  <si>
    <t>参数说明</t>
    <phoneticPr fontId="71" type="noConversion"/>
  </si>
  <si>
    <t>参数值</t>
    <phoneticPr fontId="71" type="noConversion"/>
  </si>
  <si>
    <t>编号</t>
    <phoneticPr fontId="74" type="noConversion"/>
  </si>
  <si>
    <t>类型</t>
    <phoneticPr fontId="74" type="noConversion"/>
  </si>
  <si>
    <t>描述</t>
    <phoneticPr fontId="74" type="noConversion"/>
  </si>
  <si>
    <t>解锁
道具数</t>
    <phoneticPr fontId="71" type="noConversion"/>
  </si>
  <si>
    <t>剧情掉落：三元组
关卡掉落：id</t>
    <phoneticPr fontId="71" type="noConversion"/>
  </si>
  <si>
    <t>战斗
背景图</t>
    <phoneticPr fontId="71" type="noConversion"/>
  </si>
  <si>
    <t>三波
战斗</t>
    <phoneticPr fontId="71" type="noConversion"/>
  </si>
  <si>
    <t>首关解锁条件</t>
    <phoneticPr fontId="71" type="noConversion"/>
  </si>
  <si>
    <t>剧情</t>
  </si>
  <si>
    <t>剧情解锁道具</t>
    <phoneticPr fontId="71" type="noConversion"/>
  </si>
  <si>
    <t>首个战斗id</t>
    <phoneticPr fontId="71" type="noConversion"/>
  </si>
  <si>
    <t>战斗</t>
  </si>
  <si>
    <t>首个战斗难度</t>
    <phoneticPr fontId="71" type="noConversion"/>
  </si>
  <si>
    <t>难度增量</t>
    <phoneticPr fontId="71" type="noConversion"/>
  </si>
  <si>
    <t>额外掉落id</t>
    <phoneticPr fontId="71" type="noConversion"/>
  </si>
  <si>
    <t>无门槛开始时间</t>
    <phoneticPr fontId="71" type="noConversion"/>
  </si>
  <si>
    <t>无门槛结束时间</t>
    <phoneticPr fontId="71" type="noConversion"/>
  </si>
  <si>
    <t>关卡文案路径</t>
    <phoneticPr fontId="71" type="noConversion"/>
  </si>
  <si>
    <t>助力之约</t>
  </si>
  <si>
    <t>我接到了白起的电话，他告诉有件事需要我的帮忙，等我到达他说的快餐店时，他犹豫了一会后，郑重其事地跟我说能不能帮他润色一下述职报告？</t>
  </si>
  <si>
    <t>我来到白起电话里说的快餐店，犹豫了一会后，白起跟我说能不能帮他润色一下述职报告？</t>
    <phoneticPr fontId="71" type="noConversion"/>
  </si>
  <si>
    <t>在细细翻阅白起写的粗稿后，我明白了他的问题在哪里，于是帮白起改起稿来。</t>
    <phoneticPr fontId="71" type="noConversion"/>
  </si>
  <si>
    <t>时间不知不觉地过去，回到家时，我得知白起的述职报告居然就在明天！虽然有些疲惫，但是为了能让最终成稿体现出白指挥官的认真负责、勇敢坚韧，我又充满了干劲。</t>
    <phoneticPr fontId="71" type="noConversion"/>
  </si>
  <si>
    <t>白起述职结束回到家，不用问，我也从他的表情中得知了过程一定和我想象中的一样顺利，只是我发现他还在述职报告上另外写了些什么，我趁他不注意想拿来看，一个意外却发生了……</t>
    <phoneticPr fontId="71" type="noConversion"/>
  </si>
  <si>
    <t>热辣之约</t>
  </si>
  <si>
    <t>冬天来了，也迎来了最适合吃火锅的季节。于是我和周棋洛决定直接安排一个火锅打卡，每天都要尝尝不同口味的火锅！</t>
    <phoneticPr fontId="71" type="noConversion"/>
  </si>
  <si>
    <t>迎着骤减的气温，我和周棋洛选择了一家暖心又暖胃的花胶鸡汤火锅，正式开启了我们的创意火锅打卡之旅。</t>
    <phoneticPr fontId="71" type="noConversion"/>
  </si>
  <si>
    <t>初雪的当天，我和周棋洛准备为这几日的火锅打卡评分。在讨论中勾起了我们许多快乐的回忆。直到最后我们才决定，等吃完最后一家火锅，再来进行最终的客观打分吧！</t>
    <phoneticPr fontId="71" type="noConversion"/>
  </si>
  <si>
    <t>最后一站，我们来到一家服务至上的川味火锅，配上周棋洛牌自制秘酱吃得十分开心。只是他一直在帮我下菜，忙得都没有功夫吃了。于是，我拿起一串肉丸子递在了他的嘴边……</t>
    <phoneticPr fontId="71" type="noConversion"/>
  </si>
  <si>
    <t>吃到一半，店长来教我们调制正宗的油碟，只是这时我发现周棋洛好像有些不一样的地方，他似乎格外在意这份调料……</t>
    <phoneticPr fontId="71" type="noConversion"/>
  </si>
  <si>
    <t>卷编号</t>
    <phoneticPr fontId="71" type="noConversion"/>
  </si>
  <si>
    <t>卷标题</t>
    <phoneticPr fontId="71" type="noConversion"/>
  </si>
  <si>
    <t>pv编号</t>
    <phoneticPr fontId="71" type="noConversion"/>
  </si>
  <si>
    <t>pv描述</t>
    <phoneticPr fontId="71" type="noConversion"/>
  </si>
  <si>
    <t>2021/12/26 23:59</t>
    <phoneticPr fontId="71" type="noConversion"/>
  </si>
  <si>
    <t>相关表格</t>
    <phoneticPr fontId="71" type="noConversion"/>
  </si>
  <si>
    <t>奔向星辰大海</t>
    <phoneticPr fontId="74" type="noConversion"/>
  </si>
  <si>
    <t>照亮别人之前，他会先成为自己的光。</t>
    <phoneticPr fontId="74" type="noConversion"/>
  </si>
  <si>
    <t>据守千金一诺</t>
    <phoneticPr fontId="74" type="noConversion"/>
  </si>
  <si>
    <t>初心不减，他始终在自己选择的道路上一往无前。</t>
    <phoneticPr fontId="74" type="noConversion"/>
  </si>
  <si>
    <t>跨越百年孤寂</t>
    <phoneticPr fontId="74" type="noConversion"/>
  </si>
  <si>
    <t>他在虚浮的冥色中，一寸一移地丈量跨越百年的痕迹。</t>
    <phoneticPr fontId="74" type="noConversion"/>
  </si>
  <si>
    <t>回盼茫茫归途</t>
    <phoneticPr fontId="74" type="noConversion"/>
  </si>
  <si>
    <t>让他觉得遥远的不是时间，而是遥不可及的归期。</t>
    <phoneticPr fontId="74" type="noConversion"/>
  </si>
  <si>
    <t>生生不息</t>
    <phoneticPr fontId="71" type="noConversion"/>
  </si>
  <si>
    <t>星火长明，一往无前</t>
    <phoneticPr fontId="71" type="noConversion"/>
  </si>
  <si>
    <t>敞开心扉</t>
    <phoneticPr fontId="71" type="noConversion"/>
  </si>
  <si>
    <t>我听见你说，你让我不要自己一个人努力。</t>
    <phoneticPr fontId="71" type="noConversion"/>
  </si>
  <si>
    <t>顾虑与信任</t>
    <phoneticPr fontId="71" type="noConversion"/>
  </si>
  <si>
    <t>所以，我们也更没有理由畏惧了。</t>
    <phoneticPr fontId="71" type="noConversion"/>
  </si>
  <si>
    <t>最亮的星星</t>
    <phoneticPr fontId="71" type="noConversion"/>
  </si>
  <si>
    <t>这次的演唱会，我想把它叫做“繁星”。</t>
    <phoneticPr fontId="71" type="noConversion"/>
  </si>
  <si>
    <t>巨星回归</t>
    <phoneticPr fontId="71" type="noConversion"/>
  </si>
  <si>
    <t>“繁星”演唱会的预热，如同温柔的晨曦，渐渐唤醒沉睡已久的城市。</t>
    <phoneticPr fontId="71" type="noConversion"/>
  </si>
  <si>
    <t>一个人的舞台</t>
    <phoneticPr fontId="71" type="noConversion"/>
  </si>
  <si>
    <t>我大概永远都不会忘记在这个小小的练习室里，如此郑重且仪式感的一幕。</t>
    <phoneticPr fontId="71" type="noConversion"/>
  </si>
  <si>
    <t>灰色往事</t>
    <phoneticPr fontId="71" type="noConversion"/>
  </si>
  <si>
    <t>你们对周棋洛的爱——从头至尾都是虚假的。</t>
    <phoneticPr fontId="71" type="noConversion"/>
  </si>
  <si>
    <t>骄傲的模样</t>
    <phoneticPr fontId="71" type="noConversion"/>
  </si>
  <si>
    <t>我不会输的。</t>
    <phoneticPr fontId="71" type="noConversion"/>
  </si>
  <si>
    <t>他的主场</t>
    <phoneticPr fontId="71" type="noConversion"/>
  </si>
  <si>
    <t>或许很多人都在动摇，也或许有时连我自己都在动摇。</t>
    <phoneticPr fontId="71" type="noConversion"/>
  </si>
  <si>
    <t>裂缝中的光</t>
    <phoneticPr fontId="71" type="noConversion"/>
  </si>
  <si>
    <t>这里只有周棋洛，也只有音乐。</t>
    <phoneticPr fontId="71" type="noConversion"/>
  </si>
  <si>
    <t>未来长路</t>
    <phoneticPr fontId="71" type="noConversion"/>
  </si>
  <si>
    <t>如果有一天你真的获得了这份力量，一定要想清楚如何使用它。</t>
    <phoneticPr fontId="71" type="noConversion"/>
  </si>
  <si>
    <t>神秘流星</t>
    <phoneticPr fontId="71" type="noConversion"/>
  </si>
  <si>
    <t>璀璨的弧线拖着长长的尾巴悬在空中，像一组慢镜头，无声地释放着华美的光芒。</t>
    <phoneticPr fontId="71" type="noConversion"/>
  </si>
  <si>
    <t>意外相遇</t>
    <phoneticPr fontId="71" type="noConversion"/>
  </si>
  <si>
    <t>我下意识转头，一个人影正踩着懒散的步伐从走廊深处向我走来。</t>
    <phoneticPr fontId="71" type="noConversion"/>
  </si>
  <si>
    <t>临时身份</t>
    <phoneticPr fontId="71" type="noConversion"/>
  </si>
  <si>
    <t>这个人好像始终没变，却又有什么不一样了。</t>
    <phoneticPr fontId="71" type="noConversion"/>
  </si>
  <si>
    <t>贴近的气息</t>
    <phoneticPr fontId="71" type="noConversion"/>
  </si>
  <si>
    <t>还是这样舒服，顺眼多了。</t>
    <phoneticPr fontId="71" type="noConversion"/>
  </si>
  <si>
    <t>有惊无险</t>
    <phoneticPr fontId="71" type="noConversion"/>
  </si>
  <si>
    <t>……喂，你能不能安静待会儿。</t>
    <phoneticPr fontId="71" type="noConversion"/>
  </si>
  <si>
    <t>未知的巧合</t>
    <phoneticPr fontId="71" type="noConversion"/>
  </si>
  <si>
    <t>可是“从前天夜里开始出现的那些突发脑损伤病例”又是什么？</t>
    <phoneticPr fontId="71" type="noConversion"/>
  </si>
  <si>
    <t>灰烬</t>
    <phoneticPr fontId="71" type="noConversion"/>
  </si>
  <si>
    <t>曾经，他在这里因为弱小而失去过一个最重要的人。</t>
    <phoneticPr fontId="71" type="noConversion"/>
  </si>
  <si>
    <t>归队</t>
    <phoneticPr fontId="71" type="noConversion"/>
  </si>
  <si>
    <t>我需要你待在这里。</t>
    <phoneticPr fontId="71" type="noConversion"/>
  </si>
  <si>
    <t>相对而卧</t>
    <phoneticPr fontId="71" type="noConversion"/>
  </si>
  <si>
    <t>那个始终孤独前行的人，开始向我伸出了求助的手。</t>
    <phoneticPr fontId="71" type="noConversion"/>
  </si>
  <si>
    <t>小报告</t>
    <phoneticPr fontId="71" type="noConversion"/>
  </si>
  <si>
    <t>神秘天光，散发辐射，世界选择Evolver。</t>
    <phoneticPr fontId="71" type="noConversion"/>
  </si>
  <si>
    <t>不速之客</t>
    <phoneticPr fontId="71" type="noConversion"/>
  </si>
  <si>
    <t>不用担心，明天一早，特遣署会召开新闻发布会。</t>
    <phoneticPr fontId="71" type="noConversion"/>
  </si>
  <si>
    <t>严正声明</t>
    <phoneticPr fontId="71" type="noConversion"/>
  </si>
  <si>
    <t>每个特遣队员手中的力量，都会是保护所有市民的屏障。</t>
    <phoneticPr fontId="71" type="noConversion"/>
  </si>
  <si>
    <t>隐秘战场</t>
    <phoneticPr fontId="71" type="noConversion"/>
  </si>
  <si>
    <t>你在这里就够了。</t>
    <phoneticPr fontId="71" type="noConversion"/>
  </si>
  <si>
    <t>同舟共济</t>
    <phoneticPr fontId="71" type="noConversion"/>
  </si>
  <si>
    <t>他们像是一团团星火，将整个城市点亮。</t>
    <phoneticPr fontId="71" type="noConversion"/>
  </si>
  <si>
    <t>倚靠的温度</t>
    <phoneticPr fontId="71" type="noConversion"/>
  </si>
  <si>
    <t>你的不叫啰嗦，是关心，比他们的好听很多。</t>
    <phoneticPr fontId="71" type="noConversion"/>
  </si>
  <si>
    <t>危险蛰伏</t>
    <phoneticPr fontId="71" type="noConversion"/>
  </si>
  <si>
    <t>伴随着消失的光圈，我感受到了巨大而沉重的撞击感。</t>
    <phoneticPr fontId="71" type="noConversion"/>
  </si>
  <si>
    <t>意料之外</t>
    <phoneticPr fontId="71" type="noConversion"/>
  </si>
  <si>
    <t>一双白色皮鞋随之踏了进来，衣摆在身后轻轻扬起。</t>
    <phoneticPr fontId="71" type="noConversion"/>
  </si>
  <si>
    <t>外来者</t>
    <phoneticPr fontId="71" type="noConversion"/>
  </si>
  <si>
    <t>你好，请问你也是和19一样的存在吗？</t>
    <phoneticPr fontId="71" type="noConversion"/>
  </si>
  <si>
    <t>两个选择</t>
    <phoneticPr fontId="71" type="noConversion"/>
  </si>
  <si>
    <t>左手是你留下来和我做朋友，右手是你先离开这里。</t>
    <phoneticPr fontId="71" type="noConversion"/>
  </si>
  <si>
    <t>虚拟与现实</t>
    <phoneticPr fontId="71" type="noConversion"/>
  </si>
  <si>
    <t>你……曾经也是“人类”吗？</t>
    <phoneticPr fontId="71" type="noConversion"/>
  </si>
  <si>
    <t>禁锢的自由</t>
    <phoneticPr fontId="71" type="noConversion"/>
  </si>
  <si>
    <t>这个灯塔计划，就是为你而诞生的。</t>
    <phoneticPr fontId="71" type="noConversion"/>
  </si>
  <si>
    <t>剑拔弩张</t>
    <phoneticPr fontId="71" type="noConversion"/>
  </si>
  <si>
    <t>无论你选择了什么，都没有人会责怪你。</t>
    <phoneticPr fontId="71" type="noConversion"/>
  </si>
  <si>
    <t>握紧的掌心</t>
    <phoneticPr fontId="71" type="noConversion"/>
  </si>
  <si>
    <t>某种程度上，我不够相信你。</t>
    <phoneticPr fontId="71" type="noConversion"/>
  </si>
  <si>
    <t>幻想号启航</t>
    <phoneticPr fontId="71" type="noConversion"/>
  </si>
  <si>
    <t>原来你们的夜空，和我们的也没什么差别呢。</t>
    <phoneticPr fontId="71" type="noConversion"/>
  </si>
  <si>
    <t>期待与追赶</t>
    <phoneticPr fontId="71" type="noConversion"/>
  </si>
  <si>
    <t>不是要战胜我吗？我很期待那一天的到来。</t>
    <phoneticPr fontId="71" type="noConversion"/>
  </si>
  <si>
    <t>废墟之下</t>
    <phoneticPr fontId="71" type="noConversion"/>
  </si>
  <si>
    <t>他闭着眼睛，好像只是睡着了。</t>
    <phoneticPr fontId="71" type="noConversion"/>
  </si>
  <si>
    <t>破碎指针</t>
    <phoneticPr fontId="71" type="noConversion"/>
  </si>
  <si>
    <t>但他会回来的，因为她在这里。</t>
    <phoneticPr fontId="71" type="noConversion"/>
  </si>
  <si>
    <t>计划前夕</t>
    <phoneticPr fontId="71" type="noConversion"/>
  </si>
  <si>
    <t>如果我是你，会好好利用这一点。</t>
    <phoneticPr fontId="71" type="noConversion"/>
  </si>
  <si>
    <t>暗流涌动</t>
    <phoneticPr fontId="71" type="noConversion"/>
  </si>
  <si>
    <t>Nox死了。你们知道吗？</t>
    <phoneticPr fontId="71" type="noConversion"/>
  </si>
  <si>
    <t>现场审判</t>
    <phoneticPr fontId="71" type="noConversion"/>
  </si>
  <si>
    <t>看来，有很多人对我有所质疑。</t>
    <phoneticPr fontId="71" type="noConversion"/>
  </si>
  <si>
    <t>枕边心安</t>
    <phoneticPr fontId="71" type="noConversion"/>
  </si>
  <si>
    <t>你对我的信心可以再多一些。</t>
    <phoneticPr fontId="71" type="noConversion"/>
  </si>
  <si>
    <t>思维误区</t>
    <phoneticPr fontId="71" type="noConversion"/>
  </si>
  <si>
    <t>也许……我们可以回到那里，找到答案。</t>
    <phoneticPr fontId="71" type="noConversion"/>
  </si>
  <si>
    <t>穿越时空</t>
    <phoneticPr fontId="71" type="noConversion"/>
  </si>
  <si>
    <t>这世界的运作规则，就是有相同目的的人一起合作，各自达成目标。</t>
    <phoneticPr fontId="71" type="noConversion"/>
  </si>
  <si>
    <t>亮牌</t>
    <phoneticPr fontId="71" type="noConversion"/>
  </si>
  <si>
    <t>我是李泽言。</t>
    <phoneticPr fontId="71" type="noConversion"/>
  </si>
  <si>
    <t>崩塌之时</t>
    <phoneticPr fontId="71" type="noConversion"/>
  </si>
  <si>
    <t>我说过，那不会是我们的结局。</t>
    <phoneticPr fontId="71" type="noConversion"/>
  </si>
  <si>
    <t>900363,254,1</t>
    <phoneticPr fontId="71" type="noConversion"/>
  </si>
  <si>
    <t>9002111,254,1</t>
    <phoneticPr fontId="71" type="noConversion"/>
  </si>
  <si>
    <t>9002112,254,1</t>
    <phoneticPr fontId="71" type="noConversion"/>
  </si>
  <si>
    <t>9002113,254,1</t>
    <phoneticPr fontId="71" type="noConversion"/>
  </si>
  <si>
    <t>task_chapter_group_info.xlsx</t>
  </si>
  <si>
    <t>task_chapter_info.xlsx</t>
  </si>
  <si>
    <t>task_chapter_treasurebox.xlsx</t>
  </si>
  <si>
    <t>task_line_info_data.xlsx</t>
  </si>
  <si>
    <t>task_info_data.xlsx</t>
  </si>
  <si>
    <t>task_event_info_data.xlsx</t>
  </si>
  <si>
    <t>task_comment.xlsx</t>
  </si>
  <si>
    <t>task_text_data.xlsx</t>
  </si>
  <si>
    <t>task_extra_reward.xlsx</t>
  </si>
  <si>
    <t>goods_info_data.xlsx</t>
  </si>
  <si>
    <t>achievement_info_data.xlsx</t>
  </si>
  <si>
    <t>quest_my_daybook.xlsx</t>
  </si>
  <si>
    <t>taskline_unlock_condition.xlsx</t>
  </si>
  <si>
    <t>关卡文案</t>
    <phoneticPr fontId="71" type="noConversion"/>
  </si>
  <si>
    <t>C:\Users\PC\Downloads\12月主线\章节&amp;关卡文案.xlsx</t>
  </si>
  <si>
    <t>更新开关</t>
    <phoneticPr fontId="71" type="noConversion"/>
  </si>
  <si>
    <t>表格</t>
    <phoneticPr fontId="71" type="noConversion"/>
  </si>
  <si>
    <t>全部更新</t>
    <phoneticPr fontId="71" type="noConversion"/>
  </si>
  <si>
    <t>board_topic_info.xlsx</t>
    <phoneticPr fontId="71" type="noConversion"/>
  </si>
  <si>
    <t>company_project_brief.xlsx</t>
    <phoneticPr fontId="71" type="noConversion"/>
  </si>
  <si>
    <t>newworld_card_info.xlsx</t>
    <phoneticPr fontId="71" type="noConversion"/>
  </si>
  <si>
    <t>newworld_monster_info.xlsx</t>
    <phoneticPr fontId="71" type="noConversion"/>
  </si>
  <si>
    <t>subway_dungeon.xlsx</t>
    <phoneticPr fontId="71" type="noConversion"/>
  </si>
  <si>
    <t>newcard_skill_info.xlsx</t>
    <phoneticPr fontId="71" type="noConversion"/>
  </si>
  <si>
    <t>地铁站</t>
    <phoneticPr fontId="71" type="noConversion"/>
  </si>
  <si>
    <t>我的公司</t>
    <phoneticPr fontId="71" type="noConversion"/>
  </si>
  <si>
    <t>夜晚</t>
    <phoneticPr fontId="71" type="noConversion"/>
  </si>
  <si>
    <t>演艺中心</t>
    <phoneticPr fontId="71" type="noConversion"/>
  </si>
  <si>
    <t>B.S.大楼</t>
    <phoneticPr fontId="71" type="noConversion"/>
  </si>
  <si>
    <t>NW研究所</t>
    <phoneticPr fontId="71" type="noConversion"/>
  </si>
  <si>
    <r>
      <t>NW</t>
    </r>
    <r>
      <rPr>
        <sz val="10.5"/>
        <color theme="1"/>
        <rFont val="宋体"/>
        <family val="3"/>
        <charset val="134"/>
      </rPr>
      <t>研究所</t>
    </r>
  </si>
  <si>
    <t>我的家</t>
    <phoneticPr fontId="71" type="noConversion"/>
  </si>
  <si>
    <t>白起的家</t>
    <phoneticPr fontId="71" type="noConversion"/>
  </si>
  <si>
    <t>特遣署</t>
    <phoneticPr fontId="71" type="noConversion"/>
  </si>
  <si>
    <t>东海湾</t>
    <phoneticPr fontId="71" type="noConversion"/>
  </si>
  <si>
    <t>旧城区</t>
    <phoneticPr fontId="71" type="noConversion"/>
  </si>
  <si>
    <t>李泽言的家</t>
    <phoneticPr fontId="71" type="noConversion"/>
  </si>
  <si>
    <t>地点9</t>
    <phoneticPr fontId="71" type="noConversion"/>
  </si>
  <si>
    <t>weather
默认白天</t>
    <phoneticPr fontId="71" type="noConversion"/>
  </si>
  <si>
    <t>1422,253,1</t>
    <phoneticPr fontId="71" type="noConversion"/>
  </si>
  <si>
    <t>2021/12/24 5:00</t>
    <phoneticPr fontId="71" type="noConversion"/>
  </si>
  <si>
    <t>0,2022年1月签到奖励</t>
    <phoneticPr fontId="71" type="noConversion"/>
  </si>
  <si>
    <t>2022/1/1 5:00</t>
    <phoneticPr fontId="71" type="noConversion"/>
  </si>
  <si>
    <t>2022/1/8 5:00</t>
    <phoneticPr fontId="71" type="noConversion"/>
  </si>
  <si>
    <t>李泽言单攻1</t>
    <phoneticPr fontId="71" type="noConversion"/>
  </si>
  <si>
    <t>白起·点就送</t>
    <phoneticPr fontId="71" type="noConversion"/>
  </si>
  <si>
    <t>白起群攻1</t>
    <phoneticPr fontId="71" type="noConversion"/>
  </si>
  <si>
    <t>周棋洛辅助1</t>
    <phoneticPr fontId="71" type="noConversion"/>
  </si>
  <si>
    <t>粉橙蓝</t>
    <phoneticPr fontId="71" type="noConversion"/>
  </si>
  <si>
    <t>周棋洛·熠熠心念</t>
    <phoneticPr fontId="74" type="noConversion"/>
  </si>
  <si>
    <t>0,岁晏同酌活动限定</t>
    <phoneticPr fontId="74" type="noConversion"/>
  </si>
  <si>
    <t>满路的阳光，都是我最闪耀的新年祝福。</t>
    <phoneticPr fontId="71" type="noConversion"/>
  </si>
  <si>
    <t>元旦前夕，久未放晴的恋语市终于迎来了一个大晴天，周棋洛忽然出现在我面前，拉着我一起逛彩色帐篷集市，甚至还在夜晚时给了我一个跨年惊喜……</t>
    <phoneticPr fontId="71" type="noConversion"/>
  </si>
  <si>
    <t>阴冷的大冬天，我正躲在被窝里刷手机，忽然，周棋洛出现在我面前！没想到今天居然是个大晴天，周棋洛拉我一起出去沐浴阳光。</t>
    <phoneticPr fontId="71" type="noConversion"/>
  </si>
  <si>
    <t>随意逛街的途中，我们路遇一个彩色帐篷集市，里面有不少好吃的童年年货，最后我们来到一家棒棒糖帐篷门口，决定学着自制棒棒糖。</t>
    <phoneticPr fontId="71" type="noConversion"/>
  </si>
  <si>
    <t>水晶夹层棒棒糖制作起来并不是那么容易，我们试了好几次都做得不够好，但的确一直在进步。最后，一颗完美的棒棒糖终于被我们做成了！然而当周棋洛举起棒棒糖时，我唯一注视的却只有他的双眼……</t>
    <phoneticPr fontId="71" type="noConversion"/>
  </si>
  <si>
    <t>离开集市时天已经黑了，我正有些可惜今天沐浴阳光之旅已经结束了，周棋洛却神秘地说，如果想让阳光停留地更久一点，他可以帮我实现愿望。下一秒，仿佛变魔术一样，整条街区忽然都亮起了柔和的“阳光”，原来这竟然是……</t>
    <phoneticPr fontId="71" type="noConversion"/>
  </si>
  <si>
    <t>集市之约</t>
    <phoneticPr fontId="71" type="noConversion"/>
  </si>
  <si>
    <t>1426,253,1</t>
    <phoneticPr fontId="71" type="noConversion"/>
  </si>
  <si>
    <t>2430,253,1</t>
    <phoneticPr fontId="71" type="noConversion"/>
  </si>
  <si>
    <t>3438,253,1</t>
    <phoneticPr fontId="71" type="noConversion"/>
  </si>
  <si>
    <t>4430,253,1</t>
    <phoneticPr fontId="71" type="noConversion"/>
  </si>
  <si>
    <t>1175,252,1</t>
    <phoneticPr fontId="71" type="noConversion"/>
  </si>
  <si>
    <t>2172,252,1</t>
    <phoneticPr fontId="71" type="noConversion"/>
  </si>
  <si>
    <t>3171,252,1</t>
    <phoneticPr fontId="71" type="noConversion"/>
  </si>
  <si>
    <t>4173,252,1</t>
    <phoneticPr fontId="71" type="noConversion"/>
  </si>
  <si>
    <t>白起·昭昭入怀</t>
    <phoneticPr fontId="74" type="noConversion"/>
  </si>
  <si>
    <t>火树银花下，你是最明亮的一笔。</t>
    <phoneticPr fontId="71" type="noConversion"/>
  </si>
  <si>
    <t>锦时之约</t>
    <phoneticPr fontId="71" type="noConversion"/>
  </si>
  <si>
    <t>我受宫老师邀请，想和白起一起回恋语高中参加跨年集市，却意外得知白起当晚要在特遣署的跨年活动上致辞……</t>
    <phoneticPr fontId="71" type="noConversion"/>
  </si>
  <si>
    <t>我想邀请白起参加恋语高中的跨年集市，白起却告诉我跨年夜他可能要去趟特遣署，特遣署给一些不能回家的队员们举办了跨年活动，他要在活动上致辞。</t>
    <phoneticPr fontId="71" type="noConversion"/>
  </si>
  <si>
    <t>跨年夜前夕，我和白起一起来到了恋语高中帮助学生们筹备集市活动。我意外得知了白起居然会舞狮！</t>
    <phoneticPr fontId="71" type="noConversion"/>
  </si>
  <si>
    <t>跨年夜当天，我和白起视频通话，跟他分享着现场的所见所闻。我在现场观看了一段舞狮表演，表演结束后，我想将绣球还给刚刚舞狮的同学，却发现那个人有着我熟悉的面孔……</t>
    <phoneticPr fontId="71" type="noConversion"/>
  </si>
  <si>
    <t>原来刚才表演舞狮的人是白起，他告诉我这也是他给我准备的一个惊喜。“狮子滚绣球，好事在后头。”他想亲手将这份好兆头交到我手里。烟花之下，人群尽头，我们一起相伴着跨入了新的一年。</t>
    <phoneticPr fontId="71" type="noConversion"/>
  </si>
  <si>
    <t>李泽言·晏晏而遇</t>
    <phoneticPr fontId="74" type="noConversion"/>
  </si>
  <si>
    <t>祈岁之约</t>
    <phoneticPr fontId="71" type="noConversion"/>
  </si>
  <si>
    <t>你与我许下的期限，是往后所有岁月。</t>
    <phoneticPr fontId="71" type="noConversion"/>
  </si>
  <si>
    <t>我跟李泽言相约，要去参加蒙山古镇的元旦庆典，借这个机会“重温回忆”。然而，这场庆典的活动中却出现了一些意外……</t>
    <phoneticPr fontId="71" type="noConversion"/>
  </si>
  <si>
    <t>各自的出差终于告一段落。我和李泽言计划参加蒙山古镇的元旦庆典，在那里度过假期的第一天。为此，我还特意搭配了上次蒙山之行买回的发带。</t>
    <phoneticPr fontId="71" type="noConversion"/>
  </si>
  <si>
    <t>节日期间，蒙山古镇处处张灯结彩，我很快被眼前的景色吸引了注意。可回过神来，我的发带却不知什么时候遗失了……</t>
    <phoneticPr fontId="71" type="noConversion"/>
  </si>
  <si>
    <t>庆典开始，我与李泽言参加活动的过程却并不顺利。终于拿到许愿牌后，我闭上眼睛虔诚地许下了心愿。没想到，李泽言却蒙住了我的眼睛……</t>
    <phoneticPr fontId="71" type="noConversion"/>
  </si>
  <si>
    <t>姻缘树下，我与李泽言在许愿牌上写下了关于对方的期许。可他写下的内容，却出乎我的意料……</t>
    <phoneticPr fontId="71" type="noConversion"/>
  </si>
  <si>
    <t>许墨·栩栩萦心</t>
    <phoneticPr fontId="74" type="noConversion"/>
  </si>
  <si>
    <t>我要与你共度每个晨起夕落、辞旧迎新。</t>
    <phoneticPr fontId="71" type="noConversion"/>
  </si>
  <si>
    <t>完成了年底最后一批紧急工作，我终于得到了几日休息的时间，正思考要如何与许墨跨年，却意外地收到了他的团建邀请……</t>
    <phoneticPr fontId="71" type="noConversion"/>
  </si>
  <si>
    <t>研究所内一批完成项目即将离开的研究员组织了一次团建活动，邀请了我和许墨去古镇上共度小假期。这时我才知道，原来之前几次许墨没有赴约团建的原因竟然都和我有关……</t>
    <phoneticPr fontId="71" type="noConversion"/>
  </si>
  <si>
    <t>许墨想给同事们选礼物，在游逛采买的过程中，我发现许墨对“过节日”这件事情比以前更投入了，我决定把这次的年货置办交给许墨。</t>
    <phoneticPr fontId="71" type="noConversion"/>
  </si>
  <si>
    <t>我们买到了一对可爱的老虎娃娃，许墨说自己也要像小老虎一样抱住属于自己的“福气”，这时我们发现，有一样东西十分适合作为饯别礼物送给许墨的同事们……</t>
    <phoneticPr fontId="71" type="noConversion"/>
  </si>
  <si>
    <t>晚餐上，许墨也收到了同事们送来的神秘新年礼物。许墨向我倾诉了他对新年祈愿的想法，我拿出了我手写的祝福贺卡，而许墨也为我准备了同样的惊喜，并表示想要和我一同进行一个时限一生的项目。</t>
    <phoneticPr fontId="71" type="noConversion"/>
  </si>
  <si>
    <t>李泽言·心墙晏晏而遇</t>
  </si>
  <si>
    <t>10272:5762:422:5766</t>
  </si>
  <si>
    <t>1836:676:192:1203</t>
  </si>
  <si>
    <t>李泽言·围城晏晏而遇</t>
  </si>
  <si>
    <t>9079:4610:2589:5942</t>
  </si>
  <si>
    <t>1774:616:305:1212</t>
  </si>
  <si>
    <t>李泽言·热望晏晏而遇</t>
  </si>
  <si>
    <t>6962:9256:422:5581</t>
  </si>
  <si>
    <t>1265:1783:192:666</t>
  </si>
  <si>
    <t>李泽言·浮香晏晏而遇</t>
  </si>
  <si>
    <t>5349:9717:4152:3001</t>
  </si>
  <si>
    <t>1181:1807:592:327</t>
  </si>
  <si>
    <t>李泽言·猎行之时晏晏而遇</t>
  </si>
  <si>
    <t>6501:9534:4613:1574</t>
  </si>
  <si>
    <t>1241:1798:616:252</t>
  </si>
  <si>
    <t>李泽言·制胜时刻晏晏而遇</t>
  </si>
  <si>
    <t>5349:6777:4791:5302</t>
  </si>
  <si>
    <t>1181:1654:420:652</t>
  </si>
  <si>
    <t>李泽言·一眸之隔晏晏而遇</t>
  </si>
  <si>
    <t>7237:8155:5252:1574</t>
  </si>
  <si>
    <t>1280:1726:649:252</t>
  </si>
  <si>
    <t>李泽言·今夕景晏晏而遇</t>
  </si>
  <si>
    <t>6501:4610:4616:6496</t>
  </si>
  <si>
    <t>1639:411:616:1241</t>
  </si>
  <si>
    <t>李泽言·盛意满怀晏晏而遇</t>
  </si>
  <si>
    <t>5349:5762:4611:6500</t>
  </si>
  <si>
    <t>654:1203:411:1639</t>
  </si>
  <si>
    <t>李泽言·静谧晖光晏晏而遇</t>
  </si>
  <si>
    <t>5349:8337:5532:3001</t>
  </si>
  <si>
    <t>654:1735:1191:327</t>
  </si>
  <si>
    <t>李泽言·相遇转角晏晏而遇</t>
  </si>
  <si>
    <t>9076:8981:422:3741</t>
  </si>
  <si>
    <t>1774:1371:192:570</t>
  </si>
  <si>
    <t>李泽言·漫言日长晏晏而遇</t>
  </si>
  <si>
    <t>10181:4610:2310:5118</t>
  </si>
  <si>
    <t>1832:616:291:1169</t>
  </si>
  <si>
    <t>李泽言·钟影阑珊晏晏而遇</t>
  </si>
  <si>
    <t>10460:8335:1849:1574</t>
  </si>
  <si>
    <t>1846:1457:394:192</t>
  </si>
  <si>
    <t>李泽言·心澜晏晏而遇</t>
  </si>
  <si>
    <t>10458:8338:422:3001</t>
  </si>
  <si>
    <t>1846:1457:132:444</t>
  </si>
  <si>
    <t>李泽言·清朗好日晏晏而遇</t>
  </si>
  <si>
    <t>7237:8157:422:6403</t>
  </si>
  <si>
    <t>1280:1726:192:709</t>
  </si>
  <si>
    <t>李泽言·不夜天晏晏而遇</t>
  </si>
  <si>
    <t>9544:5762:5342:1574</t>
  </si>
  <si>
    <t>1798:1203:654:252</t>
  </si>
  <si>
    <t>6502:8888:6407:422</t>
  </si>
  <si>
    <t>1241:1764:710:192</t>
  </si>
  <si>
    <t>6678:7695:5255:2589</t>
  </si>
  <si>
    <t>6317:5578:9901:422</t>
  </si>
  <si>
    <t>1232:666:1817:192</t>
  </si>
  <si>
    <t>2310:5853:8800:5252</t>
  </si>
  <si>
    <t>291:1208:1759:649</t>
  </si>
  <si>
    <t>3737:3965:10362:4152</t>
  </si>
  <si>
    <t>2310:5117:10179:4613</t>
  </si>
  <si>
    <t>291:1169:1831:616</t>
  </si>
  <si>
    <t>6038:3965:7422:4791</t>
  </si>
  <si>
    <t>1217:377:1688:625</t>
  </si>
  <si>
    <t>7232:5117:5255:4616</t>
  </si>
  <si>
    <t>7236:3965:6407:4611</t>
  </si>
  <si>
    <t>1678:377:1237:616</t>
  </si>
  <si>
    <t>5854:8797:5255:2310</t>
  </si>
  <si>
    <t>1208:1759:649:291</t>
  </si>
  <si>
    <t>4477:7692:9626:422</t>
  </si>
  <si>
    <t>609:1304:1803:192</t>
  </si>
  <si>
    <t>3737:3965:8982:5532</t>
  </si>
  <si>
    <t>365:582:1769:1191</t>
  </si>
  <si>
    <t>7139:5853:8802:422</t>
  </si>
  <si>
    <t>1275:681:1760:192</t>
  </si>
  <si>
    <t>2310:9076:8980:1849</t>
  </si>
  <si>
    <t>2310:8160:6407:5342</t>
  </si>
  <si>
    <t>291:1726:1237:654</t>
  </si>
  <si>
    <t>许墨·破局栩栩萦心</t>
  </si>
  <si>
    <t>5766:10272:5762:422</t>
  </si>
  <si>
    <t>1203:1836:676:192</t>
  </si>
  <si>
    <t>许墨·陷落栩栩萦心</t>
  </si>
  <si>
    <t>5942:9079:4610:2589</t>
  </si>
  <si>
    <t>1212:1774:616:305</t>
  </si>
  <si>
    <t>许墨·雨幕栩栩萦心</t>
  </si>
  <si>
    <t>5581:6962:9256:422</t>
  </si>
  <si>
    <t>666:1265:1783:192</t>
  </si>
  <si>
    <t>许墨·拟扣心门栩栩萦心</t>
  </si>
  <si>
    <t>1574:7237:8155:5252</t>
  </si>
  <si>
    <t>252:1280:1726:649</t>
  </si>
  <si>
    <t>许墨·落日余温栩栩萦心</t>
  </si>
  <si>
    <t>3001:5349:9717:4152</t>
  </si>
  <si>
    <t>327:1181:1807:592</t>
  </si>
  <si>
    <t>许墨·断线栩栩萦心</t>
  </si>
  <si>
    <t>1574:6501:9534:4613</t>
  </si>
  <si>
    <t>252:1241:1798:616</t>
  </si>
  <si>
    <t>许墨·自深深处栩栩萦心</t>
  </si>
  <si>
    <t>5302:5349:6777:4791</t>
  </si>
  <si>
    <t>许墨·梦仙林栩栩萦心</t>
  </si>
  <si>
    <t>6496:6501:4610:4616</t>
  </si>
  <si>
    <t>1241:1639:411:616</t>
  </si>
  <si>
    <t>许墨·独享况味栩栩萦心</t>
  </si>
  <si>
    <t>6500:5349:5762:4611</t>
  </si>
  <si>
    <t>1639:654:1203:411</t>
  </si>
  <si>
    <t>许墨·私藏暇光栩栩萦心</t>
  </si>
  <si>
    <t>5118:10181:4610:2310</t>
  </si>
  <si>
    <t>1169:1832:616:291</t>
  </si>
  <si>
    <t>许墨·人潮漫卷栩栩萦心</t>
  </si>
  <si>
    <t>3741:9076:8981:422</t>
  </si>
  <si>
    <t>570:1774:1371:192</t>
  </si>
  <si>
    <t>许墨·心窍栩栩萦心</t>
  </si>
  <si>
    <t>3001:5349:8337:5532</t>
  </si>
  <si>
    <t>327:654:1735:1191</t>
  </si>
  <si>
    <t>许墨·萌趣印迹栩栩萦心</t>
  </si>
  <si>
    <t>6403:7237:8157:422</t>
  </si>
  <si>
    <t>709:1280:1726:192</t>
  </si>
  <si>
    <t>许墨·秋情难却栩栩萦心</t>
  </si>
  <si>
    <t>1574:10460:8335:1849</t>
  </si>
  <si>
    <t>192:1846:1457:394</t>
  </si>
  <si>
    <t>许墨·破月弦栩栩萦心</t>
  </si>
  <si>
    <t>1574:9544:5762:5342</t>
  </si>
  <si>
    <t>252:1798:1203:654</t>
  </si>
  <si>
    <t>3462:8892:9443:422</t>
  </si>
  <si>
    <t>周棋洛·迷藏熠熠心念</t>
  </si>
  <si>
    <t>422:5762:5766:10272</t>
  </si>
  <si>
    <t>192:676:1203:1836</t>
  </si>
  <si>
    <t>周棋洛·假象熠熠心念</t>
  </si>
  <si>
    <t>2589:4610:5942:9079</t>
  </si>
  <si>
    <t>305:616:1212:1774</t>
  </si>
  <si>
    <t>周棋洛·梦想起点熠熠心念</t>
  </si>
  <si>
    <t>422:9256:5581:6962</t>
  </si>
  <si>
    <t>192:1783:666:1265</t>
  </si>
  <si>
    <t>周棋洛·快乐供应熠熠心念</t>
  </si>
  <si>
    <t>4152:9717:3001:5349</t>
  </si>
  <si>
    <t>592:1807:327:1181</t>
  </si>
  <si>
    <t>周棋洛·光的缝隙熠熠心念</t>
  </si>
  <si>
    <t>4613:9534:1574:6501</t>
  </si>
  <si>
    <t>616:1798:252:1241</t>
  </si>
  <si>
    <t>周棋洛·注目熠熠心念</t>
  </si>
  <si>
    <t>4791:6777:5302:5349</t>
  </si>
  <si>
    <t>420:1654:652:1181</t>
  </si>
  <si>
    <t>周棋洛·倾音熠熠心念</t>
  </si>
  <si>
    <t>422:8157:6403:7237</t>
  </si>
  <si>
    <t>192:1726:709:1280</t>
  </si>
  <si>
    <t>周棋洛·欲忘言熠熠心念</t>
  </si>
  <si>
    <t>4616:4610:6496:6501</t>
  </si>
  <si>
    <t>616:411:1241:1639</t>
  </si>
  <si>
    <t>周棋洛·心动节拍熠熠心念</t>
  </si>
  <si>
    <t>4611:5762:6500:5349</t>
  </si>
  <si>
    <t>411:1203:1639:654</t>
  </si>
  <si>
    <t>周棋洛·美妙一瞬熠熠心念</t>
  </si>
  <si>
    <t>422:8338:3001:10458</t>
  </si>
  <si>
    <t>132:1457:444:1846</t>
  </si>
  <si>
    <t>周棋洛·满分拥抱熠熠心念</t>
  </si>
  <si>
    <t>5252:8155:1574:7237</t>
  </si>
  <si>
    <t>649:1726:252:1280</t>
  </si>
  <si>
    <t>周棋洛·追光熠熠心念</t>
  </si>
  <si>
    <t>5532:8337:3001:5349</t>
  </si>
  <si>
    <t>1191:1735:327:654</t>
  </si>
  <si>
    <t>周棋洛·阳光盛惠熠熠心念</t>
  </si>
  <si>
    <t>422:8981:3741:9076</t>
  </si>
  <si>
    <t>192:1371:570:1774</t>
  </si>
  <si>
    <t>周棋洛·飞行岛屿熠熠心念</t>
  </si>
  <si>
    <t>1849:8335:1574:10460</t>
  </si>
  <si>
    <t>394:1457:192:1846</t>
  </si>
  <si>
    <t>周棋洛·无忧暖蕴熠熠心念</t>
  </si>
  <si>
    <t>2310:4610:5118:10181</t>
  </si>
  <si>
    <t>291:616:1169:1832</t>
  </si>
  <si>
    <t>周棋洛·霜阑晓熠熠心念</t>
  </si>
  <si>
    <t>5342:5762:1574:9544</t>
  </si>
  <si>
    <t>白起·风起时昭昭入怀</t>
  </si>
  <si>
    <t>1574:1849:9717:9079</t>
  </si>
  <si>
    <t>202:406:1807:1477</t>
  </si>
  <si>
    <t>白起·锋刃昭昭入怀</t>
  </si>
  <si>
    <t>1574:4614:9533:6501</t>
  </si>
  <si>
    <t>252:616:1798:1241</t>
  </si>
  <si>
    <t>白起·长夜星火昭昭入怀</t>
  </si>
  <si>
    <t>3741:4790:8340:5349</t>
  </si>
  <si>
    <t>365:625:1735:1181</t>
  </si>
  <si>
    <t>白起·灿烂之年昭昭入怀</t>
  </si>
  <si>
    <t>1574:4429:6223:9995</t>
  </si>
  <si>
    <t>252:606:1227:1822</t>
  </si>
  <si>
    <t>白起·无畏昭昭入怀</t>
  </si>
  <si>
    <t>5765:422:5762:10273</t>
  </si>
  <si>
    <t>1203:192:676:1836</t>
  </si>
  <si>
    <t>白起·留白心绪昭昭入怀</t>
  </si>
  <si>
    <t>5302:1849:4610:10458</t>
  </si>
  <si>
    <t>1179:267:616:1846</t>
  </si>
  <si>
    <t>白起·隐夜昭昭入怀</t>
  </si>
  <si>
    <t>5943:4150:4610:7516</t>
  </si>
  <si>
    <t>1212:387:616:1692</t>
  </si>
  <si>
    <t>白起·醉行歌昭昭入怀</t>
  </si>
  <si>
    <t>5768:5344:5762:5349</t>
  </si>
  <si>
    <t>1601:449:1203:654</t>
  </si>
  <si>
    <t>白起·斑驳印记昭昭入怀</t>
  </si>
  <si>
    <t>6404:422:6498:8894</t>
  </si>
  <si>
    <t>709:192:1241:1764</t>
  </si>
  <si>
    <t>白起·私人记号昭昭入怀</t>
  </si>
  <si>
    <t>5763:5348:4610:6501</t>
  </si>
  <si>
    <t>1203:654:411:1639</t>
  </si>
  <si>
    <t>白起·银河来信昭昭入怀</t>
  </si>
  <si>
    <t>1574:2589:8337:9720</t>
  </si>
  <si>
    <t>246:503:1348:1807</t>
  </si>
  <si>
    <t>白起·炽盛昭昭入怀</t>
  </si>
  <si>
    <t>6684:1849:4610:9076</t>
  </si>
  <si>
    <t>1251:267:616:1774</t>
  </si>
  <si>
    <t>白起·跃晴昭昭入怀</t>
  </si>
  <si>
    <t>1574:5251:6498:8896</t>
  </si>
  <si>
    <t>252:649:1241:1764</t>
  </si>
  <si>
    <t>白起·深浅兴味昭昭入怀</t>
  </si>
  <si>
    <t>3462:3966:9442:5349</t>
  </si>
  <si>
    <t>白起·疾驰之风昭昭入怀</t>
  </si>
  <si>
    <t>3001:422:9721:9074</t>
  </si>
  <si>
    <t>457:141:1808:1478</t>
  </si>
  <si>
    <t>白起·挽狂澜昭昭入怀</t>
  </si>
  <si>
    <t>6494:422:8805:6501</t>
  </si>
  <si>
    <t>714:192:1760:1241</t>
  </si>
  <si>
    <t>周棋洛·派可爱星</t>
    <phoneticPr fontId="71" type="noConversion"/>
  </si>
  <si>
    <t>我喜欢你带给我的所有力量和快乐。</t>
    <phoneticPr fontId="71" type="noConversion"/>
  </si>
  <si>
    <t>3439,253,1</t>
    <phoneticPr fontId="71" type="noConversion"/>
  </si>
  <si>
    <t>3440,253,1</t>
    <phoneticPr fontId="71" type="noConversion"/>
  </si>
  <si>
    <t>许墨·暖忆长晴</t>
    <phoneticPr fontId="71" type="noConversion"/>
  </si>
  <si>
    <t>2174,252,1</t>
    <phoneticPr fontId="71" type="noConversion"/>
  </si>
  <si>
    <t>那些被定义为美好的记忆，只因为身边是你。</t>
    <phoneticPr fontId="71" type="noConversion"/>
  </si>
  <si>
    <t>惜忆之约</t>
    <phoneticPr fontId="71" type="noConversion"/>
  </si>
  <si>
    <t>我和许墨相约体验了一个主题为“思念的美好”的虚拟空间展览。虽然入场后发生了一个小小的意外，但我们看到了许多现实中难得一见的风景，也思念起了我们经历过的点点滴滴……</t>
    <phoneticPr fontId="71" type="noConversion"/>
  </si>
  <si>
    <t>许墨邀请我去一个主题为“思念的美好”的展览。神奇的是，这个展馆是存在于虚拟空间的。</t>
    <phoneticPr fontId="74" type="noConversion"/>
  </si>
  <si>
    <t>在虚拟展览体验室里，我和许墨帮对方戴上了设备，一起进入了虚拟空间，一个浪漫而奇妙的世界展现在我们面前。因为太过沉浸，我居然不小心忘记了注意事项……</t>
    <phoneticPr fontId="74" type="noConversion"/>
  </si>
  <si>
    <t>在展馆中，我们遇到一棵枫树，我由此回忆起了和许墨一起度过的那段美好时光。没想到，在展馆尽头的小楼里，有一件让我吃惊的“展品”在阳光下静静等待着我们……</t>
    <phoneticPr fontId="74" type="noConversion"/>
  </si>
  <si>
    <t>看完了整个展览，我和许墨不约而同地意识到，对我们来说是否留下一件承载着美好的物件已经并不重要，最关键的是，能在我们生命中留下那些值得思念的美好的人，已经在彼此的身边了。</t>
    <phoneticPr fontId="74" type="noConversion"/>
  </si>
  <si>
    <t>许墨·破局暖忆长晴</t>
  </si>
  <si>
    <t>许墨·陷落暖忆长晴</t>
  </si>
  <si>
    <t>许墨·雨幕暖忆长晴</t>
  </si>
  <si>
    <t>许墨·拟扣心门暖忆长晴</t>
  </si>
  <si>
    <t>许墨·落日余温暖忆长晴</t>
  </si>
  <si>
    <t>许墨·断线暖忆长晴</t>
  </si>
  <si>
    <t>许墨·自深深处暖忆长晴</t>
  </si>
  <si>
    <t>许墨·梦仙林暖忆长晴</t>
  </si>
  <si>
    <t>许墨·独享况味暖忆长晴</t>
  </si>
  <si>
    <t>许墨·私藏暇光暖忆长晴</t>
  </si>
  <si>
    <t>许墨·人潮漫卷暖忆长晴</t>
  </si>
  <si>
    <t>许墨·心窍暖忆长晴</t>
  </si>
  <si>
    <t>许墨·萌趣印迹暖忆长晴</t>
  </si>
  <si>
    <t>许墨·秋情难却暖忆长晴</t>
  </si>
  <si>
    <t>许墨·破月弦暖忆长晴</t>
  </si>
  <si>
    <t>许墨·暖忆长晴栩栩萦心</t>
  </si>
  <si>
    <t>4|备注[hide]</t>
    <phoneticPr fontId="71" type="noConversion"/>
  </si>
  <si>
    <t>1,0,157,1:11,0,157,1</t>
    <phoneticPr fontId="71" type="noConversion"/>
  </si>
  <si>
    <t>1,-62,41,1:11,-62,41,1</t>
    <phoneticPr fontId="71" type="noConversion"/>
  </si>
  <si>
    <t>1,-62,141,1:11,-62,141,1</t>
    <phoneticPr fontId="71" type="noConversion"/>
  </si>
  <si>
    <t>1,58,101,1:11,58,101,1</t>
    <phoneticPr fontId="71" type="noConversion"/>
  </si>
  <si>
    <t>希冀之约</t>
    <phoneticPr fontId="71" type="noConversion"/>
  </si>
  <si>
    <t>D:\BossLove_Design\国内版本计划\策划wiki\策划工具\【card】71140_完.xlsx</t>
    <phoneticPr fontId="71" type="noConversion"/>
  </si>
  <si>
    <t>E:\BossLove_Client\Design\overseas_config\excel_config</t>
    <phoneticPr fontId="71" type="noConversion"/>
  </si>
  <si>
    <t>2434,253,1</t>
  </si>
  <si>
    <t>李泽言·望你至深</t>
    <phoneticPr fontId="71" type="noConversion"/>
  </si>
  <si>
    <t>0,盛大私语</t>
    <phoneticPr fontId="71" type="noConversion"/>
  </si>
  <si>
    <t>时光慷慨，让我能遇见你。</t>
  </si>
  <si>
    <t>盛大私语</t>
  </si>
  <si>
    <t>临近零点，我乘车在去往的华锐路上时接到了李泽言的电话。果然，今年的惊喜策划又被提前发现了！</t>
    <phoneticPr fontId="71" type="noConversion"/>
  </si>
  <si>
    <t>李泽言向我示意了华锐未来几年的战略规划，坦言他非实现不可的愿望早已实现，如今的愿望，就是继续现在的生活。</t>
    <phoneticPr fontId="71" type="noConversion"/>
  </si>
  <si>
    <t>零点到来，外面的高楼接连亮起灯光，这是我为李泽言准备的生日惊喜。与此同时，我将一支纸折的玫瑰放入了他的口袋中。</t>
    <phoneticPr fontId="71" type="noConversion"/>
  </si>
  <si>
    <t> 面对我准备的这些礼物，李泽言心有触动，他告诉我，他的生活因我出现而变得不同，他想将我安排进他的未来里，感受时光流逝的每一寸意义。</t>
    <phoneticPr fontId="71" type="noConversion"/>
  </si>
  <si>
    <t>李泽言·花间来信</t>
    <phoneticPr fontId="71" type="noConversion"/>
  </si>
  <si>
    <t>勉强再接一次你幼稚的花招。</t>
  </si>
  <si>
    <t>2022/1/16 5:00</t>
  </si>
  <si>
    <t>0,岁初景明活动限定</t>
    <phoneticPr fontId="71" type="noConversion"/>
  </si>
  <si>
    <t>2022/1/25 5:00</t>
    <phoneticPr fontId="71" type="noConversion"/>
  </si>
  <si>
    <t>yes</t>
    <phoneticPr fontId="71" type="noConversion"/>
  </si>
  <si>
    <t>E:\evol_release_220108\Design\excel_config</t>
    <phoneticPr fontId="71" type="noConversion"/>
  </si>
  <si>
    <t>removeUnpro</t>
    <phoneticPr fontId="71" type="noConversion"/>
  </si>
  <si>
    <t>猫refresh奖池</t>
    <phoneticPr fontId="71" type="noConversion"/>
  </si>
  <si>
    <t>狗refresh奖池</t>
    <phoneticPr fontId="71" type="noConversion"/>
  </si>
  <si>
    <t>单抽价格</t>
    <phoneticPr fontId="71" type="noConversion"/>
  </si>
  <si>
    <t>6003,375,1:119581,101,1:0,2,60</t>
    <phoneticPr fontId="71" type="noConversion"/>
  </si>
  <si>
    <t>十连价格</t>
    <phoneticPr fontId="71" type="noConversion"/>
  </si>
  <si>
    <t>6003,375,8:119581,101,8:0,2,480</t>
    <phoneticPr fontId="74" type="noConversion"/>
  </si>
  <si>
    <t>十连额外奖励</t>
    <phoneticPr fontId="71" type="noConversion"/>
  </si>
  <si>
    <t>额外奖励周期</t>
    <phoneticPr fontId="71" type="noConversion"/>
  </si>
  <si>
    <t>天</t>
    <phoneticPr fontId="71" type="noConversion"/>
  </si>
  <si>
    <t>奖池开始时间</t>
    <phoneticPr fontId="71" type="noConversion"/>
  </si>
  <si>
    <t>奖池结束时间</t>
    <phoneticPr fontId="71" type="noConversion"/>
  </si>
  <si>
    <t>2021/10/26 5:00:00</t>
    <phoneticPr fontId="71" type="noConversion"/>
  </si>
  <si>
    <t>2021/11/9 23:59:00</t>
    <phoneticPr fontId="71" type="noConversion"/>
  </si>
  <si>
    <t>限时</t>
    <phoneticPr fontId="71" type="noConversion"/>
  </si>
  <si>
    <t>高</t>
    <phoneticPr fontId="71" type="noConversion"/>
  </si>
  <si>
    <t>刷新出蛋个数</t>
    <phoneticPr fontId="71" type="noConversion"/>
  </si>
  <si>
    <t>每日免费次数</t>
    <phoneticPr fontId="71" type="noConversion"/>
  </si>
  <si>
    <t>6002,375,1</t>
    <phoneticPr fontId="71" type="noConversion"/>
  </si>
  <si>
    <t>刷新代币</t>
    <phoneticPr fontId="71" type="noConversion"/>
  </si>
  <si>
    <t>刷新递增价格</t>
    <phoneticPr fontId="71" type="noConversion"/>
  </si>
  <si>
    <t>0,2,20|50|80|100</t>
    <phoneticPr fontId="71" type="noConversion"/>
  </si>
  <si>
    <t>扭蛋机皮肤</t>
    <phoneticPr fontId="71" type="noConversion"/>
  </si>
  <si>
    <t>界面显示代币</t>
    <phoneticPr fontId="71" type="noConversion"/>
  </si>
  <si>
    <t>119581,101,1</t>
    <phoneticPr fontId="71" type="noConversion"/>
  </si>
  <si>
    <t>去重</t>
    <phoneticPr fontId="71" type="noConversion"/>
  </si>
  <si>
    <t>蛋类型</t>
    <phoneticPr fontId="71" type="noConversion"/>
  </si>
  <si>
    <t>更新标记</t>
    <phoneticPr fontId="71" type="noConversion"/>
  </si>
  <si>
    <t>E:\evol_release_220125</t>
    <phoneticPr fontId="71" type="noConversion"/>
  </si>
  <si>
    <t>活动flag</t>
    <phoneticPr fontId="71" type="noConversion"/>
  </si>
  <si>
    <t>操作flag</t>
    <phoneticPr fontId="71" type="noConversion"/>
  </si>
  <si>
    <t>E:\evol_release_220108</t>
    <phoneticPr fontId="71" type="noConversion"/>
  </si>
  <si>
    <t>数据来源路径</t>
    <phoneticPr fontId="71" type="noConversion"/>
  </si>
  <si>
    <t>pet</t>
    <phoneticPr fontId="71" type="noConversion"/>
  </si>
  <si>
    <t>黑名单</t>
    <phoneticPr fontId="71" type="noConversion"/>
  </si>
  <si>
    <t>指定表格</t>
    <phoneticPr fontId="71" type="noConversion"/>
  </si>
  <si>
    <t>gacha_open_info</t>
    <phoneticPr fontId="71" type="noConversion"/>
  </si>
  <si>
    <t>李泽言·虎运满堂</t>
    <phoneticPr fontId="71" type="noConversion"/>
  </si>
  <si>
    <t>某人在身边，就是对圆满最好的诠释。</t>
  </si>
  <si>
    <t>许墨·虎福盈门</t>
    <phoneticPr fontId="71" type="noConversion"/>
  </si>
  <si>
    <t>和你在一起的时候，我总是会被福气眷顾。</t>
  </si>
  <si>
    <t>周棋洛·虎送佳音</t>
    <phoneticPr fontId="71" type="noConversion"/>
  </si>
  <si>
    <t>让我们一起演绎新年乐章里最浪漫的二重奏吧！</t>
  </si>
  <si>
    <t>白起·虎啸风生</t>
    <phoneticPr fontId="71" type="noConversion"/>
  </si>
  <si>
    <t>愿你年年无惧，岁岁无忧，身边一直有我。</t>
  </si>
  <si>
    <t>凌肖·虎跃凌云</t>
    <phoneticPr fontId="71" type="noConversion"/>
  </si>
  <si>
    <t>这个新年要一起做的事可不少，不接受爽约。</t>
  </si>
  <si>
    <t>0,2022年2月签到奖励</t>
    <phoneticPr fontId="71" type="noConversion"/>
  </si>
  <si>
    <t>2022/2/1 5:00</t>
    <phoneticPr fontId="71" type="noConversion"/>
  </si>
  <si>
    <t>0,2022年3月签到奖励</t>
    <phoneticPr fontId="71" type="noConversion"/>
  </si>
  <si>
    <t>2022/3/1 5:00</t>
    <phoneticPr fontId="71" type="noConversion"/>
  </si>
  <si>
    <t>李泽言·情愿至终</t>
    <phoneticPr fontId="71" type="noConversion"/>
  </si>
  <si>
    <t>最近我和李泽言一起参加了好几场婚礼，累并快乐着，但我因为一直没有接到捧花而有些遗憾。于是李泽言顺势提起了表妹雯雯的婚礼，我们再次心怀期待地出发了……</t>
    <phoneticPr fontId="71" type="noConversion"/>
  </si>
  <si>
    <t>连续跑了几场婚礼，我对婚礼的流程都已经倒背如流，虽然身体上有些疲惫，但感受到幸福的气息还是很开心。我感慨如果能接到捧花就更好了，于是李泽言告知我，表妹的婚礼也许能让我如愿。</t>
    <phoneticPr fontId="71" type="noConversion"/>
  </si>
  <si>
    <t>我们来到雯雯举行婚礼的滨海小镇，受到她和顾阿姨的热情接待。当晚雯雯找我帮忙，要在婚礼上陪她玩一个“真假新娘”的游戏，与此同时，李泽言也被新郎交代了一个“任务”……</t>
    <phoneticPr fontId="71" type="noConversion"/>
  </si>
  <si>
    <t>我在一间唱片店找到了李泽言。这家店有一项特殊的服务，可以将婚礼上的声音收录进唱片中保存。在第二天猜新娘的游戏成功后，李泽言也轻而易举地认出了我，正像雯雯先前所说，因为知道对方一定能认出自己，才不担心任何表象的迷惑。</t>
    <phoneticPr fontId="71" type="noConversion"/>
  </si>
  <si>
    <t>教堂婚礼中的一切都让我们不断回想起先前那次婚礼演习，李泽言借机再次为我戴上“戒指”。我不舍得走出这种幸福的氛围，便找借口和他骑着自行车前去看海。在通向海岸的小路上，我们彼此交付因爱而生的勇气，从中窥见余生的模样。</t>
    <phoneticPr fontId="71" type="noConversion"/>
  </si>
  <si>
    <t>许墨·慕恋相倾</t>
    <phoneticPr fontId="71" type="noConversion"/>
  </si>
  <si>
    <t>见证之约</t>
    <phoneticPr fontId="71" type="noConversion"/>
  </si>
  <si>
    <t>受到一张海报的吸引，我和许墨报名了一个情人节活动，没想到这个活动的内容却是让情侣们穿上婚纱、在海岛上举行一场“婚礼”……</t>
    <phoneticPr fontId="71" type="noConversion"/>
  </si>
  <si>
    <t>风景如画的海岛，我独自一人穿着婚纱走在大街上，跑向一个小摊买一束捧花。尽管周围人的目光让我有些不自在，但这也是我和许墨参加的情人活动的一环……</t>
    <phoneticPr fontId="71" type="noConversion"/>
  </si>
  <si>
    <t>和我期待的一样，我和许墨在街道上相遇了。节日当天，岛上的游客很多，正当我苦恼着怎么打到车时，许墨却说他有一个主意。</t>
    <phoneticPr fontId="71" type="noConversion"/>
  </si>
  <si>
    <t>我们顺利地到达了曾经在活动海报上看到的那处岬角。按照活动流程，我和许墨走进了一个名为“爱情邮局”的建筑。出乎意料的是，这个邮局寄的东西不是报纸也不是信件，而是一份特别的报纸……</t>
    <phoneticPr fontId="71" type="noConversion"/>
  </si>
  <si>
    <t>沙滩上，许墨打开了他一直带着的盒子，里面装着送给我的礼物——绣着雪花图案的头纱。在海边美丽鲜活的风景的见证下，许墨告诉了我这份礼物背后的含义。</t>
    <phoneticPr fontId="71" type="noConversion"/>
  </si>
  <si>
    <t>余生之约</t>
    <phoneticPr fontId="71" type="noConversion"/>
  </si>
  <si>
    <t>周棋洛·朝朝怀拥</t>
    <phoneticPr fontId="71" type="noConversion"/>
  </si>
  <si>
    <t>无数次心中的呐喊，在这一刻梦想成真。</t>
    <phoneticPr fontId="71" type="noConversion"/>
  </si>
  <si>
    <t>心曲之约</t>
    <phoneticPr fontId="71" type="noConversion"/>
  </si>
  <si>
    <t>情人节将近，周棋洛创作了一首只属于我们的歌，并且他想要把它拍成MV，成为我们人生中一段很重要的影像。</t>
    <phoneticPr fontId="71" type="noConversion"/>
  </si>
  <si>
    <t>周棋洛创作了一首只属于我们的歌——“Marry me in Valentine's Day”，为此我们决定将它拍成一部MV。我们穿着婚纱与西装，在海边的舞台上唱下这首歌。</t>
    <phoneticPr fontId="71" type="noConversion"/>
  </si>
  <si>
    <t>出发之前，我们将提前准备好的“糖果请柬”发给了很多很多不认识的人，我们希望能将这份快乐与大家一起分享。</t>
    <phoneticPr fontId="71" type="noConversion"/>
  </si>
  <si>
    <t>我看着站在台上的周棋洛，心中万分触动。紧接着，那些收到“请柬”的人们逐渐向舞台靠拢，他们带着祝福将手中的花枝抛给了周棋洛，聚拢成一束鲜花后，周棋洛将它递给了我。</t>
    <phoneticPr fontId="71" type="noConversion"/>
  </si>
  <si>
    <t>“婚礼”结束后，我们坐在一个刻有“Happiness”字样的秋千上。在那里，他轻声告诉我，究竟是为什么他想要拍下这部MV。在这之后，我们带着最真挚的心意彼此交换了戒指。</t>
    <phoneticPr fontId="71" type="noConversion"/>
  </si>
  <si>
    <t>白起·圈地侵夺</t>
    <phoneticPr fontId="71" type="noConversion"/>
  </si>
  <si>
    <t>黎光之约</t>
    <phoneticPr fontId="71" type="noConversion"/>
  </si>
  <si>
    <t>情人节临近，白起正在执行任务，我也在为刚策划的婚恋节目忙碌着。我做好要和工作一起过节的准备，谁知节日当天，白起以一种惊人的方式出现在了我面前。惊喜之余，我了解到，原来他为了和我共度情人节，早已谋划许久……</t>
    <phoneticPr fontId="71" type="noConversion"/>
  </si>
  <si>
    <t>酒店中正进行着一场“婚礼”，我身穿婚纱，听着牧师宣读新娘的誓词。就在这时，许久不见的白起突然出现在现场，将我从“婚礼”上抢走……</t>
    <phoneticPr fontId="71" type="noConversion"/>
  </si>
  <si>
    <t>从白起那里得知，这是他给我策划的一场情人节惊喜，今天的他只属于我。他拿出了我节目中做“结婚证”的卡纸，说要陪我一起制作，完成我想要做“证”的心愿。</t>
    <phoneticPr fontId="71" type="noConversion"/>
  </si>
  <si>
    <t>我们一边散步，一边为“结婚证”收集灵感。我们一起来到公园，没想到，这里有白起给我藏着的另一个巨大的惊喜！白起说，他要还给我一个“婚礼”。</t>
    <phoneticPr fontId="71" type="noConversion"/>
  </si>
  <si>
    <t>我跟着白起来到他布置的“婚礼”现场，共同完成了我们专属的“结婚证”，这是我们的誓言，也是对彼此承诺的见证——我们永远都会完成对方所有的心愿。在缠绵的情意中，白起像我索要那个婚礼上最重要的仪式……</t>
    <phoneticPr fontId="71" type="noConversion"/>
  </si>
  <si>
    <t>凌肖·挚意燎原</t>
    <phoneticPr fontId="71" type="noConversion"/>
  </si>
  <si>
    <t>0,爱的阿尔法活动限定</t>
    <phoneticPr fontId="71" type="noConversion"/>
  </si>
  <si>
    <t>许墨单攻2</t>
    <phoneticPr fontId="71" type="noConversion"/>
  </si>
  <si>
    <t>白起防御2</t>
    <phoneticPr fontId="71" type="noConversion"/>
  </si>
  <si>
    <t>凌肖群攻1</t>
    <phoneticPr fontId="71" type="noConversion"/>
  </si>
  <si>
    <t>其他主线卡，ssr累充</t>
    <phoneticPr fontId="71" type="noConversion"/>
  </si>
  <si>
    <t>许墨控场1</t>
    <phoneticPr fontId="71" type="noConversion"/>
  </si>
  <si>
    <t>周棋洛群攻2</t>
    <phoneticPr fontId="71" type="noConversion"/>
  </si>
  <si>
    <t>凌肖群攻2</t>
    <phoneticPr fontId="71" type="noConversion"/>
  </si>
  <si>
    <t>那些关于一生的承诺，因为你才会变成现实。</t>
    <phoneticPr fontId="71" type="noConversion"/>
  </si>
  <si>
    <t>所有的等待和期盼，在此刻都有了回应。</t>
    <phoneticPr fontId="71" type="noConversion"/>
  </si>
  <si>
    <t>所有惊喜已就绪，请指挥官查阅。</t>
    <phoneticPr fontId="71" type="noConversion"/>
  </si>
  <si>
    <t>在誓言的有效期内，我一秒都不想浪费。</t>
    <phoneticPr fontId="71" type="noConversion"/>
  </si>
  <si>
    <t>李泽言·春潮夜夜深</t>
    <phoneticPr fontId="71" type="noConversion"/>
  </si>
  <si>
    <t>将军不论想要什么，我都给得起。</t>
  </si>
  <si>
    <t>许墨·飘渺云雨仙</t>
    <phoneticPr fontId="71" type="noConversion"/>
  </si>
  <si>
    <t>世界上最天经地义的事，不过是我在你身侧。</t>
  </si>
  <si>
    <t>周棋洛·枝上露华浓</t>
    <phoneticPr fontId="71" type="noConversion"/>
  </si>
  <si>
    <t>2022/1/25 5:00</t>
    <phoneticPr fontId="71" type="noConversion"/>
  </si>
  <si>
    <t>我只和你共享这无边江山，君无戏言。</t>
  </si>
  <si>
    <t>白起·帘外月胧明</t>
    <phoneticPr fontId="71" type="noConversion"/>
  </si>
  <si>
    <t>你是我心中穿越风雪万程的思念。</t>
    <phoneticPr fontId="71" type="noConversion"/>
  </si>
  <si>
    <t>0,翔鸾游龙活动限定|26,61060:25,61060</t>
    <phoneticPr fontId="71" type="noConversion"/>
  </si>
  <si>
    <t>0,翔鸾游龙活动限定|26,62060:25,62060</t>
    <phoneticPr fontId="71" type="noConversion"/>
  </si>
  <si>
    <t>0,翔鸾游龙活动限定|26,63050:25,63050</t>
    <phoneticPr fontId="71" type="noConversion"/>
  </si>
  <si>
    <t>0,翔鸾游龙活动限定|26,64060:25,64060</t>
    <phoneticPr fontId="71" type="noConversion"/>
  </si>
  <si>
    <t>五年前，辰王造反、杀入宫中，戕害李泽言父兄，夺取皇位。我父亲出兵征讨，却被辰王设计、困死于峡谷中。我继承父志，与皇室仅存的血脉梁王李泽言共同征战、托付生死，终于迎来了攻入都城的一天。</t>
  </si>
  <si>
    <t>眼看大军已将宇都重重围住，李泽言终于决定攻城。临战之际，我回忆起五年前点滴经过，不禁握紧了手里的刀。</t>
  </si>
  <si>
    <t>攻城当日，战局混乱。我与一众小队登上云梯、攀入城墙，意图一举拿下守城军。但守城将领誓战不退，我被他刀锋所阻，难以上前，就在这时，李泽言射来了一箭。</t>
  </si>
  <si>
    <t>辰王倒台，李泽言找出了我少年时藏在宫里的马鞭，告诉我：不论是仇恨还是其他束缚，这一刻都已烟消云散。从今往后，我想做什么就做什么，不要被任何事牵绊。</t>
  </si>
  <si>
    <t>宇都灯火璀璨之下，不知有多少密局筹谋正在深入暗涌。一想到李泽言将来要独自面对这些，我心有不忍，决定策马入宫，向他表明心意。</t>
  </si>
  <si>
    <t>在庆国大皇子“许墨”来到西国后，我却对他的状态感到一丝微妙的怀疑。在我夜探时，却被袭击了“许墨”的黑衣人挟持出了皇宫。待我们抵达一个安全的地方时，没想到那黑衣人却跟我说，自己才是许墨？！这场和亲在重重阴谋之下被慢慢揭开了帷幕……</t>
  </si>
  <si>
    <t>庆国送来和亲的质子“许墨”送上了和亲和印，但我却对他隐隐产生了怀疑。我夜探至他休息的寝宫，却发现有神秘的黑衣人在与“许墨”交谈。在我被黑衣人掠劫出皇宫后，没想到他告诉我，自己才是许墨？！</t>
  </si>
  <si>
    <t>我自然不相信那黑衣人的话，但他却交给了我一个文牒让我去调查。于是我暂且没有回皇宫，而是留在了城中等待事件的发酵。为了避免被百姓怀疑有人要破坏和平的象征，许墨似乎有一个特别的计划……</t>
  </si>
  <si>
    <t>贼人掠走公主只是因为喜欢她这件事传遍了西城。在多人的暗杀以及精兵的搜捕下，许墨依然明目张胆地带着我四处在西城逛，也不断在试探着我、拉低我的下限。</t>
  </si>
  <si>
    <t>这天西城下了大雪，见许墨看着新鲜，我带他去了城西的沙漠欣赏沙漠雪景，在大雪之中许墨告诉了我他的一切所求。</t>
  </si>
  <si>
    <t>我带着许墨回到了皇宫，并准备真正的和亲大典。在大典开始前一天，许墨穿着礼服来到我的寝宫，告诉我贪心的他想要从我这里拿到更多的东西。</t>
  </si>
  <si>
    <t>我奉命来到燕州营监军，再次见到了三年未见的皇太子白起，圣旨诏令白起半年内攻破戎狄，但我却发现早在圣旨到来之前，白起就似乎早有破敌打算，当听到白起的计谋时，我却忍不住急急拒绝，甚至想起两年前那场血流成河的大战。边关太平，难道只能靠太子拼命换取？</t>
  </si>
  <si>
    <t>我带着圣旨来到了燕州军营，正巧碰到白起勘察地形回来，但他却从我身边策马而过，我正失落他是否已经忘记了我这个“故友”时，他却折返回来，用马鞭挑起了我的裘帽……</t>
  </si>
  <si>
    <t>我告诉白起我半年之后回京，就要奉旨和别人成婚，白起想说什么，看到我客气的态度，却终归于沉默。我奉命监军，在燕州军营住了下来，这期间看到了一个更真实鲜活的主帅白起……</t>
  </si>
  <si>
    <t>我与白起对行军计划产生分歧，我怒而离帐，牵马出去散心，却被白起带到了赤月丘。他告诉我这里就是两年前玉门之战的战场，我也明白了白起制定冒险计划的理由，白起答应我会活着回来，但到那时，我要告诉他我为何入朝为官。</t>
  </si>
  <si>
    <t>白起大获全胜，破了丹阙，我随军来到丹阙，在白起的中帐中，我守诺告诉了他我入朝为官的理由，白起也告诉了我一个他给自己立下的约定，直到这时我才知道，原来我们早已经两心相许。</t>
  </si>
  <si>
    <t>大军回京，皇帝准备传位白起，但白起当庭抗旨，他说愿意一辈子镇守边关，只要皇帝收回赐婚的旨意。皇帝问我怎么看，我带着决然的心情回答，我愿意一生不嫁，只愿皇帝收回旨意。</t>
  </si>
  <si>
    <t>白起·任意安恋</t>
    <phoneticPr fontId="71" type="noConversion"/>
  </si>
  <si>
    <t>周棋洛·无条件沦陷</t>
    <phoneticPr fontId="71" type="noConversion"/>
  </si>
  <si>
    <t>许墨·春色如你</t>
    <phoneticPr fontId="71" type="noConversion"/>
  </si>
  <si>
    <t>我只忠于你的感觉。</t>
    <phoneticPr fontId="71" type="noConversion"/>
  </si>
  <si>
    <t>我承认，确实没打算让你有机会拒绝。</t>
    <phoneticPr fontId="71" type="noConversion"/>
  </si>
  <si>
    <t>这是我们遇见的，又一个春天。</t>
    <phoneticPr fontId="71" type="noConversion"/>
  </si>
  <si>
    <t>治愈之约</t>
    <phoneticPr fontId="71" type="noConversion"/>
  </si>
  <si>
    <t>紧张的工作让我连续失眠几日，白起为了应对这个“紧急状况”，特意带我去冰雪乐园放松身心，而他为此准备的，远远不止于此……</t>
  </si>
  <si>
    <t>失眠的我在床上辗转反侧，白起为了哄我入睡给我讲起了特遣署案件，却让我更加清醒了。挫败的他决定明天想办法解决我的失眠。</t>
  </si>
  <si>
    <t>次日一早白起要我去冰雪乐园，他说通过平日的观察，他已经慢慢了解了我到底需要什么，所以让我今天放肆玩乐、消耗体能。</t>
  </si>
  <si>
    <t>抵达冰雪乐园，我们率先选择了雪橇项目。我告诉白起有了多次滑雪经验，我明显胆量大了许多。他为此特意在坐雪橇时逗我玩，我心里却因他的存在而始终很踏实。</t>
  </si>
  <si>
    <t>游玩过后，我们来到民宿。我在玩解谜书时发现自己在他的影响下，思维渐渐变得像白起。他说他的生活点滴也一样被我影响着。这一次，我在他的怀里睡得很香甜。</t>
  </si>
  <si>
    <t>无条件沦陷</t>
    <phoneticPr fontId="71" type="noConversion"/>
  </si>
  <si>
    <t>我收到了一封特别的邀请函，来到一艘飞艇上参加周棋洛参演的爱情电影首映会，但没想到周棋洛在首映会的行为却格外出格，令我有些意外又紧张……</t>
  </si>
  <si>
    <t>我来到一艘飞艇上，参加周棋洛参演的爱情电影首映会。之前在出预告片时，周棋洛曾联系过我，我虽有些吃醋，但想要成为支持他的力量抑制住了……</t>
  </si>
  <si>
    <t>首映会上我见到很久没见的周棋洛，没想到他竟然在台上利用影子公然对我……！会上周棋洛第一次谈了关于爱情的想法，我听得又感动又不好意思，这时一通电话打了进来。</t>
  </si>
  <si>
    <t>周棋洛格外强势地将我拉进了屋子中，此时隔壁传来了主创们回来的声音，没想到他竟然毫不在意，并表示就算被别人看到现在我们的样子，也毫不介意……</t>
  </si>
  <si>
    <t>周棋洛似乎看穿了我的犹豫，他的提问也令我有些迷茫。我躲在厨房后，他也跟着进来。在他一副决定要问到底的决心下，我终于向他逐渐坦诚了自己的心。</t>
  </si>
  <si>
    <t>周棋洛带着我乘着一部特别的电梯来到了飞艇的大堂，他拉着我走到了台上，分享自己的心。徐徐上升的电梯像是我的心，与他一起攀爬到了云端。</t>
  </si>
  <si>
    <t>印象之约</t>
    <phoneticPr fontId="71" type="noConversion"/>
  </si>
  <si>
    <t>我报名了一项视觉设计的课程，老师在课堂上，布置了一项作业：通过不断搜集各种类型的图片或拍照，来描述一个熟悉的人。我的作业题目，就选择了描述许墨。</t>
  </si>
  <si>
    <t>许墨与我坐在天台的长椅上，俯瞰着城市最中央。在太阳即将升起前，我拍下了用来描述他的第一张照片：日出之前。</t>
  </si>
  <si>
    <t>看完日出之后，我拉着许墨下了天台，走入正热闹起来的街道上。我们吃着早餐，讨论起了这项作业。</t>
  </si>
  <si>
    <t>关于“许墨”给我的感觉究竟是什么样的这个问题，我试图解答，又有些解答不清，只能与他一起一张张地翻看拍下的照片，寻找答案。</t>
  </si>
  <si>
    <t>走廊最深处的阅览室静谧无人，我走到窗前拍下了桃花的照片，告诉许墨，对我来说，“春天”就是他给我的感觉。</t>
  </si>
  <si>
    <t>春潮夜夜深</t>
  </si>
  <si>
    <t>飘渺云雨仙</t>
  </si>
  <si>
    <t>枝上露华浓</t>
  </si>
  <si>
    <t>帘外月胧明</t>
  </si>
  <si>
    <t>20006,332,1|902011,333,1|902012,333,1</t>
    <phoneticPr fontId="71" type="noConversion"/>
  </si>
  <si>
    <t>30005,332,1|903009,333,1|903010,333,1</t>
    <phoneticPr fontId="71" type="noConversion"/>
  </si>
  <si>
    <t>李泽言·自上世纪</t>
    <phoneticPr fontId="71" type="noConversion"/>
  </si>
  <si>
    <t>这两个幼稚鬼里，我只要最可爱的那个。</t>
    <phoneticPr fontId="71" type="noConversion"/>
  </si>
  <si>
    <t>为了打探皇室秘宝的下落，我受义父的要求，成为了“昏君”周棋洛的贴身女官，而在日渐的相处中，我发现这个皇帝似乎有些不太一样……</t>
  </si>
  <si>
    <t>浮夸的皇家宴会上，我与周棋洛相遇了。尽管知道他是我必须要接近的任务目标，但当他真的轻薄于我时，我才真的感受到了——这家伙果然是个昏君！</t>
  </si>
  <si>
    <t>三个月来，义父让我探查的秘宝始终没有下落，而我也在和周棋洛的相处中逐渐对他生出了好感。我因为这一丝不应有的好感而困扰，为了排解烦闷吹奏笛子时，我忽然听见有人和我应和……</t>
  </si>
  <si>
    <t>没想到周棋洛居然和我是音乐上的知音！这让我更加不知道该如何面对他了，拉扯中我的玉佩遗落在了他的手上，为了将玉佩找回，我潜入了皇帝的寝宫……</t>
  </si>
  <si>
    <t>周棋洛竟然就是我的小诃哥哥！我们用一个故事彼此相认，却又不敢真正捅破那一层窗户纸，第二天我心事重重地回自己的房间，却在路上看见了义父。</t>
  </si>
  <si>
    <t>大司马王芜才是一切的元凶！我竟然被这个人蒙蔽了这么久！万幸周棋洛的赶到，不仅让大司马伏法，同时，他也带来了一封让我完全意想不到的诏书……</t>
  </si>
  <si>
    <t>公司举办一场特殊的婚纱派对，我邀请凌肖作为我的男伴来出席。本以为他不会到场了，谁知他竟穿着轮滑出现，甚至还在会场卷起了一出刺激风波……</t>
    <phoneticPr fontId="71" type="noConversion"/>
  </si>
  <si>
    <t>凌肖帮我借来一套古典婚纱的素材，我拍完后意外听到他一通狠厉的电话。为了感谢他的帮忙，我邀请凌肖作为男伴来参加公司的婚纱派对。</t>
    <phoneticPr fontId="71" type="noConversion"/>
  </si>
  <si>
    <t>会场里，就当我以为凌肖不会来时，他却突然穿着轮滑鞋出现了，并替我挡开了前来示好的樊先生。我正觉得惊喜，门口突然来了几个不善面孔，凌肖掀起我的头纱一同闪进了白纱之下。</t>
    <phoneticPr fontId="71" type="noConversion"/>
  </si>
  <si>
    <t>那几个人上来要抓凌肖，凌肖踩着轮滑在会场中疾驰，我配合着凌肖，和保安一起将这些坏人制服。凌肖提出想先离开，我打算一起跟上时却被樊先生插嘴阻止。凌肖不屑哂笑，随即拿起门口的花束对我说……</t>
    <phoneticPr fontId="71" type="noConversion"/>
  </si>
  <si>
    <t>离开会场后，我问清楚凌肖到底怎么回事，并表示有人刚刚才宣过誓，下次再有什么事也早点告诉我。凌肖却戏谑说，刚刚他的话似乎并没有得到回答，现在，他要来确认我的答案了……</t>
    <phoneticPr fontId="71" type="noConversion"/>
  </si>
  <si>
    <t>澎湃之约</t>
    <phoneticPr fontId="71" type="noConversion"/>
  </si>
  <si>
    <t>8063,252,1</t>
    <phoneticPr fontId="71" type="noConversion"/>
  </si>
  <si>
    <t>8064,252,1</t>
    <phoneticPr fontId="71" type="noConversion"/>
  </si>
  <si>
    <t>4177,252,1</t>
    <phoneticPr fontId="71" type="noConversion"/>
  </si>
  <si>
    <t>4178,252,1</t>
    <phoneticPr fontId="71" type="noConversion"/>
  </si>
  <si>
    <t>3173,252,1</t>
    <phoneticPr fontId="71" type="noConversion"/>
  </si>
  <si>
    <t>3174,252,1</t>
    <phoneticPr fontId="71" type="noConversion"/>
  </si>
  <si>
    <t>2175,252,1</t>
    <phoneticPr fontId="71" type="noConversion"/>
  </si>
  <si>
    <t>2176,252,1</t>
    <phoneticPr fontId="71" type="noConversion"/>
  </si>
  <si>
    <t>1179,252,1</t>
    <phoneticPr fontId="71" type="noConversion"/>
  </si>
  <si>
    <t>1180,252,1</t>
    <phoneticPr fontId="71" type="noConversion"/>
  </si>
  <si>
    <t>6262,253,1</t>
    <phoneticPr fontId="71" type="noConversion"/>
  </si>
  <si>
    <t>4442,253,1</t>
    <phoneticPr fontId="71" type="noConversion"/>
  </si>
  <si>
    <t>3446,253,1</t>
    <phoneticPr fontId="71" type="noConversion"/>
  </si>
  <si>
    <t>2440,253,1</t>
    <phoneticPr fontId="71" type="noConversion"/>
  </si>
  <si>
    <t>1435,253,1</t>
    <phoneticPr fontId="71" type="noConversion"/>
  </si>
  <si>
    <t>金币</t>
  </si>
  <si>
    <t>3</t>
  </si>
  <si>
    <t>面包</t>
  </si>
  <si>
    <t>4</t>
  </si>
  <si>
    <t>汤包</t>
  </si>
  <si>
    <t>8</t>
  </si>
  <si>
    <t>佛跳墙</t>
  </si>
  <si>
    <t>11</t>
  </si>
  <si>
    <t>美发卡</t>
  </si>
  <si>
    <t>19</t>
  </si>
  <si>
    <t>冰淇淋</t>
  </si>
  <si>
    <t>杏鲍菇</t>
  </si>
  <si>
    <t>扫地机器人</t>
  </si>
  <si>
    <t>2</t>
  </si>
  <si>
    <t>5</t>
  </si>
  <si>
    <t>饭团</t>
  </si>
  <si>
    <t>7</t>
  </si>
  <si>
    <t>12</t>
  </si>
  <si>
    <t>15</t>
  </si>
  <si>
    <t>李泽言·屏息</t>
    <phoneticPr fontId="71" type="noConversion"/>
  </si>
  <si>
    <t>橙粉绿蓝</t>
    <phoneticPr fontId="71" type="noConversion"/>
  </si>
  <si>
    <t>许墨·雨夜变奏</t>
    <phoneticPr fontId="71" type="noConversion"/>
  </si>
  <si>
    <t>粉橙蓝绿</t>
    <phoneticPr fontId="71" type="noConversion"/>
  </si>
  <si>
    <t>白起·沸腾</t>
    <phoneticPr fontId="71" type="noConversion"/>
  </si>
  <si>
    <t>橙蓝粉绿</t>
    <phoneticPr fontId="71" type="noConversion"/>
  </si>
  <si>
    <t>周棋洛·一步之遥</t>
    <phoneticPr fontId="71" type="noConversion"/>
  </si>
  <si>
    <t>蓝绿橙粉</t>
    <phoneticPr fontId="71" type="noConversion"/>
  </si>
  <si>
    <t>我的布丁</t>
  </si>
  <si>
    <t>我的笔记本</t>
  </si>
  <si>
    <t>我的发带</t>
  </si>
  <si>
    <t>甜点</t>
  </si>
  <si>
    <t>古币</t>
  </si>
  <si>
    <t>牛肉面</t>
  </si>
  <si>
    <t>锅贴</t>
  </si>
  <si>
    <t>BB霜</t>
  </si>
  <si>
    <t>泡面</t>
  </si>
  <si>
    <t>口罩</t>
  </si>
  <si>
    <t>我的香水</t>
  </si>
  <si>
    <t>我的自拍杆</t>
  </si>
  <si>
    <t>我的项链</t>
  </si>
  <si>
    <t>棋洛零食礼盒</t>
  </si>
  <si>
    <t>SP卡特效数量</t>
    <phoneticPr fontId="71" type="noConversion"/>
  </si>
  <si>
    <t>4443,253,1</t>
    <phoneticPr fontId="71" type="noConversion"/>
  </si>
  <si>
    <t>140529,251,1</t>
    <phoneticPr fontId="71" type="noConversion"/>
  </si>
  <si>
    <t>4444,253,1</t>
    <phoneticPr fontId="71" type="noConversion"/>
  </si>
  <si>
    <t>30006,332,1</t>
    <phoneticPr fontId="71" type="noConversion"/>
  </si>
  <si>
    <t>2441,253,1</t>
    <phoneticPr fontId="71" type="noConversion"/>
  </si>
  <si>
    <t>2177,252,1</t>
    <phoneticPr fontId="71" type="noConversion"/>
  </si>
  <si>
    <t>李泽言·耽溺</t>
    <phoneticPr fontId="71" type="noConversion"/>
  </si>
  <si>
    <t>只是这样，还不够。</t>
    <phoneticPr fontId="71" type="noConversion"/>
  </si>
  <si>
    <t>纵情之约</t>
  </si>
  <si>
    <t>近期，我的行程表几乎被塞满了，四处奔波，在一次华锐集团例行发布会结束后，我在路边遇到顺路接我的李泽言。在他一系列的言行下，我感觉李泽言似乎有点口是心非……？</t>
  </si>
  <si>
    <t>受邀参加完华锐集团例行发布会后，我在路边遇到了李泽言，并告诉我他在附近刚开会结束，顺路接我回去。然而一路上，我的工作消息根本停不下来……</t>
  </si>
  <si>
    <t>会议结束后，我竟然在会议室对面的茶水间里看到了李泽言！只是我坐下来还没和他说上几句话，工作消息再次席卷而来。最后，李泽言离开前的那句话……让我觉得意有所指？</t>
  </si>
  <si>
    <t>原来李泽言今天感觉有些“反常”的原因……是我已经三天没有回复他的消息了！于是我走进他的办公室，开始试探着这个人究竟可以口是心非到什么程度……！</t>
  </si>
  <si>
    <t>面对李泽言的“从容”，我彻底缴械投降。借着让他帮我指点策划案的理由向他不断发起“攻势”。在一步步彼此的攻势下，我们互相坦露彼此的心意，并放任埋藏在心底的“欲望”。</t>
  </si>
  <si>
    <t>1181,252,1</t>
    <phoneticPr fontId="71" type="noConversion"/>
  </si>
  <si>
    <t>1437,253,1</t>
    <phoneticPr fontId="71" type="noConversion"/>
  </si>
  <si>
    <t>1439,253,1</t>
    <phoneticPr fontId="71" type="noConversion"/>
  </si>
  <si>
    <t>1440,253,1</t>
    <phoneticPr fontId="71" type="noConversion"/>
  </si>
  <si>
    <t>1441,253,1</t>
    <phoneticPr fontId="71" type="noConversion"/>
  </si>
  <si>
    <t>1442,253,1</t>
    <phoneticPr fontId="71" type="noConversion"/>
  </si>
  <si>
    <t>2443,253,1</t>
    <phoneticPr fontId="71" type="noConversion"/>
  </si>
  <si>
    <t>2444,253,1</t>
    <phoneticPr fontId="71" type="noConversion"/>
  </si>
  <si>
    <t>3449,253,1</t>
    <phoneticPr fontId="71" type="noConversion"/>
  </si>
  <si>
    <t>3450,253,1</t>
    <phoneticPr fontId="71" type="noConversion"/>
  </si>
  <si>
    <t>4447,253,1</t>
    <phoneticPr fontId="71" type="noConversion"/>
  </si>
  <si>
    <t>4448,253,1</t>
    <phoneticPr fontId="71" type="noConversion"/>
  </si>
  <si>
    <t>6265,253,1</t>
    <phoneticPr fontId="71" type="noConversion"/>
  </si>
  <si>
    <t>6266,253,1</t>
    <phoneticPr fontId="71" type="noConversion"/>
  </si>
  <si>
    <t>李泽言·一室融融</t>
  </si>
  <si>
    <t>0,宠物直播大赛</t>
  </si>
  <si>
    <t>2022/1/25 5:00</t>
  </si>
  <si>
    <t>吃播之约</t>
  </si>
  <si>
    <t>我和李泽言帮忙带一只小狗进行吃播，谁料来到主人家中，却发现小狗正倒在地上，浑身遍布红色的“血迹”……</t>
  </si>
  <si>
    <t>最近公司制作的宠物节目颇受好评，原本要参加周六配套吃播节目的嘉宾临时有事，拜托我带她家的小狗进行直播。正当我为明天和李泽言的约会被取消而苦恼时，他却跟我说明天和我一起去……</t>
  </si>
  <si>
    <t>来到嘉宾家中，我和李泽言却发现客厅一片狼藉，并在厨房发现今天直播的主角——小龙卷身上遍布红色“血迹”，躺在地上一动不动，吓得我连忙准备报警，但是李泽言走上前去，发现了一丝异样……</t>
  </si>
  <si>
    <t>原本精心准备的大餐被小龙卷糟蹋得一塌糊涂，在李泽言的提一下，我们准备为它做一个“狗狗蛋糕”。但是本以为很简单的事情，实践起来却意外的有难度。</t>
  </si>
  <si>
    <t>到了直播的时间，小龙卷不负众望，用他独创的“龙卷干饭法”风卷残云般地将食物一扫而空，惊艳了全场。我请李泽言帮忙递一下纸巾，谁料一只手短暂出镜的李泽言却引起了弹幕疯狂舔屏……</t>
  </si>
  <si>
    <t>许墨·不眠之夜</t>
  </si>
  <si>
    <t>夜游之约</t>
  </si>
  <si>
    <t>最近这段日子，我身边发生了不少诡异的现象。经过种种推理，我向许墨大胆提出了自己的猜想：也许，我是得了梦游症……</t>
  </si>
  <si>
    <t>最近这段日子，我睡觉时常被诡异的声响惊醒。这几天情况愈发奇怪，醒来后发现零食不知什么时候被吃空了。综合种种情况，我向许墨大胆提出了自己的推测……</t>
  </si>
  <si>
    <t>听了我的猜想后，许墨却提出了不同的想法。为了证明探寻事情的真相，我和许墨约好晚上视频，由他来观测我入睡后的状况。</t>
  </si>
  <si>
    <t>与许墨连麦完成工作后，我疲倦地沉入了梦乡，却很快被耳畔传来的碎裂声猛地惊醒。我喘息着从床上坐起来，发现原本放在床头柜上的花瓶碎了一地……</t>
  </si>
  <si>
    <t>看过许墨录下的画面，一切终于真相大白。我又好气又好笑地捏住小狗的耳朵打算教育一番，不料许墨却突然开口，说他还录下了一段很有意思的画面……</t>
  </si>
  <si>
    <t>周棋洛·馨光满屋</t>
  </si>
  <si>
    <t>在周棋洛的邀请下，我们一起去给一位抽中大奖的幸运小粉丝庆祝四岁生日，没想到这位幸运儿竟然是这样一个特别可爱的“小朋友”……</t>
  </si>
  <si>
    <t>周棋洛在微博上发起的“愿望收集”活动抽到了一个特别的愿望，给即将迎来四岁生日的“妮妮小朋友”庆祝生日。但对方提出的要求有些神秘，保险起见，周棋洛邀请我和他一同前往。</t>
  </si>
  <si>
    <t>出乎意料的是，“妮妮”居然是一只憨态可掬的柯基犬！虽然有些意外，就连小狗专属的蛋糕也出现了一些意外情况，但可爱的妮妮成功俘获了周棋洛的心。欢声笑语中，我们为妮妮举行了生日仪式。</t>
  </si>
  <si>
    <t>妮妮的主人去宠物店取先前定好的蛋糕，拜托我们暂时照顾妮妮。没想到妮妮不仅可爱，而且训练有素，甚至……有着很明显的占有欲，把周棋洛也视作了自己的所有物。看着它古灵精怪的模样，我萌生了一股莫名的“胜负欲”……</t>
  </si>
  <si>
    <t>在“周棋洛争夺战”的比赛中，我以一定的优势获得了胜利，而这份优势则是名为周棋洛的偏心。看着玩累的周棋洛身上沾染的妮妮的毛发，我不禁思考，不知道回去之后苹果箱会不会因为闻到妮妮的味道而吃醋。面对我的疑惑，周棋洛说他有个办法……</t>
  </si>
  <si>
    <t>白起·坐怀不乱</t>
  </si>
  <si>
    <t>抓捕之约</t>
  </si>
  <si>
    <t>一大早醒来，我发现家里竟然大变样！四处都是有人闯入的痕迹。为此，我邀请了“专业人士”白起来家里帮我排查一番，并连夜制定了“捉贼”计划！</t>
  </si>
  <si>
    <t>早上醒来发现阳台的衣服神秘失踪，绿植里的土也被翻在了外面，像有人闯入的痕迹。想来想去，我决定专业的事交给专业的人来解决。于是，便打电话邀请白起来家里帮忙排查一番。</t>
  </si>
  <si>
    <t>夜深时阳台终于有了动静！在我和白起默契地配合下，终于逮住“罪犯”，但没想到是一只胖乎乎的橘猫！看着它脖上的铃铛，应该是有主人的。我连忙画下肖像，张贴了失猫招领。</t>
  </si>
  <si>
    <t>第二天我们将橘猫送回了主人家，对方邀请我们吃饭作为答谢。这时，我才发现对方家里还有只小奶猫，便拿起逗猫棒和猫咪们一起玩耍。却没想到，我发现橘猫竟有一丝奇怪的变化。</t>
  </si>
  <si>
    <t>在回家的路上，我问白起为什么会关注到橘猫的“异常”，白起却说因为他能体会到橘猫的感受，在意一个人的时候，就会不由自主地想要占有对方的所有关注，所有注意。</t>
  </si>
  <si>
    <t>凌肖·大指挥家</t>
  </si>
  <si>
    <t>无意之约</t>
  </si>
  <si>
    <t>最近，我接到恋语大学的邀请，帮助他们拍摄招生宣传的视频。我走在校园里思考如何有新创意的时候，恰好碰见凌肖了。而他作为考古系的唯一学生，竟也被要求帮忙宣传。</t>
  </si>
  <si>
    <t>帮忙拍摄恋语大学招生宣传视频的我，正走在校园里寻求灵感时偶遇了一只猫咪，想着可以加入可爱的动物元素便跟了上去，却没想到在教学楼办公室里看见正在煮着猫饭的凌肖！</t>
  </si>
  <si>
    <t>一问才知道，原来凌肖作为考古系唯一的学生，也被要求加入这次宣传的任务。正以为我和他都同时看上了这只可爱的黄色猫咪，却没想到他的目标是一只灰色的“凶恶”猫咪。</t>
  </si>
  <si>
    <t>原来凌肖醉翁之意不在酒，他想通过美食诱惑小花，来引出山大王出面。只是它性子乖张，只喜欢小花，让人难以驯服。我不禁提出一个主意，可以让小花和山大王一起参与拍摄！</t>
  </si>
  <si>
    <t>山大王终于“勉为其难”地配合了我们一起。我看向凌肖笑着表示，即使它的警惕性再高，它也会因为有了一个特别的存在而变成一只普通的小猫咪。听到我说出这句话时，他有些嫌弃这个倒戈的“伙伴”，并表示可别被两声呼噜收买了。</t>
  </si>
  <si>
    <t>李泽言·心墙一室融融</t>
  </si>
  <si>
    <t>李泽言·围城一室融融</t>
  </si>
  <si>
    <t>李泽言·热望一室融融</t>
  </si>
  <si>
    <t>李泽言·浮香一室融融</t>
  </si>
  <si>
    <t>李泽言·猎行之时一室融融</t>
  </si>
  <si>
    <t>李泽言·制胜时刻一室融融</t>
  </si>
  <si>
    <t>李泽言·一眸之隔一室融融</t>
  </si>
  <si>
    <t>李泽言·今夕景一室融融</t>
  </si>
  <si>
    <t>李泽言·盛意满怀一室融融</t>
  </si>
  <si>
    <t>李泽言·静谧晖光一室融融</t>
  </si>
  <si>
    <t>李泽言·相遇转角一室融融</t>
  </si>
  <si>
    <t>李泽言·漫言日长一室融融</t>
  </si>
  <si>
    <t>李泽言·钟影阑珊一室融融</t>
  </si>
  <si>
    <t>李泽言·心澜一室融融</t>
  </si>
  <si>
    <t>李泽言·清朗好日一室融融</t>
  </si>
  <si>
    <t>李泽言·不夜天一室融融</t>
  </si>
  <si>
    <t>李泽言·晏晏而遇一室融融</t>
  </si>
  <si>
    <t>许墨·破局不眠之夜</t>
  </si>
  <si>
    <t>许墨·陷落不眠之夜</t>
  </si>
  <si>
    <t>许墨·雨幕不眠之夜</t>
  </si>
  <si>
    <t>许墨·拟扣心门不眠之夜</t>
  </si>
  <si>
    <t>许墨·落日余温不眠之夜</t>
  </si>
  <si>
    <t>许墨·断线不眠之夜</t>
  </si>
  <si>
    <t>许墨·自深深处不眠之夜</t>
  </si>
  <si>
    <t>许墨·梦仙林不眠之夜</t>
  </si>
  <si>
    <t>许墨·独享况味不眠之夜</t>
  </si>
  <si>
    <t>许墨·私藏暇光不眠之夜</t>
  </si>
  <si>
    <t>许墨·人潮漫卷不眠之夜</t>
  </si>
  <si>
    <t>许墨·心窍不眠之夜</t>
  </si>
  <si>
    <t>许墨·萌趣印迹不眠之夜</t>
  </si>
  <si>
    <t>许墨·秋情难却不眠之夜</t>
  </si>
  <si>
    <t>许墨·破月弦不眠之夜</t>
  </si>
  <si>
    <t>许墨·暖忆长晴不眠之夜</t>
  </si>
  <si>
    <t>许墨·栩栩萦心不眠之夜</t>
  </si>
  <si>
    <t>许墨·春色如你不眠之夜</t>
  </si>
  <si>
    <t>周棋洛·迷藏馨光满屋</t>
  </si>
  <si>
    <t>周棋洛·假象馨光满屋</t>
  </si>
  <si>
    <t>周棋洛·梦想起点馨光满屋</t>
  </si>
  <si>
    <t>周棋洛·快乐供应馨光满屋</t>
  </si>
  <si>
    <t>周棋洛·光的缝隙馨光满屋</t>
  </si>
  <si>
    <t>周棋洛·注目馨光满屋</t>
  </si>
  <si>
    <t>周棋洛·倾音馨光满屋</t>
  </si>
  <si>
    <t>周棋洛·欲忘言馨光满屋</t>
  </si>
  <si>
    <t>周棋洛·心动节拍馨光满屋</t>
  </si>
  <si>
    <t>周棋洛·美妙一瞬馨光满屋</t>
  </si>
  <si>
    <t>周棋洛·满分拥抱馨光满屋</t>
  </si>
  <si>
    <t>周棋洛·追光馨光满屋</t>
  </si>
  <si>
    <t>周棋洛·阳光盛惠馨光满屋</t>
  </si>
  <si>
    <t>周棋洛·飞行岛屿馨光满屋</t>
  </si>
  <si>
    <t>周棋洛·无忧暖蕴馨光满屋</t>
  </si>
  <si>
    <t>周棋洛·霜阑晓馨光满屋</t>
  </si>
  <si>
    <t>周棋洛·熠熠心念馨光满屋</t>
  </si>
  <si>
    <t>白起·风起时坐怀不乱</t>
  </si>
  <si>
    <t>白起·锋刃坐怀不乱</t>
  </si>
  <si>
    <t>白起·长夜星火坐怀不乱</t>
  </si>
  <si>
    <t>白起·灿烂之年坐怀不乱</t>
  </si>
  <si>
    <t>白起·无畏坐怀不乱</t>
  </si>
  <si>
    <t>白起·留白心绪坐怀不乱</t>
  </si>
  <si>
    <t>白起·隐夜坐怀不乱</t>
  </si>
  <si>
    <t>白起·醉行歌坐怀不乱</t>
  </si>
  <si>
    <t>白起·斑驳印记坐怀不乱</t>
  </si>
  <si>
    <t>白起·私人记号坐怀不乱</t>
  </si>
  <si>
    <t>白起·银河来信坐怀不乱</t>
  </si>
  <si>
    <t>白起·炽盛坐怀不乱</t>
  </si>
  <si>
    <t>白起·跃晴坐怀不乱</t>
  </si>
  <si>
    <t>白起·深浅兴味坐怀不乱</t>
  </si>
  <si>
    <t>白起·疾驰之风坐怀不乱</t>
  </si>
  <si>
    <t>白起·挽狂澜坐怀不乱</t>
  </si>
  <si>
    <t>白起·昭昭入怀坐怀不乱</t>
  </si>
  <si>
    <t>凌肖·极速定律大指挥家</t>
  </si>
  <si>
    <t>凌肖·高热大指挥家</t>
  </si>
  <si>
    <t>凌肖·侵袭大指挥家</t>
  </si>
  <si>
    <t>凌肖·奔涌大指挥家</t>
  </si>
  <si>
    <t>凌肖·狂热节拍大指挥家</t>
  </si>
  <si>
    <t>凌肖·完美突击大指挥家</t>
  </si>
  <si>
    <t>凌肖·棱角大指挥家</t>
  </si>
  <si>
    <t>凌肖·本色大指挥家</t>
  </si>
  <si>
    <t>0,晨梦轻盈活动限定</t>
    <phoneticPr fontId="71" type="noConversion"/>
  </si>
  <si>
    <t>2022/3/10 5:00</t>
    <phoneticPr fontId="71" type="noConversion"/>
  </si>
  <si>
    <t>1182,252,1</t>
    <phoneticPr fontId="71" type="noConversion"/>
  </si>
  <si>
    <t>0,限时累充送活动限定|26,63060:25,63060</t>
    <phoneticPr fontId="71" type="noConversion"/>
  </si>
  <si>
    <t>许墨·破局春色如你</t>
  </si>
  <si>
    <t>许墨·陷落春色如你</t>
  </si>
  <si>
    <t>许墨·雨幕春色如你</t>
  </si>
  <si>
    <t>许墨·拟扣心门春色如你</t>
  </si>
  <si>
    <t>许墨·落日余温春色如你</t>
  </si>
  <si>
    <t>许墨·断线春色如你</t>
  </si>
  <si>
    <t>许墨·自深深处春色如你</t>
  </si>
  <si>
    <t>许墨·梦仙林春色如你</t>
  </si>
  <si>
    <t>许墨·独享况味春色如你</t>
  </si>
  <si>
    <t>许墨·私藏暇光春色如你</t>
  </si>
  <si>
    <t>许墨·人潮漫卷春色如你</t>
  </si>
  <si>
    <t>许墨·心窍春色如你</t>
  </si>
  <si>
    <t>许墨·萌趣印迹春色如你</t>
  </si>
  <si>
    <t>许墨·秋情难却春色如你</t>
  </si>
  <si>
    <t>许墨·破月弦春色如你</t>
  </si>
  <si>
    <t>许墨·暖忆长晴春色如你</t>
  </si>
  <si>
    <t>许墨·栩栩萦心春色如你</t>
  </si>
  <si>
    <t>10007,332,1|901013,333,1|901014,333,1</t>
    <phoneticPr fontId="71" type="noConversion"/>
  </si>
  <si>
    <t>40007,332,1|904013,333,1|904014,333,1</t>
    <phoneticPr fontId="71" type="noConversion"/>
  </si>
  <si>
    <t>比技巧更重要的，是包含在里面的心意。</t>
    <phoneticPr fontId="71" type="noConversion"/>
  </si>
  <si>
    <t>靠近你时，就像是沐浴在光里。</t>
    <phoneticPr fontId="71" type="noConversion"/>
  </si>
  <si>
    <t>不紧张是假的，你总能牵动我的心弦。</t>
    <phoneticPr fontId="71" type="noConversion"/>
  </si>
  <si>
    <t>别乱动，照我说的做。</t>
    <phoneticPr fontId="71" type="noConversion"/>
  </si>
  <si>
    <t>1831:252:582:1242</t>
  </si>
  <si>
    <t>1280:252:649:1726</t>
  </si>
  <si>
    <t>690:192:1289:1735</t>
  </si>
  <si>
    <t>291:1191:1769:657</t>
  </si>
  <si>
    <t>351:1181:1793:582</t>
  </si>
  <si>
    <t>291:510:1802:1304</t>
  </si>
  <si>
    <t>1121:377:1826:582</t>
  </si>
  <si>
    <t>528:173:1793:1404</t>
  </si>
  <si>
    <t>291:592:1841:1184</t>
  </si>
  <si>
    <t>1275:192:748:1692</t>
  </si>
  <si>
    <t>1688:592:1251:377</t>
  </si>
  <si>
    <t>1687:387:649:1184</t>
  </si>
  <si>
    <t>1242:252:1831:582</t>
  </si>
  <si>
    <t>7233:1574:5249:8162</t>
  </si>
  <si>
    <t>6040:422:7416:8338</t>
  </si>
  <si>
    <t>3923:5068:5249:7977</t>
  </si>
  <si>
    <t>375:640:1176:1716</t>
  </si>
  <si>
    <t>2310:5529:8979:5397</t>
  </si>
  <si>
    <t>3462:5346:9440:3970</t>
  </si>
  <si>
    <t>2310:2589:9618:7698</t>
  </si>
  <si>
    <t>4198:3967:10079:3970</t>
  </si>
  <si>
    <t>3462:422:9443:8892</t>
  </si>
  <si>
    <t>2310:1574:9438:8896</t>
  </si>
  <si>
    <t>471:233:1793:1404</t>
  </si>
  <si>
    <t>2310:4149:10359:5397</t>
  </si>
  <si>
    <t>6037:4793:5249:6137</t>
  </si>
  <si>
    <t>1217:420:649:1620</t>
  </si>
  <si>
    <t>7142:422:7137:7514</t>
  </si>
  <si>
    <t>7421:4147:6676:3970</t>
  </si>
  <si>
    <t>7419:4150:5249:5397</t>
  </si>
  <si>
    <t>4198:3969:5249:8799</t>
  </si>
  <si>
    <t>594:377:1176:1759</t>
  </si>
  <si>
    <t>6505:1574:10169:3970</t>
  </si>
  <si>
    <t>7237:4610:5249:5122</t>
  </si>
  <si>
    <t>1678:411:1176:642</t>
  </si>
  <si>
    <t>8162:7233:1574:5249</t>
  </si>
  <si>
    <t>1726:1280:252:649</t>
  </si>
  <si>
    <t>8338:6040:422:7416</t>
  </si>
  <si>
    <t>1735:690:192:1289</t>
  </si>
  <si>
    <t>7977:3923:5068:5249</t>
  </si>
  <si>
    <t>1716:375:640:1176</t>
  </si>
  <si>
    <t>3970:4198:3967:10079</t>
  </si>
  <si>
    <t>582:1121:377:1826</t>
  </si>
  <si>
    <t>5397:2310:5529:8979</t>
  </si>
  <si>
    <t>657:291:1191:1769</t>
  </si>
  <si>
    <t>3970:3462:5346:9440</t>
  </si>
  <si>
    <t>582:351:1181:1793</t>
  </si>
  <si>
    <t>7698:2310:2589:9618</t>
  </si>
  <si>
    <t>1304:291:510:1802</t>
  </si>
  <si>
    <t>8892:3462:422:9443</t>
  </si>
  <si>
    <t>1404:528:173:1793</t>
  </si>
  <si>
    <t>8896:2310:1574:9438</t>
  </si>
  <si>
    <t>1404:471:233:1793</t>
  </si>
  <si>
    <t>7514:7142:422:7137</t>
  </si>
  <si>
    <t>1692:1275:192:748</t>
  </si>
  <si>
    <t>6137:6037:4793:5249</t>
  </si>
  <si>
    <t>1620:1217:420:649</t>
  </si>
  <si>
    <t>5397:2310:4149:10359</t>
  </si>
  <si>
    <t>1184:291:592:1841</t>
  </si>
  <si>
    <t>8799:4198:3969:5249</t>
  </si>
  <si>
    <t>1759:594:377:1176</t>
  </si>
  <si>
    <t>3970:7421:4147:6676</t>
  </si>
  <si>
    <t>377:1688:592:1251</t>
  </si>
  <si>
    <t>3970:6505:1574:10169</t>
  </si>
  <si>
    <t>582:1242:252:1831</t>
  </si>
  <si>
    <t>5858:5853:5255:5249</t>
  </si>
  <si>
    <t>1606:1208:649:444</t>
  </si>
  <si>
    <t>5122:7237:4610:5249</t>
  </si>
  <si>
    <t>642:1678:411:1176</t>
  </si>
  <si>
    <t>5249:1574:8162:7233</t>
  </si>
  <si>
    <t>649:252:1726:1280</t>
  </si>
  <si>
    <t>7416:422:8338:6040</t>
  </si>
  <si>
    <t>1289:192:1735:690</t>
  </si>
  <si>
    <t>5249:5068:7977:3923</t>
  </si>
  <si>
    <t>1176:640:1716:375</t>
  </si>
  <si>
    <t>8979:5529:5397:2310</t>
  </si>
  <si>
    <t>1769:1191:657:291</t>
  </si>
  <si>
    <t>9440:5346:3970:3462</t>
  </si>
  <si>
    <t>1793:1181:582:351</t>
  </si>
  <si>
    <t>9618:2589:7698:2310</t>
  </si>
  <si>
    <t>1802:510:1304:291</t>
  </si>
  <si>
    <t>5249:3969:8799:4198</t>
  </si>
  <si>
    <t>1176:377:1759:594</t>
  </si>
  <si>
    <t>9443:422:8892:3462</t>
  </si>
  <si>
    <t>1793:173:1404:528</t>
  </si>
  <si>
    <t>9438:1574:8896:2310</t>
  </si>
  <si>
    <t>1793:233:1404:471</t>
  </si>
  <si>
    <t>5249:4150:5397:7419</t>
  </si>
  <si>
    <t>649:387:1184:1687</t>
  </si>
  <si>
    <t>10079:3967:3970:4198</t>
  </si>
  <si>
    <t>1826:377:582:1121</t>
  </si>
  <si>
    <t>10359:4149:5397:2310</t>
  </si>
  <si>
    <t>1841:592:1184:291</t>
  </si>
  <si>
    <t>5249:4793:6137:6037</t>
  </si>
  <si>
    <t>649:420:1620:1217</t>
  </si>
  <si>
    <t>6676:4147:3970:7421</t>
  </si>
  <si>
    <t>1251:592:377:1688</t>
  </si>
  <si>
    <t>7137:422:7514:7142</t>
  </si>
  <si>
    <t>748:192:1692:1275</t>
  </si>
  <si>
    <t>10169:1574:3970:6505</t>
  </si>
  <si>
    <t>5249:4610:5122:7237</t>
  </si>
  <si>
    <t>1176:411:642:1678</t>
  </si>
  <si>
    <t>5249:5397:7417:4152</t>
  </si>
  <si>
    <t>649:1184:1687:387</t>
  </si>
  <si>
    <t>5249:8162:7233:1574</t>
  </si>
  <si>
    <t>649:1726:1280:252</t>
  </si>
  <si>
    <t>7416:8338:6040:422</t>
  </si>
  <si>
    <t>1289:1735:690:192</t>
  </si>
  <si>
    <t>5249:7977:3923:5068</t>
  </si>
  <si>
    <t>1176:1716:375:640</t>
  </si>
  <si>
    <t>9440:3970:3462:5346</t>
  </si>
  <si>
    <t>1793:582:351:1181</t>
  </si>
  <si>
    <t>8977:5397:2310:5531</t>
  </si>
  <si>
    <t>1769:657:291:1191</t>
  </si>
  <si>
    <t>9618:7698:2310:2589</t>
  </si>
  <si>
    <t>1802:1304:291:510</t>
  </si>
  <si>
    <t>9443:8892:3462:422</t>
  </si>
  <si>
    <t>1793:1404:528:173</t>
  </si>
  <si>
    <t>10079:3970:4198:3967</t>
  </si>
  <si>
    <t>1826:582:1121:377</t>
  </si>
  <si>
    <t>9438:8896:2310:1574</t>
  </si>
  <si>
    <t>1793:1404:471:233</t>
  </si>
  <si>
    <t>5249:6137:6037:4793</t>
  </si>
  <si>
    <t>649:1620:1217:420</t>
  </si>
  <si>
    <t>10359:5397:2310:4149</t>
  </si>
  <si>
    <t>1841:1184:291:592</t>
  </si>
  <si>
    <t>5249:8799:4198:3969</t>
  </si>
  <si>
    <t>1176:1759:594:377</t>
  </si>
  <si>
    <t>7137:7514:7142:422</t>
  </si>
  <si>
    <t>748:1692:1275:192</t>
  </si>
  <si>
    <t>6676:3970:7421:4147</t>
  </si>
  <si>
    <t>1251:377:1688:592</t>
  </si>
  <si>
    <t>10169:3970:6505:1574</t>
  </si>
  <si>
    <t>1831:582:1242:252</t>
  </si>
  <si>
    <t>6401:3970:6498:5349</t>
  </si>
  <si>
    <t>1236:377:1639:654</t>
  </si>
  <si>
    <t>422:7416:6040:8338</t>
  </si>
  <si>
    <t>1574:5249:7233:8162</t>
  </si>
  <si>
    <t>252:649:1280:1726</t>
  </si>
  <si>
    <t>5068:5249:3923:7977</t>
  </si>
  <si>
    <t>640:1176:375:1716</t>
  </si>
  <si>
    <t>5346:9440:3462:3970</t>
  </si>
  <si>
    <t>1181:1793:351:582</t>
  </si>
  <si>
    <t>2589:9618:2310:7698</t>
  </si>
  <si>
    <t>510:1802:291:1304</t>
  </si>
  <si>
    <t>4611:5249:7236:5122</t>
  </si>
  <si>
    <t>411:1176:1678:642</t>
  </si>
  <si>
    <t>4793:5249:6037:6137</t>
  </si>
  <si>
    <t>420:649:1217:1620</t>
  </si>
  <si>
    <t>3969:5249:4198:8799</t>
  </si>
  <si>
    <t>377:1176:594:1759</t>
  </si>
  <si>
    <t>拂尘</t>
  </si>
  <si>
    <t>特色便当</t>
  </si>
  <si>
    <t>吊坠</t>
  </si>
  <si>
    <t>帽子</t>
  </si>
  <si>
    <t>手链</t>
  </si>
  <si>
    <t>关东煮</t>
  </si>
  <si>
    <t>普洱茶</t>
  </si>
  <si>
    <t>棒棒糖</t>
  </si>
  <si>
    <t>6041:10454:5302:422</t>
  </si>
  <si>
    <t>1217:1846:652:192</t>
  </si>
  <si>
    <t>6217:9261:4150:2589</t>
  </si>
  <si>
    <t>1227:1783:592:305</t>
  </si>
  <si>
    <t>5856:7144:8796:422</t>
  </si>
  <si>
    <t>681:1275:1759:192</t>
  </si>
  <si>
    <t>1849:7419:7695:5252</t>
  </si>
  <si>
    <t>267:1289:1702:649</t>
  </si>
  <si>
    <t>3276:5531:9257:4152</t>
  </si>
  <si>
    <t>341:1191:1783:592</t>
  </si>
  <si>
    <t>1849:6683:9074:4613</t>
  </si>
  <si>
    <t>267:1251:1774:616</t>
  </si>
  <si>
    <t>5577:5531:6317:4791</t>
  </si>
  <si>
    <t>1193:664:1630:420</t>
  </si>
  <si>
    <t>6771:6683:4150:4616</t>
  </si>
  <si>
    <t>1653:1251:387:616</t>
  </si>
  <si>
    <t>6775:5531:5302:4611</t>
  </si>
  <si>
    <t>1654:1191:652:411</t>
  </si>
  <si>
    <t>5393:10363:4150:2310</t>
  </si>
  <si>
    <t>1184:1841:592:291</t>
  </si>
  <si>
    <t>4016:9258:8521:422</t>
  </si>
  <si>
    <t>585:1783:1347:192</t>
  </si>
  <si>
    <t>3276:5531:7877:5532</t>
  </si>
  <si>
    <t>341:1191:1711:664</t>
  </si>
  <si>
    <t>6678:7419:7697:422</t>
  </si>
  <si>
    <t>724:1289:1702:192</t>
  </si>
  <si>
    <t>1849:10642:7875:1849</t>
  </si>
  <si>
    <t>411:1872:1402:220</t>
  </si>
  <si>
    <t>1849:9726:5302:5342</t>
  </si>
  <si>
    <t>267:1808:652:1181</t>
  </si>
  <si>
    <t>3737:9074:8983:422</t>
  </si>
  <si>
    <t>3001:10458:8338:422</t>
  </si>
  <si>
    <t>444:1846:1457:132</t>
  </si>
  <si>
    <t>5397:7419:4150:5249</t>
  </si>
  <si>
    <t>1184:1687:387:649</t>
  </si>
  <si>
    <t>1436,253,1</t>
    <phoneticPr fontId="71" type="noConversion"/>
  </si>
  <si>
    <t>2445,253,1</t>
    <phoneticPr fontId="71" type="noConversion"/>
  </si>
  <si>
    <t>3447,253,1</t>
    <phoneticPr fontId="71" type="noConversion"/>
  </si>
  <si>
    <t>4445,253,1</t>
    <phoneticPr fontId="71" type="noConversion"/>
  </si>
  <si>
    <t>6263,253,1</t>
    <phoneticPr fontId="71" type="noConversion"/>
  </si>
  <si>
    <t>1183,252,1</t>
    <phoneticPr fontId="71" type="noConversion"/>
  </si>
  <si>
    <t>2178,252,1</t>
    <phoneticPr fontId="71" type="noConversion"/>
  </si>
  <si>
    <t>3175,252,1</t>
    <phoneticPr fontId="71" type="noConversion"/>
  </si>
  <si>
    <t>4179,252,1</t>
    <phoneticPr fontId="71" type="noConversion"/>
  </si>
  <si>
    <t>8065,252,1</t>
    <phoneticPr fontId="71" type="noConversion"/>
  </si>
  <si>
    <t>心愿之约</t>
    <phoneticPr fontId="71" type="noConversion"/>
  </si>
  <si>
    <t>奖池类型</t>
    <phoneticPr fontId="71" type="noConversion"/>
  </si>
  <si>
    <t>高级</t>
    <phoneticPr fontId="71" type="noConversion"/>
  </si>
  <si>
    <t>普通</t>
    <phoneticPr fontId="71" type="noConversion"/>
  </si>
  <si>
    <t>奖池</t>
    <phoneticPr fontId="71" type="noConversion"/>
  </si>
  <si>
    <t>组权重</t>
    <phoneticPr fontId="74" type="noConversion"/>
  </si>
  <si>
    <t>随机权重</t>
    <phoneticPr fontId="74" type="noConversion"/>
  </si>
  <si>
    <t>刷新保底</t>
    <phoneticPr fontId="74" type="noConversion"/>
  </si>
  <si>
    <t>保底品质</t>
    <phoneticPr fontId="74" type="noConversion"/>
  </si>
  <si>
    <t>掉落保底</t>
    <phoneticPr fontId="74" type="noConversion"/>
  </si>
  <si>
    <t>0星</t>
    <phoneticPr fontId="74" type="noConversion"/>
  </si>
  <si>
    <t>0星</t>
    <phoneticPr fontId="71" type="noConversion"/>
  </si>
  <si>
    <t>1星</t>
  </si>
  <si>
    <t>2星</t>
  </si>
  <si>
    <t>3星</t>
  </si>
  <si>
    <t>券数</t>
    <phoneticPr fontId="74" type="noConversion"/>
  </si>
  <si>
    <t>扭蛋池</t>
    <phoneticPr fontId="71" type="noConversion"/>
  </si>
  <si>
    <t>商店</t>
    <phoneticPr fontId="71" type="noConversion"/>
  </si>
  <si>
    <t>奖励活动</t>
    <phoneticPr fontId="71" type="noConversion"/>
  </si>
  <si>
    <t>活动时间</t>
    <phoneticPr fontId="71" type="noConversion"/>
  </si>
  <si>
    <t>结束时间</t>
    <phoneticPr fontId="71" type="noConversion"/>
  </si>
  <si>
    <t>补发邮件</t>
    <phoneticPr fontId="71" type="noConversion"/>
  </si>
  <si>
    <t>类型</t>
  </si>
  <si>
    <t>属性</t>
    <phoneticPr fontId="71" type="noConversion"/>
  </si>
  <si>
    <t>属性参数</t>
    <phoneticPr fontId="71" type="noConversion"/>
  </si>
  <si>
    <t>售价</t>
    <phoneticPr fontId="71" type="noConversion"/>
  </si>
  <si>
    <t>分解</t>
    <phoneticPr fontId="71" type="noConversion"/>
  </si>
  <si>
    <t>是否更新</t>
    <phoneticPr fontId="71" type="noConversion"/>
  </si>
  <si>
    <t>小铃铛</t>
  </si>
  <si>
    <t>3|4</t>
    <phoneticPr fontId="71" type="noConversion"/>
  </si>
  <si>
    <t>小玩具</t>
    <phoneticPr fontId="71" type="noConversion"/>
  </si>
  <si>
    <t>小网球</t>
  </si>
  <si>
    <t>弹力球</t>
  </si>
  <si>
    <t>1|2|3|4|5|6</t>
    <phoneticPr fontId="71" type="noConversion"/>
  </si>
  <si>
    <t>5011,375,120</t>
    <phoneticPr fontId="71" type="noConversion"/>
  </si>
  <si>
    <t>逗猫棒</t>
  </si>
  <si>
    <t>5011,375,960</t>
    <phoneticPr fontId="74" type="noConversion"/>
  </si>
  <si>
    <t>毛绒小老鼠</t>
  </si>
  <si>
    <t>大玩具</t>
    <phoneticPr fontId="71" type="noConversion"/>
  </si>
  <si>
    <t>低</t>
    <phoneticPr fontId="71" type="noConversion"/>
  </si>
  <si>
    <t>清洁豆腐砂</t>
  </si>
  <si>
    <t>超除臭秒净砂</t>
  </si>
  <si>
    <t>2020/1/1 5:00:00</t>
    <phoneticPr fontId="71" type="noConversion"/>
  </si>
  <si>
    <t>天然鸡肉猫粮</t>
  </si>
  <si>
    <t>2030/1/1 5:00:00</t>
    <phoneticPr fontId="71" type="noConversion"/>
  </si>
  <si>
    <t>混合营养猫粮</t>
  </si>
  <si>
    <t>床垫</t>
    <phoneticPr fontId="71" type="noConversion"/>
  </si>
  <si>
    <t>美毛小鱼干</t>
  </si>
  <si>
    <t>鹌鹑蛋黄冻干</t>
  </si>
  <si>
    <t>6001,375,1</t>
    <phoneticPr fontId="71" type="noConversion"/>
  </si>
  <si>
    <t>神秘家具</t>
    <phoneticPr fontId="71" type="noConversion"/>
  </si>
  <si>
    <t>绝味猫条</t>
  </si>
  <si>
    <t>饭盆</t>
    <phoneticPr fontId="71" type="noConversion"/>
  </si>
  <si>
    <t>0,1,1000|2500|4000|5000</t>
    <phoneticPr fontId="71" type="noConversion"/>
  </si>
  <si>
    <t>神秘服饰</t>
    <phoneticPr fontId="71" type="noConversion"/>
  </si>
  <si>
    <t>酸奶冻干</t>
  </si>
  <si>
    <t>神秘道具</t>
    <phoneticPr fontId="71" type="noConversion"/>
  </si>
  <si>
    <t>猫薄荷棒棒糖</t>
  </si>
  <si>
    <t>1|2|3|4</t>
    <phoneticPr fontId="71" type="noConversion"/>
  </si>
  <si>
    <t>厕所</t>
    <phoneticPr fontId="71" type="noConversion"/>
  </si>
  <si>
    <t>220125常驻扭蛋</t>
    <phoneticPr fontId="71" type="noConversion"/>
  </si>
  <si>
    <t>211026限时扭蛋</t>
    <phoneticPr fontId="71" type="noConversion"/>
  </si>
  <si>
    <t>1星</t>
    <phoneticPr fontId="74" type="noConversion"/>
  </si>
  <si>
    <t>白色小礼帽</t>
  </si>
  <si>
    <t>2星</t>
    <phoneticPr fontId="74" type="noConversion"/>
  </si>
  <si>
    <t>3星</t>
    <phoneticPr fontId="74" type="noConversion"/>
  </si>
  <si>
    <t>1|2</t>
    <phoneticPr fontId="71" type="noConversion"/>
  </si>
  <si>
    <t>颈部</t>
    <phoneticPr fontId="71" type="noConversion"/>
  </si>
  <si>
    <t>5|6</t>
    <phoneticPr fontId="71" type="noConversion"/>
  </si>
  <si>
    <t>粉粉太阳镜</t>
  </si>
  <si>
    <t>英伦风帽子</t>
  </si>
  <si>
    <t>面部</t>
    <phoneticPr fontId="71" type="noConversion"/>
  </si>
  <si>
    <t>宝石王冠</t>
  </si>
  <si>
    <t>2022/4/1 5:00</t>
    <phoneticPr fontId="71" type="noConversion"/>
  </si>
  <si>
    <t>2022/5/1 4:59:59</t>
    <phoneticPr fontId="71" type="noConversion"/>
  </si>
  <si>
    <t>贵妇帽子-粉</t>
  </si>
  <si>
    <t>贵妇帽子-紫</t>
  </si>
  <si>
    <t>猫猫头海军帽</t>
  </si>
  <si>
    <t>背部</t>
    <phoneticPr fontId="71" type="noConversion"/>
  </si>
  <si>
    <t>绒绒材质的花帽子</t>
  </si>
  <si>
    <t>荷包蛋三角巾</t>
  </si>
  <si>
    <t>粉蝴蝶结项圈</t>
  </si>
  <si>
    <t>头部</t>
    <phoneticPr fontId="71" type="noConversion"/>
  </si>
  <si>
    <t>黄色口水巾</t>
  </si>
  <si>
    <t>银色铃铛</t>
  </si>
  <si>
    <t>金色铃铛</t>
  </si>
  <si>
    <t>白色小领结</t>
  </si>
  <si>
    <t>小小包袱</t>
  </si>
  <si>
    <t>蓝色蕾丝围兜</t>
  </si>
  <si>
    <t>英伦风小围巾</t>
  </si>
  <si>
    <t>宫廷风小围巾</t>
  </si>
  <si>
    <t>2022/7/1 5:00</t>
    <phoneticPr fontId="71" type="noConversion"/>
  </si>
  <si>
    <t>2022/8/1 4:59:59</t>
    <phoneticPr fontId="71" type="noConversion"/>
  </si>
  <si>
    <t>贵妇围巾-粉</t>
  </si>
  <si>
    <t>贵妇围巾-紫</t>
  </si>
  <si>
    <t>海军风领带</t>
  </si>
  <si>
    <t>小铃铛围兜</t>
  </si>
  <si>
    <t>小兔子围巾-蓝紫色</t>
  </si>
  <si>
    <t>小兔子围巾-粉色</t>
  </si>
  <si>
    <t>田园风围巾</t>
  </si>
  <si>
    <t>学生领子</t>
  </si>
  <si>
    <t>机械师翅膀</t>
  </si>
  <si>
    <t>精灵翅膀</t>
  </si>
  <si>
    <t>布制花花翅膀</t>
  </si>
  <si>
    <t>棉花材质翅膀</t>
  </si>
  <si>
    <t>绒绒蝴蝶翅膀</t>
  </si>
  <si>
    <t>橘橘发卡</t>
  </si>
  <si>
    <t>波点发卡</t>
  </si>
  <si>
    <t>眼罩</t>
  </si>
  <si>
    <t>爪爪发卡</t>
  </si>
  <si>
    <t>桃心发卡</t>
  </si>
  <si>
    <t>仙人掌爬架</t>
  </si>
  <si>
    <t>花园爬架</t>
  </si>
  <si>
    <t>蘑菇爬架</t>
  </si>
  <si>
    <t>粉色小象跑步机</t>
  </si>
  <si>
    <t>甜橘跑步机</t>
  </si>
  <si>
    <t>樱桃跑步机</t>
  </si>
  <si>
    <t>独角兽跑步机</t>
  </si>
  <si>
    <t>2022/3/1 4:59:59</t>
    <phoneticPr fontId="71" type="noConversion"/>
  </si>
  <si>
    <t>雪怪跑步机</t>
  </si>
  <si>
    <t>2022/6/1 5:00</t>
    <phoneticPr fontId="71" type="noConversion"/>
  </si>
  <si>
    <t>2022/7/1 4:59:59</t>
    <phoneticPr fontId="71" type="noConversion"/>
  </si>
  <si>
    <t>花形逗猫棒</t>
  </si>
  <si>
    <t>星空逗猫棒</t>
  </si>
  <si>
    <t>粉色怪兽抓板</t>
  </si>
  <si>
    <t>猫猫头抓板</t>
  </si>
  <si>
    <t>牛奶盒抓板</t>
  </si>
  <si>
    <t>城堡抓板</t>
  </si>
  <si>
    <t>2022/4/1 4:59:59</t>
    <phoneticPr fontId="71" type="noConversion"/>
  </si>
  <si>
    <t>美梦星抓板</t>
  </si>
  <si>
    <t>2022/5/1 5:00</t>
    <phoneticPr fontId="71" type="noConversion"/>
  </si>
  <si>
    <t>2022/6/1 4:59:59</t>
    <phoneticPr fontId="71" type="noConversion"/>
  </si>
  <si>
    <t>帐篷床屋</t>
  </si>
  <si>
    <t>牛油果床屋</t>
  </si>
  <si>
    <t>提篮床屋</t>
  </si>
  <si>
    <t>小夜曲床屋</t>
  </si>
  <si>
    <t>兔兔床屋</t>
  </si>
  <si>
    <t>小鸡饭盆猫款</t>
  </si>
  <si>
    <t>雪人饭盆</t>
  </si>
  <si>
    <t>兔与胡萝卜饭盆</t>
  </si>
  <si>
    <t>甜酪饭盆</t>
  </si>
  <si>
    <t>爪爪敞口厕所</t>
  </si>
  <si>
    <t>粉粉桃子厕所</t>
  </si>
  <si>
    <t>神秘飞碟厕所</t>
  </si>
  <si>
    <t>高高雪山厕所</t>
  </si>
  <si>
    <t>我与李泽言五年携手与共、彼此心照不宣，但论起婚嫁，我却担心从此之后被困深宫，不得自由。李泽言知道我心中所想，没有勉强我什么，表示祭天大典，他可以一人完成。</t>
    <phoneticPr fontId="71" type="noConversion"/>
  </si>
  <si>
    <t>因为你，我的梦染上了温柔的颜色。</t>
    <phoneticPr fontId="71" type="noConversion"/>
  </si>
  <si>
    <t>2022/3/2 5:00</t>
    <phoneticPr fontId="71" type="noConversion"/>
  </si>
  <si>
    <t>李泽言·白昼噪点</t>
    <phoneticPr fontId="71" type="noConversion"/>
  </si>
  <si>
    <t>你足以拥有我全部的瞩目。</t>
  </si>
  <si>
    <t>D:\2019\Design\excel_config</t>
    <phoneticPr fontId="71" type="noConversion"/>
  </si>
  <si>
    <t>李泽言·心墙白昼噪点</t>
  </si>
  <si>
    <t>李泽言·围城白昼噪点</t>
  </si>
  <si>
    <t>李泽言·热望白昼噪点</t>
  </si>
  <si>
    <t>李泽言·浮香白昼噪点</t>
  </si>
  <si>
    <t>李泽言·猎行之时白昼噪点</t>
  </si>
  <si>
    <t>李泽言·制胜时刻白昼噪点</t>
  </si>
  <si>
    <t>李泽言·一眸之隔白昼噪点</t>
  </si>
  <si>
    <t>李泽言·今夕景白昼噪点</t>
  </si>
  <si>
    <t>李泽言·盛意满怀白昼噪点</t>
  </si>
  <si>
    <t>李泽言·静谧晖光白昼噪点</t>
  </si>
  <si>
    <t>李泽言·相遇转角白昼噪点</t>
  </si>
  <si>
    <t>李泽言·漫言日长白昼噪点</t>
  </si>
  <si>
    <t>李泽言·钟影阑珊白昼噪点</t>
  </si>
  <si>
    <t>李泽言·心澜白昼噪点</t>
  </si>
  <si>
    <t>李泽言·清朗好日白昼噪点</t>
  </si>
  <si>
    <t>李泽言·不夜天白昼噪点</t>
  </si>
  <si>
    <t>李泽言·晏晏而遇白昼噪点</t>
  </si>
  <si>
    <t>李泽言·一室融融白昼噪点</t>
  </si>
  <si>
    <t>2022/2/8 5:00</t>
    <phoneticPr fontId="71" type="noConversion"/>
  </si>
  <si>
    <t>白起·乘风之旅</t>
    <phoneticPr fontId="71" type="noConversion"/>
  </si>
  <si>
    <t>4452,253,1</t>
    <phoneticPr fontId="71" type="noConversion"/>
  </si>
  <si>
    <t>4453,253,1</t>
    <phoneticPr fontId="71" type="noConversion"/>
  </si>
  <si>
    <t>风到过的地方，总有爱意萌芽。</t>
  </si>
  <si>
    <t>D:\evol_release_220222</t>
    <phoneticPr fontId="71" type="noConversion"/>
  </si>
  <si>
    <t>李泽言·静夜秘蜜</t>
    <phoneticPr fontId="71" type="noConversion"/>
  </si>
  <si>
    <t>既然想让我睡得安稳，那许愿的人也留下吧。</t>
  </si>
  <si>
    <t>许墨·限售童话</t>
    <phoneticPr fontId="71" type="noConversion"/>
  </si>
  <si>
    <t>这份独一无二的小小岛屿，只对你一人开放。</t>
  </si>
  <si>
    <t>白起·绻意余香</t>
    <phoneticPr fontId="71" type="noConversion"/>
  </si>
  <si>
    <t>身边有你的气息，就是最好的早安。</t>
  </si>
  <si>
    <t>周棋洛·今日好梦</t>
    <phoneticPr fontId="71" type="noConversion"/>
  </si>
  <si>
    <t>你让每晚的梦都变得香甜。</t>
  </si>
  <si>
    <t>凌肖·无心入眠</t>
    <phoneticPr fontId="71" type="noConversion"/>
  </si>
  <si>
    <t>给你一个偷袭的机会，胆子大点。</t>
  </si>
  <si>
    <t>1446,253,1</t>
    <phoneticPr fontId="71" type="noConversion"/>
  </si>
  <si>
    <t>1447,253,1</t>
    <phoneticPr fontId="71" type="noConversion"/>
  </si>
  <si>
    <t>2449,253,1</t>
    <phoneticPr fontId="71" type="noConversion"/>
  </si>
  <si>
    <t>2450,253,1</t>
    <phoneticPr fontId="71" type="noConversion"/>
  </si>
  <si>
    <t>3454,253,1</t>
    <phoneticPr fontId="71" type="noConversion"/>
  </si>
  <si>
    <t>3455,253,1</t>
    <phoneticPr fontId="71" type="noConversion"/>
  </si>
  <si>
    <t>4454,253,1</t>
    <phoneticPr fontId="71" type="noConversion"/>
  </si>
  <si>
    <t>4455,253,1</t>
    <phoneticPr fontId="71" type="noConversion"/>
  </si>
  <si>
    <t>6270,253,1</t>
    <phoneticPr fontId="71" type="noConversion"/>
  </si>
  <si>
    <t>6271,253,1</t>
    <phoneticPr fontId="71" type="noConversion"/>
  </si>
  <si>
    <t>D:\evol_release_211026_2019</t>
    <phoneticPr fontId="71" type="noConversion"/>
  </si>
  <si>
    <t>8888:6407:422:6502</t>
  </si>
  <si>
    <t>1764:710:192:1241</t>
  </si>
  <si>
    <t>7695:5255:2589:6678</t>
  </si>
  <si>
    <t>5578:9901:422:6317</t>
  </si>
  <si>
    <t>666:1817:192:1232</t>
  </si>
  <si>
    <t>3965:10362:4152:3737</t>
  </si>
  <si>
    <t>5117:10179:4613:2310</t>
  </si>
  <si>
    <t>1169:1831:616:291</t>
  </si>
  <si>
    <t>3965:7422:4791:6038</t>
  </si>
  <si>
    <t>377:1688:625:1217</t>
  </si>
  <si>
    <t>5853:8800:5252:2310</t>
  </si>
  <si>
    <t>5117:5255:4616:7232</t>
  </si>
  <si>
    <t>642:1176:411:1678</t>
  </si>
  <si>
    <t>3965:6407:4611:7236</t>
  </si>
  <si>
    <t>377:1237:616:1678</t>
  </si>
  <si>
    <t>3965:8982:5532:3737</t>
  </si>
  <si>
    <t>582:1769:1191:365</t>
  </si>
  <si>
    <t>7692:9626:422:4477</t>
  </si>
  <si>
    <t>1304:1803:192:609</t>
  </si>
  <si>
    <t>8797:5255:2310:5854</t>
  </si>
  <si>
    <t>1759:649:291:1208</t>
  </si>
  <si>
    <t>9076:8980:1849:2310</t>
  </si>
  <si>
    <t>1774:1371:267:496</t>
  </si>
  <si>
    <t>9074:8983:422:3737</t>
  </si>
  <si>
    <t>5853:8802:422:7139</t>
  </si>
  <si>
    <t>681:1760:192:1275</t>
  </si>
  <si>
    <t>8160:6407:5342:2310</t>
  </si>
  <si>
    <t>1726:1237:654:291</t>
  </si>
  <si>
    <t>8892:9443:422:3462</t>
  </si>
  <si>
    <t>1404:1793:173:528</t>
  </si>
  <si>
    <t>5853:5255:5249:5858</t>
  </si>
  <si>
    <t>1208:649:444:1606</t>
  </si>
  <si>
    <t>李泽言·静夜秘蜜</t>
  </si>
  <si>
    <t>李泽言的布丁</t>
  </si>
  <si>
    <t>许墨·限售童话</t>
  </si>
  <si>
    <t>许墨的解剖刀</t>
  </si>
  <si>
    <t>周棋洛·今日好梦</t>
  </si>
  <si>
    <t>白起·绻意余香</t>
  </si>
  <si>
    <t>白起的发圈</t>
  </si>
  <si>
    <t>凌肖·无心入眠</t>
  </si>
  <si>
    <t>白起·乘风之旅</t>
  </si>
  <si>
    <t>白起的信件</t>
  </si>
  <si>
    <t>李泽言·白昼噪点</t>
  </si>
  <si>
    <t>1,10004;2,10004</t>
  </si>
  <si>
    <t>针管</t>
  </si>
  <si>
    <t>马克杯</t>
  </si>
  <si>
    <t>水晶球</t>
  </si>
  <si>
    <t>大柴柴</t>
  </si>
  <si>
    <t>书</t>
  </si>
  <si>
    <t>u盘</t>
  </si>
  <si>
    <t>数位板</t>
  </si>
  <si>
    <t>沙拉</t>
  </si>
  <si>
    <t>入场券</t>
  </si>
  <si>
    <t>龙井虾仁</t>
  </si>
  <si>
    <t>八卦镜</t>
  </si>
  <si>
    <t>洗发水</t>
  </si>
  <si>
    <t>炸鸡桶</t>
  </si>
  <si>
    <t>镜头</t>
  </si>
  <si>
    <t>耳机</t>
  </si>
  <si>
    <t>紫砂壶</t>
  </si>
  <si>
    <t>符</t>
  </si>
  <si>
    <t>流苏玉佩</t>
  </si>
  <si>
    <t>便当</t>
  </si>
  <si>
    <t>司南</t>
  </si>
  <si>
    <t>水果篮</t>
  </si>
  <si>
    <t>小笼汤包</t>
  </si>
  <si>
    <t>牛肉汤</t>
  </si>
  <si>
    <t>润肤霜</t>
  </si>
  <si>
    <t>收纳篮</t>
  </si>
  <si>
    <t>晕机药</t>
  </si>
  <si>
    <t>景观毬藻</t>
  </si>
  <si>
    <t>钱包</t>
  </si>
  <si>
    <t>吹风机</t>
  </si>
  <si>
    <t>三脚架</t>
  </si>
  <si>
    <t>挎包</t>
  </si>
  <si>
    <t>面具</t>
  </si>
  <si>
    <t>玉如意</t>
  </si>
  <si>
    <t>东坡肉</t>
  </si>
  <si>
    <t>大吉岭</t>
  </si>
  <si>
    <t>防晒霜</t>
  </si>
  <si>
    <t>咖啡</t>
  </si>
  <si>
    <t>化妆刷</t>
  </si>
  <si>
    <t>笔记本电脑</t>
  </si>
  <si>
    <t>卡包</t>
  </si>
  <si>
    <t>鸡尾酒</t>
  </si>
  <si>
    <t>甜甜圈</t>
  </si>
  <si>
    <t>棉拖鞋</t>
  </si>
  <si>
    <t>手机壳</t>
  </si>
  <si>
    <t>毛毡玩具</t>
  </si>
  <si>
    <t>迷你u盘</t>
  </si>
  <si>
    <t>首饰盒</t>
  </si>
  <si>
    <t>蓝牙耳机</t>
  </si>
  <si>
    <t>运动护手</t>
  </si>
  <si>
    <t>柚子茶</t>
  </si>
  <si>
    <t>扭蛋</t>
  </si>
  <si>
    <t>文件夹</t>
  </si>
  <si>
    <t>香氛蜡烛</t>
  </si>
  <si>
    <t>口香糖</t>
  </si>
  <si>
    <t>随身镜</t>
  </si>
  <si>
    <t>手持电风扇</t>
  </si>
  <si>
    <t>盲盒</t>
  </si>
  <si>
    <t>文鸟摆件</t>
  </si>
  <si>
    <t>鱼尾夹</t>
  </si>
  <si>
    <t>信用卡</t>
  </si>
  <si>
    <t>碳酸饮料</t>
  </si>
  <si>
    <t>剃须刀</t>
  </si>
  <si>
    <t>麻辣小龙虾</t>
  </si>
  <si>
    <t>耳夹</t>
  </si>
  <si>
    <t>签字笔</t>
  </si>
  <si>
    <t>李泽言·撷果季节</t>
    <phoneticPr fontId="74" type="noConversion"/>
  </si>
  <si>
    <t>李泽言·藏情</t>
    <phoneticPr fontId="74" type="noConversion"/>
  </si>
  <si>
    <t>0,言和岁丰活动限定</t>
    <phoneticPr fontId="71" type="noConversion"/>
  </si>
  <si>
    <t>5265,253,1</t>
    <phoneticPr fontId="71" type="noConversion"/>
  </si>
  <si>
    <t>140546,251,1</t>
    <phoneticPr fontId="71" type="noConversion"/>
  </si>
  <si>
    <t>1450,253,1</t>
    <phoneticPr fontId="71" type="noConversion"/>
  </si>
  <si>
    <t>140547,251,1</t>
    <phoneticPr fontId="71" type="noConversion"/>
  </si>
  <si>
    <t>1449,253,1</t>
    <phoneticPr fontId="71" type="noConversion"/>
  </si>
  <si>
    <t>不出所料和意外之喜，都被你一手包办了。</t>
    <phoneticPr fontId="71" type="noConversion"/>
  </si>
  <si>
    <t>身边有个你，四季都有好收获。</t>
    <phoneticPr fontId="71" type="noConversion"/>
  </si>
  <si>
    <t>丰收之约</t>
    <phoneticPr fontId="71" type="noConversion"/>
  </si>
  <si>
    <t>和华锐合作的“恋语市旅游月”项目成功落幕，李泽言让我计划一个二人年假。这时万蔬采摘园给我致电，说我和李泽言曾经一起种的番茄可以采摘了……</t>
    <phoneticPr fontId="71" type="noConversion"/>
  </si>
  <si>
    <t>我定了闹钟，打算在年假第一天早起准备去采摘的事宜，万万没想到这次阻碍我起床的不是被子，而是赖床的李泽言。</t>
    <phoneticPr fontId="71" type="noConversion"/>
  </si>
  <si>
    <t>在种植园为采摘做准备时，我回想起第一次和李泽言来这里的情景，而李泽言也给我准备了一个小小的“惊喜”。</t>
    <phoneticPr fontId="71" type="noConversion"/>
  </si>
  <si>
    <t>李泽言用了点小“技巧”，带我在众多番茄株中找到了当时我们一起种的那株。在成熟的果实下，我向李泽言道明了当时选择种番茄的理由……</t>
    <phoneticPr fontId="71" type="noConversion"/>
  </si>
  <si>
    <t>在采摘完毕后，我们在休息室休息，我被李泽言的小玩笑“骗”吃到一口酸番茄。在和煦日光里，我向他坦言了关于这次合作的感想，李泽言也告诉我，我带给他的独特“收获”。</t>
    <phoneticPr fontId="71" type="noConversion"/>
  </si>
  <si>
    <t>4:163:180:74</t>
    <phoneticPr fontId="71" type="noConversion"/>
  </si>
  <si>
    <t>李泽言·藏情</t>
  </si>
  <si>
    <t>我的唇膏</t>
  </si>
  <si>
    <t>李泽言的心愿灯</t>
  </si>
  <si>
    <t>李泽言·撷果季节</t>
  </si>
  <si>
    <t>我的录音笔</t>
  </si>
  <si>
    <t>李泽言的红酒</t>
  </si>
  <si>
    <t>丝袜奶茶</t>
  </si>
  <si>
    <t>钥匙扣</t>
  </si>
  <si>
    <t>止痛喷雾</t>
  </si>
  <si>
    <t>胶囊</t>
  </si>
  <si>
    <t>礼物</t>
  </si>
  <si>
    <t>竹子</t>
  </si>
  <si>
    <t>花环</t>
  </si>
  <si>
    <t>青花瓷瓶</t>
  </si>
  <si>
    <t>古典竹伞</t>
  </si>
  <si>
    <t>指甲油</t>
  </si>
  <si>
    <t>16</t>
  </si>
  <si>
    <t>饼干</t>
  </si>
  <si>
    <t>清酒</t>
  </si>
  <si>
    <t>2179,252,1</t>
    <phoneticPr fontId="71" type="noConversion"/>
  </si>
  <si>
    <t>2451,253,1</t>
    <phoneticPr fontId="71" type="noConversion"/>
  </si>
  <si>
    <t>2180,252,1</t>
    <phoneticPr fontId="71" type="noConversion"/>
  </si>
  <si>
    <t>许墨·融晴</t>
  </si>
  <si>
    <t>许墨·融晴</t>
    <phoneticPr fontId="71" type="noConversion"/>
  </si>
  <si>
    <t>许墨的平安结</t>
  </si>
  <si>
    <t>火鸡</t>
  </si>
  <si>
    <t>鲜花</t>
  </si>
  <si>
    <t>龙井茶</t>
  </si>
  <si>
    <t>蕾丝丝带</t>
  </si>
  <si>
    <t>洒水壶</t>
  </si>
  <si>
    <t>清洁剂</t>
  </si>
  <si>
    <t>20</t>
  </si>
  <si>
    <t>2022/2/22 5:00</t>
    <phoneticPr fontId="71" type="noConversion"/>
  </si>
  <si>
    <t>F:\evol_release_220222</t>
    <phoneticPr fontId="71" type="noConversion"/>
  </si>
  <si>
    <t>0,如约而至活动限定</t>
    <phoneticPr fontId="71" type="noConversion"/>
  </si>
  <si>
    <t>许墨去参加了为时将近半个月的封闭会议，分开前我们给彼此布置了一个任务清单，并约定好一起看恋语市的最后一场大雪。谁知这场雪比预报的时间早来了许多，为了弥补我的遗憾，许墨带我来到了冬景依旧的郊区公园。</t>
  </si>
  <si>
    <t>一大早我来到咖啡店，想完成许墨的任务清单的最后一项——在他回来的前一天，去我们经常逛的咖啡厅买一杯热可可，却在这里听到了一个熟悉的声音……</t>
  </si>
  <si>
    <t>送冬之约</t>
  </si>
  <si>
    <t>没想到许墨提前一天结束了封闭会议，并在咖啡厅等候我。我故意问他为什么提早回来，他说他早就料到自己会想念我，所以才给我布置了买热可可的任务，并自己一早来这里等我“偶遇”。</t>
  </si>
  <si>
    <t>由于最后一场大雪比预报的时间早来了许多，许墨没能完成和我一起看最后一场大雪的任务。为了弥补我的遗憾，他带我来到了郊区公园送冬。</t>
  </si>
  <si>
    <t>许墨故意把我支开，为我在公园里制造了一片美丽的冬景，让我好好和这个冬天做个告别。看着漫天的“雪花”，我明白过来是许墨把所有美好的东西都带到了我的世界。</t>
  </si>
  <si>
    <t>面对你，我无法隐藏每一次想念。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</si>
</sst>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h:mm;@"/>
  </numFmts>
  <fonts count="88">
    <font>
      <sz val="10"/>
      <color theme="1"/>
      <name val="微软雅黑"/>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name val="微软雅黑"/>
      <family val="2"/>
      <charset val="134"/>
    </font>
    <font>
      <sz val="10"/>
      <color theme="1"/>
      <name val="微软雅黑"/>
      <family val="2"/>
      <charset val="134"/>
    </font>
    <font>
      <b/>
      <sz val="10"/>
      <color theme="1"/>
      <name val="微软雅黑"/>
      <family val="2"/>
      <charset val="134"/>
    </font>
    <font>
      <sz val="10"/>
      <color rgb="FF000000"/>
      <name val="微软雅黑"/>
      <family val="2"/>
      <charset val="134"/>
    </font>
    <font>
      <b/>
      <sz val="10"/>
      <name val="微软雅黑"/>
      <family val="2"/>
      <charset val="134"/>
    </font>
    <font>
      <sz val="10"/>
      <color rgb="FF92D050"/>
      <name val="微软雅黑"/>
      <family val="2"/>
      <charset val="134"/>
    </font>
    <font>
      <b/>
      <sz val="11"/>
      <color rgb="FF92D050"/>
      <name val="微软雅黑"/>
      <family val="2"/>
      <charset val="134"/>
    </font>
    <font>
      <sz val="10"/>
      <name val="Microsoft YaHei"/>
      <charset val="134"/>
    </font>
    <font>
      <sz val="10"/>
      <color theme="0" tint="-0.34998626667073579"/>
      <name val="Microsoft YaHei"/>
      <charset val="134"/>
    </font>
    <font>
      <b/>
      <sz val="10"/>
      <color rgb="FFFFFF00"/>
      <name val="Microsoft YaHei"/>
      <charset val="134"/>
    </font>
    <font>
      <b/>
      <sz val="10"/>
      <color theme="9" tint="-0.249977111117893"/>
      <name val="Microsoft YaHei"/>
      <charset val="134"/>
    </font>
    <font>
      <b/>
      <sz val="10"/>
      <color theme="1"/>
      <name val="Microsoft YaHei"/>
      <charset val="134"/>
    </font>
    <font>
      <sz val="10"/>
      <color rgb="FFFF0000"/>
      <name val="Microsoft YaHei"/>
      <charset val="134"/>
    </font>
    <font>
      <sz val="10"/>
      <color rgb="FFFF0000"/>
      <name val="等线"/>
      <family val="3"/>
      <charset val="134"/>
      <scheme val="minor"/>
    </font>
    <font>
      <sz val="10"/>
      <color rgb="FFFF0000"/>
      <name val="돋움"/>
      <family val="2"/>
    </font>
    <font>
      <sz val="10"/>
      <name val="돋움"/>
      <family val="2"/>
    </font>
    <font>
      <sz val="10"/>
      <color theme="1"/>
      <name val="等线"/>
      <family val="3"/>
      <charset val="134"/>
      <scheme val="minor"/>
    </font>
    <font>
      <sz val="10"/>
      <name val="맑은 고딕"/>
      <family val="2"/>
    </font>
    <font>
      <sz val="10"/>
      <name val="Microsoft YaHei"/>
      <charset val="129"/>
    </font>
    <font>
      <b/>
      <sz val="10"/>
      <color rgb="FFFFC000"/>
      <name val="Microsoft YaHei"/>
      <charset val="134"/>
    </font>
    <font>
      <sz val="10"/>
      <color rgb="FFFFFF00"/>
      <name val="微软雅黑"/>
      <family val="2"/>
      <charset val="134"/>
    </font>
    <font>
      <b/>
      <sz val="10"/>
      <color rgb="FFFFFF00"/>
      <name val="微软雅黑"/>
      <family val="2"/>
      <charset val="134"/>
    </font>
    <font>
      <sz val="11"/>
      <color theme="1"/>
      <name val="等线"/>
      <family val="3"/>
      <charset val="134"/>
      <scheme val="minor"/>
    </font>
    <font>
      <sz val="11"/>
      <color theme="1"/>
      <name val="Arial"/>
      <family val="2"/>
    </font>
    <font>
      <b/>
      <sz val="9"/>
      <name val="宋体"/>
      <family val="3"/>
      <charset val="134"/>
    </font>
    <font>
      <sz val="9"/>
      <name val="宋体"/>
      <family val="3"/>
      <charset val="134"/>
    </font>
    <font>
      <sz val="9"/>
      <name val="微软雅黑"/>
      <family val="2"/>
      <charset val="134"/>
    </font>
    <font>
      <sz val="9"/>
      <color indexed="81"/>
      <name val="宋体"/>
      <family val="3"/>
      <charset val="134"/>
    </font>
    <font>
      <b/>
      <sz val="9"/>
      <color indexed="81"/>
      <name val="宋体"/>
      <family val="3"/>
      <charset val="134"/>
    </font>
    <font>
      <sz val="9"/>
      <name val="等线"/>
      <family val="3"/>
      <charset val="134"/>
      <scheme val="minor"/>
    </font>
    <font>
      <sz val="10.5"/>
      <color theme="1"/>
      <name val="Calibri"/>
      <family val="2"/>
    </font>
    <font>
      <sz val="10.5"/>
      <color theme="1"/>
      <name val="宋体"/>
      <family val="3"/>
      <charset val="134"/>
    </font>
    <font>
      <sz val="10.5"/>
      <color theme="1"/>
      <name val="等线"/>
      <family val="3"/>
      <charset val="134"/>
    </font>
    <font>
      <sz val="10.5"/>
      <color rgb="FF171A1D"/>
      <name val="宋体"/>
      <family val="3"/>
      <charset val="134"/>
    </font>
    <font>
      <sz val="11"/>
      <name val="等线"/>
      <family val="3"/>
      <charset val="134"/>
      <scheme val="minor"/>
    </font>
    <font>
      <sz val="9"/>
      <name val="等线"/>
      <family val="2"/>
      <charset val="134"/>
      <scheme val="minor"/>
    </font>
    <font>
      <sz val="11"/>
      <color theme="0"/>
      <name val="微软雅黑"/>
      <family val="2"/>
      <charset val="134"/>
    </font>
    <font>
      <sz val="11"/>
      <color rgb="FFFF0000"/>
      <name val="等线"/>
      <family val="3"/>
      <charset val="134"/>
      <scheme val="minor"/>
    </font>
    <font>
      <sz val="11"/>
      <color rgb="FF171A1D"/>
      <name val="Segoe UI"/>
      <family val="2"/>
    </font>
    <font>
      <sz val="9"/>
      <color rgb="FF000000"/>
      <name val="Tahoma"/>
      <family val="2"/>
    </font>
    <font>
      <sz val="11"/>
      <color theme="1"/>
      <name val="微软雅黑"/>
      <family val="2"/>
      <charset val="134"/>
    </font>
    <font>
      <sz val="10"/>
      <color rgb="FF182B50"/>
      <name val="宋体"/>
      <family val="3"/>
      <charset val="134"/>
    </font>
    <font>
      <sz val="10.5"/>
      <color indexed="8"/>
      <name val="宋体"/>
      <family val="3"/>
      <charset val="134"/>
    </font>
  </fonts>
  <fills count="2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theme="8" tint="0.79995117038483843"/>
        <bgColor indexed="64"/>
      </patternFill>
    </fill>
    <fill>
      <patternFill patternType="solid">
        <fgColor theme="9" tint="0.59999389629810485"/>
        <bgColor indexed="64"/>
      </patternFill>
    </fill>
    <fill>
      <patternFill patternType="solid">
        <fgColor theme="1" tint="0.249977111117893"/>
        <bgColor indexed="64"/>
      </patternFill>
    </fill>
    <fill>
      <patternFill patternType="solid">
        <fgColor theme="1"/>
        <bgColor indexed="64"/>
      </patternFill>
    </fill>
    <fill>
      <patternFill patternType="solid">
        <fgColor rgb="FFE2EFDA"/>
        <bgColor indexed="64"/>
      </patternFill>
    </fill>
    <fill>
      <patternFill patternType="solid">
        <fgColor rgb="FF404040"/>
        <bgColor indexed="64"/>
      </patternFill>
    </fill>
    <fill>
      <patternFill patternType="solid">
        <fgColor theme="5" tint="-0.249977111117893"/>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0000"/>
        <bgColor indexed="64"/>
      </patternFill>
    </fill>
    <fill>
      <patternFill patternType="solid">
        <fgColor theme="2" tint="-0.249977111117893"/>
        <bgColor indexed="64"/>
      </patternFill>
    </fill>
    <fill>
      <patternFill patternType="solid">
        <fgColor theme="9"/>
        <bgColor indexed="64"/>
      </patternFill>
    </fill>
    <fill>
      <patternFill patternType="solid">
        <fgColor theme="4" tint="0.59999389629810485"/>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0">
    <xf numFmtId="0" fontId="0" fillId="0" borderId="0">
      <alignment vertical="center"/>
    </xf>
    <xf numFmtId="0" fontId="67" fillId="0" borderId="0"/>
    <xf numFmtId="0" fontId="67" fillId="0" borderId="0">
      <alignment vertical="center"/>
    </xf>
    <xf numFmtId="0" fontId="67" fillId="0" borderId="0">
      <alignment vertical="center"/>
    </xf>
    <xf numFmtId="0" fontId="68" fillId="0" borderId="0"/>
    <xf numFmtId="0" fontId="68" fillId="0" borderId="0"/>
    <xf numFmtId="0" fontId="68" fillId="0" borderId="0"/>
    <xf numFmtId="0" fontId="67" fillId="0" borderId="0"/>
    <xf numFmtId="0" fontId="67" fillId="0" borderId="0"/>
    <xf numFmtId="0" fontId="85" fillId="0" borderId="0">
      <alignment vertical="center"/>
    </xf>
  </cellStyleXfs>
  <cellXfs count="289">
    <xf numFmtId="0" fontId="0" fillId="0" borderId="0" xfId="0">
      <alignment vertical="center"/>
    </xf>
    <xf numFmtId="0" fontId="0" fillId="0" borderId="0" xfId="0" applyAlignment="1"/>
    <xf numFmtId="0" fontId="0" fillId="0" borderId="0" xfId="0" applyAlignment="1">
      <alignment vertical="center" wrapText="1"/>
    </xf>
    <xf numFmtId="0" fontId="45" fillId="0" borderId="0" xfId="0" applyFont="1">
      <alignment vertical="center"/>
    </xf>
    <xf numFmtId="0" fontId="46" fillId="0" borderId="0" xfId="0" applyFont="1">
      <alignment vertical="center"/>
    </xf>
    <xf numFmtId="0" fontId="0" fillId="0" borderId="0" xfId="0" applyAlignment="1">
      <alignment horizontal="left" vertical="center"/>
    </xf>
    <xf numFmtId="0" fontId="47" fillId="2" borderId="0" xfId="0" applyFont="1" applyFill="1" applyAlignment="1">
      <alignment horizontal="left" vertical="center"/>
    </xf>
    <xf numFmtId="0" fontId="47" fillId="2" borderId="1" xfId="0" applyFont="1" applyFill="1" applyBorder="1" applyAlignment="1">
      <alignment horizontal="left" vertical="center"/>
    </xf>
    <xf numFmtId="0" fontId="47" fillId="2" borderId="4" xfId="0" applyFont="1" applyFill="1" applyBorder="1" applyAlignment="1">
      <alignment horizontal="left" vertical="center"/>
    </xf>
    <xf numFmtId="0" fontId="46" fillId="0" borderId="0" xfId="0" applyFont="1" applyAlignment="1">
      <alignment horizontal="left" vertical="center"/>
    </xf>
    <xf numFmtId="49" fontId="0" fillId="0" borderId="0" xfId="0" applyNumberFormat="1" applyAlignment="1">
      <alignment horizontal="left" vertical="center"/>
    </xf>
    <xf numFmtId="49" fontId="47" fillId="2" borderId="0" xfId="0" applyNumberFormat="1" applyFont="1" applyFill="1" applyAlignment="1">
      <alignment horizontal="left" vertical="center"/>
    </xf>
    <xf numFmtId="0" fontId="0" fillId="0" borderId="0" xfId="0" applyAlignment="1">
      <alignment vertical="top"/>
    </xf>
    <xf numFmtId="0" fontId="0" fillId="3" borderId="0" xfId="0" applyFill="1">
      <alignment vertical="center"/>
    </xf>
    <xf numFmtId="0" fontId="0" fillId="0" borderId="0" xfId="0" applyFont="1" applyAlignment="1">
      <alignment horizontal="left" vertical="center"/>
    </xf>
    <xf numFmtId="0" fontId="0" fillId="0" borderId="0" xfId="0" applyFont="1" applyAlignment="1">
      <alignment horizontal="center" vertical="center"/>
    </xf>
    <xf numFmtId="0" fontId="0" fillId="4" borderId="0" xfId="0" applyFill="1">
      <alignment vertical="center"/>
    </xf>
    <xf numFmtId="0" fontId="0" fillId="5" borderId="0" xfId="0" applyFill="1">
      <alignment vertical="center"/>
    </xf>
    <xf numFmtId="0" fontId="0" fillId="6" borderId="0" xfId="0" applyFill="1">
      <alignment vertical="center"/>
    </xf>
    <xf numFmtId="0" fontId="0" fillId="7" borderId="0" xfId="0" applyFill="1">
      <alignment vertical="center"/>
    </xf>
    <xf numFmtId="0" fontId="0" fillId="8" borderId="0" xfId="0" applyFill="1">
      <alignment vertical="center"/>
    </xf>
    <xf numFmtId="0" fontId="49" fillId="6" borderId="6" xfId="0" applyFont="1" applyFill="1" applyBorder="1" applyAlignment="1" applyProtection="1">
      <alignment horizontal="center" vertical="center" wrapText="1"/>
    </xf>
    <xf numFmtId="0" fontId="49" fillId="7" borderId="6" xfId="0" applyFont="1" applyFill="1" applyBorder="1" applyAlignment="1" applyProtection="1">
      <alignment horizontal="center" vertical="center" wrapText="1"/>
    </xf>
    <xf numFmtId="0" fontId="49" fillId="8" borderId="7" xfId="0" applyFont="1" applyFill="1" applyBorder="1" applyAlignment="1" applyProtection="1">
      <alignment horizontal="center" vertical="center" wrapText="1"/>
    </xf>
    <xf numFmtId="49" fontId="50" fillId="10" borderId="6" xfId="0" applyNumberFormat="1" applyFont="1" applyFill="1" applyBorder="1" applyAlignment="1">
      <alignment horizontal="left" vertical="center" wrapText="1"/>
    </xf>
    <xf numFmtId="49" fontId="51" fillId="10" borderId="6" xfId="0" applyNumberFormat="1" applyFont="1" applyFill="1" applyBorder="1" applyAlignment="1">
      <alignment horizontal="center" vertical="center" wrapText="1"/>
    </xf>
    <xf numFmtId="0" fontId="0" fillId="0" borderId="0" xfId="0" applyAlignment="1">
      <alignment horizontal="left" vertical="center" wrapText="1"/>
    </xf>
    <xf numFmtId="0" fontId="0" fillId="0" borderId="0" xfId="0" applyAlignment="1">
      <alignment horizontal="left" vertical="top" wrapText="1"/>
    </xf>
    <xf numFmtId="49" fontId="50" fillId="11" borderId="6" xfId="0" applyNumberFormat="1" applyFont="1" applyFill="1" applyBorder="1" applyAlignment="1">
      <alignment horizontal="left" vertical="center" wrapText="1"/>
    </xf>
    <xf numFmtId="0" fontId="46" fillId="0" borderId="0" xfId="0" applyFont="1" applyAlignment="1">
      <alignment horizontal="left" vertical="center" wrapText="1"/>
    </xf>
    <xf numFmtId="0" fontId="0" fillId="0" borderId="0" xfId="0" applyAlignment="1">
      <alignment vertical="top" wrapText="1"/>
    </xf>
    <xf numFmtId="0" fontId="0" fillId="2" borderId="0" xfId="0" applyFill="1" applyAlignment="1">
      <alignment vertical="center" wrapText="1"/>
    </xf>
    <xf numFmtId="0" fontId="0" fillId="3" borderId="0" xfId="0" applyFill="1" applyAlignment="1">
      <alignment vertical="center" wrapText="1"/>
    </xf>
    <xf numFmtId="0" fontId="0" fillId="2" borderId="0" xfId="0" applyFill="1">
      <alignment vertical="center"/>
    </xf>
    <xf numFmtId="0" fontId="45" fillId="2" borderId="0" xfId="0" applyFont="1" applyFill="1">
      <alignment vertical="center"/>
    </xf>
    <xf numFmtId="0" fontId="0" fillId="0" borderId="0" xfId="0" applyAlignment="1">
      <alignment horizontal="center" vertical="top"/>
    </xf>
    <xf numFmtId="0" fontId="52" fillId="0" borderId="0" xfId="0" applyFont="1" applyAlignment="1">
      <alignment wrapText="1"/>
    </xf>
    <xf numFmtId="0" fontId="53" fillId="0" borderId="0" xfId="0" applyFont="1" applyAlignment="1"/>
    <xf numFmtId="0" fontId="54" fillId="0" borderId="0" xfId="0" applyFont="1" applyFill="1" applyAlignment="1">
      <alignment horizontal="center" vertical="center" wrapText="1"/>
    </xf>
    <xf numFmtId="0" fontId="52" fillId="0" borderId="0" xfId="0" applyFont="1">
      <alignment vertical="center"/>
    </xf>
    <xf numFmtId="0" fontId="53" fillId="0" borderId="0" xfId="0" applyFont="1" applyAlignment="1">
      <alignment vertical="center"/>
    </xf>
    <xf numFmtId="0" fontId="53" fillId="0" borderId="0" xfId="0" applyFont="1" applyFill="1" applyAlignment="1">
      <alignment vertical="center"/>
    </xf>
    <xf numFmtId="0" fontId="55" fillId="0" borderId="1" xfId="0" applyFont="1" applyFill="1" applyBorder="1" applyAlignment="1">
      <alignment horizontal="center" vertical="center" wrapText="1"/>
    </xf>
    <xf numFmtId="0" fontId="56" fillId="12" borderId="1" xfId="0" applyFont="1" applyFill="1" applyBorder="1" applyAlignment="1">
      <alignment horizontal="center" vertical="center" wrapText="1"/>
    </xf>
    <xf numFmtId="0" fontId="52" fillId="0" borderId="0" xfId="0" applyFont="1" applyAlignment="1">
      <alignment vertical="center" wrapText="1"/>
    </xf>
    <xf numFmtId="0" fontId="52" fillId="0" borderId="0" xfId="0" applyFont="1" applyAlignment="1">
      <alignment horizontal="left" vertical="center" wrapText="1"/>
    </xf>
    <xf numFmtId="49" fontId="52" fillId="0" borderId="0" xfId="0" applyNumberFormat="1" applyFont="1" applyAlignment="1">
      <alignment wrapText="1"/>
    </xf>
    <xf numFmtId="0" fontId="57" fillId="0" borderId="0" xfId="0" applyFont="1" applyAlignment="1">
      <alignment vertical="center"/>
    </xf>
    <xf numFmtId="49" fontId="53" fillId="0" borderId="0" xfId="0" applyNumberFormat="1" applyFont="1" applyAlignment="1">
      <alignment vertical="center"/>
    </xf>
    <xf numFmtId="0" fontId="58" fillId="0" borderId="0" xfId="0" applyFont="1" applyAlignment="1">
      <alignment vertical="center" wrapText="1"/>
    </xf>
    <xf numFmtId="22" fontId="45" fillId="0" borderId="1" xfId="3" applyNumberFormat="1" applyFont="1" applyBorder="1" applyAlignment="1">
      <alignment horizontal="center" vertical="center"/>
    </xf>
    <xf numFmtId="0" fontId="59" fillId="0" borderId="0" xfId="0" applyFont="1" applyAlignment="1">
      <alignment horizontal="left" vertical="center" wrapText="1"/>
    </xf>
    <xf numFmtId="0" fontId="60" fillId="0" borderId="0" xfId="0" applyFont="1" applyAlignment="1">
      <alignment horizontal="left" vertical="center" wrapText="1"/>
    </xf>
    <xf numFmtId="0" fontId="61" fillId="0" borderId="0" xfId="0" applyFont="1" applyAlignment="1">
      <alignment horizontal="left" vertical="center" wrapText="1"/>
    </xf>
    <xf numFmtId="176" fontId="52" fillId="0" borderId="0" xfId="0" applyNumberFormat="1" applyFont="1" applyAlignment="1">
      <alignment horizontal="left" vertical="center" wrapText="1"/>
    </xf>
    <xf numFmtId="0" fontId="62" fillId="0" borderId="0" xfId="0" applyFont="1" applyAlignment="1">
      <alignment horizontal="left" vertical="center" wrapText="1"/>
    </xf>
    <xf numFmtId="22" fontId="52" fillId="0" borderId="0" xfId="0" applyNumberFormat="1" applyFont="1">
      <alignment vertical="center"/>
    </xf>
    <xf numFmtId="176" fontId="52" fillId="0" borderId="0" xfId="0" applyNumberFormat="1" applyFont="1" applyAlignment="1">
      <alignment vertical="center" wrapText="1"/>
    </xf>
    <xf numFmtId="0" fontId="60" fillId="0" borderId="0" xfId="0" applyFont="1" applyAlignment="1">
      <alignment vertical="center" wrapText="1"/>
    </xf>
    <xf numFmtId="0" fontId="59" fillId="0" borderId="0" xfId="0" applyFont="1" applyAlignment="1">
      <alignment vertical="center" wrapText="1"/>
    </xf>
    <xf numFmtId="0" fontId="63" fillId="0" borderId="0" xfId="0" applyFont="1" applyAlignment="1">
      <alignment horizontal="left" vertical="center" wrapText="1"/>
    </xf>
    <xf numFmtId="0" fontId="63" fillId="0" borderId="0" xfId="0" applyFont="1" applyAlignment="1">
      <alignment vertical="center" wrapText="1"/>
    </xf>
    <xf numFmtId="22" fontId="52" fillId="0" borderId="0" xfId="0" applyNumberFormat="1" applyFont="1" applyAlignment="1">
      <alignment horizontal="right" vertical="center"/>
    </xf>
    <xf numFmtId="0" fontId="52" fillId="0" borderId="0" xfId="3" applyFont="1" applyAlignment="1">
      <alignment wrapText="1"/>
    </xf>
    <xf numFmtId="0" fontId="53" fillId="0" borderId="0" xfId="3" applyFont="1" applyAlignment="1">
      <alignment vertical="center"/>
    </xf>
    <xf numFmtId="0" fontId="54" fillId="10" borderId="0" xfId="0" applyFont="1" applyFill="1" applyAlignment="1">
      <alignment wrapText="1"/>
    </xf>
    <xf numFmtId="0" fontId="54" fillId="13" borderId="0" xfId="0" applyFont="1" applyFill="1" applyAlignment="1">
      <alignment wrapText="1"/>
    </xf>
    <xf numFmtId="0" fontId="64" fillId="10" borderId="0" xfId="0" applyFont="1" applyFill="1" applyAlignment="1">
      <alignment wrapText="1"/>
    </xf>
    <xf numFmtId="0" fontId="64" fillId="13" borderId="0" xfId="0" applyFont="1" applyFill="1" applyAlignment="1">
      <alignment wrapText="1"/>
    </xf>
    <xf numFmtId="0" fontId="54" fillId="10" borderId="0" xfId="3" applyFont="1" applyFill="1" applyAlignment="1">
      <alignment wrapText="1"/>
    </xf>
    <xf numFmtId="49" fontId="54" fillId="10" borderId="0" xfId="0" applyNumberFormat="1" applyFont="1" applyFill="1" applyAlignment="1">
      <alignment wrapText="1"/>
    </xf>
    <xf numFmtId="0" fontId="65" fillId="11" borderId="0" xfId="0" applyFont="1" applyFill="1">
      <alignment vertical="center"/>
    </xf>
    <xf numFmtId="0" fontId="65" fillId="14" borderId="0" xfId="0" applyFont="1" applyFill="1">
      <alignment vertical="center"/>
    </xf>
    <xf numFmtId="0" fontId="0" fillId="0" borderId="0" xfId="0" applyAlignment="1">
      <alignment horizontal="left" vertical="top"/>
    </xf>
    <xf numFmtId="0" fontId="65" fillId="11" borderId="0" xfId="0" applyFont="1" applyFill="1" applyAlignment="1">
      <alignment vertical="center" wrapText="1"/>
    </xf>
    <xf numFmtId="0" fontId="0" fillId="11" borderId="0" xfId="0" applyFill="1">
      <alignment vertical="center"/>
    </xf>
    <xf numFmtId="0" fontId="0" fillId="11" borderId="0" xfId="0" applyFill="1" applyAlignment="1">
      <alignment vertical="top"/>
    </xf>
    <xf numFmtId="0" fontId="65" fillId="11" borderId="0" xfId="0" applyFont="1" applyFill="1" applyAlignment="1">
      <alignment vertical="top" wrapText="1"/>
    </xf>
    <xf numFmtId="0" fontId="65" fillId="11" borderId="0" xfId="0" applyFont="1" applyFill="1" applyAlignment="1">
      <alignment vertical="top"/>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0"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47" fillId="0" borderId="0" xfId="0" applyFont="1" applyAlignment="1">
      <alignment vertical="top"/>
    </xf>
    <xf numFmtId="0" fontId="66" fillId="11" borderId="0" xfId="0" applyFont="1" applyFill="1" applyAlignment="1">
      <alignment horizontal="left" vertical="top" wrapText="1"/>
    </xf>
    <xf numFmtId="49" fontId="51" fillId="10" borderId="6" xfId="0" applyNumberFormat="1" applyFont="1" applyFill="1" applyBorder="1" applyAlignment="1">
      <alignment horizontal="center" vertical="top" wrapText="1"/>
    </xf>
    <xf numFmtId="0" fontId="0" fillId="2" borderId="0" xfId="0" quotePrefix="1" applyFill="1">
      <alignment vertical="center"/>
    </xf>
    <xf numFmtId="0" fontId="0" fillId="15" borderId="0" xfId="0" applyFill="1">
      <alignment vertical="center"/>
    </xf>
    <xf numFmtId="0" fontId="0" fillId="9" borderId="0" xfId="0" applyFill="1">
      <alignment vertical="center"/>
    </xf>
    <xf numFmtId="0" fontId="0" fillId="0" borderId="0" xfId="0" applyFill="1">
      <alignment vertical="center"/>
    </xf>
    <xf numFmtId="0" fontId="44" fillId="0" borderId="0" xfId="0" applyFont="1">
      <alignment vertical="center"/>
    </xf>
    <xf numFmtId="0" fontId="45" fillId="0" borderId="0" xfId="0" applyFont="1" applyFill="1" applyAlignment="1">
      <alignment vertical="top" wrapText="1"/>
    </xf>
    <xf numFmtId="49" fontId="45" fillId="0" borderId="0" xfId="0" applyNumberFormat="1" applyFont="1" applyFill="1" applyAlignment="1">
      <alignment vertical="top" wrapText="1"/>
    </xf>
    <xf numFmtId="0" fontId="45" fillId="0" borderId="0" xfId="0" applyFont="1" applyFill="1" applyAlignment="1">
      <alignment vertical="top"/>
    </xf>
    <xf numFmtId="0" fontId="45" fillId="0" borderId="6" xfId="0" applyFont="1" applyFill="1" applyBorder="1" applyAlignment="1">
      <alignment vertical="top" wrapText="1"/>
    </xf>
    <xf numFmtId="0" fontId="43" fillId="0" borderId="0" xfId="0" applyFont="1" applyAlignment="1">
      <alignment horizontal="left" vertical="center" wrapText="1"/>
    </xf>
    <xf numFmtId="0" fontId="0" fillId="0" borderId="0" xfId="0" applyAlignment="1">
      <alignment horizontal="left" vertical="center"/>
    </xf>
    <xf numFmtId="0" fontId="47" fillId="0" borderId="0" xfId="0" applyFont="1" applyAlignment="1" applyProtection="1">
      <alignment vertical="center" wrapText="1"/>
    </xf>
    <xf numFmtId="0" fontId="0" fillId="0" borderId="0" xfId="0" applyAlignment="1" applyProtection="1">
      <alignment vertical="center" wrapText="1"/>
    </xf>
    <xf numFmtId="0" fontId="42" fillId="0" borderId="0" xfId="0" applyFont="1" applyAlignment="1">
      <alignment horizontal="left" vertical="center" wrapText="1"/>
    </xf>
    <xf numFmtId="0" fontId="76" fillId="0" borderId="0" xfId="0" applyFont="1">
      <alignment vertical="center"/>
    </xf>
    <xf numFmtId="0" fontId="77" fillId="0" borderId="0" xfId="0" applyFont="1">
      <alignment vertical="center"/>
    </xf>
    <xf numFmtId="0" fontId="45" fillId="3" borderId="0" xfId="0" applyFont="1" applyFill="1" applyAlignment="1">
      <alignment vertical="top"/>
    </xf>
    <xf numFmtId="0" fontId="42" fillId="6" borderId="0" xfId="0" applyFont="1" applyFill="1">
      <alignment vertical="center"/>
    </xf>
    <xf numFmtId="0" fontId="42" fillId="7" borderId="0" xfId="0" applyFont="1" applyFill="1">
      <alignment vertical="center"/>
    </xf>
    <xf numFmtId="0" fontId="42" fillId="8" borderId="0" xfId="0" applyFont="1" applyFill="1">
      <alignment vertical="center"/>
    </xf>
    <xf numFmtId="0" fontId="42" fillId="9" borderId="0" xfId="0" applyFont="1" applyFill="1">
      <alignment vertical="center"/>
    </xf>
    <xf numFmtId="0" fontId="42" fillId="4" borderId="0" xfId="0" applyFont="1" applyFill="1">
      <alignment vertical="center"/>
    </xf>
    <xf numFmtId="0" fontId="42" fillId="5" borderId="0" xfId="0" applyFont="1" applyFill="1">
      <alignment vertical="center"/>
    </xf>
    <xf numFmtId="0" fontId="42" fillId="15" borderId="0" xfId="0" applyFont="1" applyFill="1">
      <alignment vertical="center"/>
    </xf>
    <xf numFmtId="0" fontId="0" fillId="16" borderId="0" xfId="0" applyFill="1" applyAlignment="1"/>
    <xf numFmtId="0" fontId="0" fillId="17" borderId="0" xfId="0" applyFill="1" applyAlignment="1"/>
    <xf numFmtId="0" fontId="0" fillId="17" borderId="0" xfId="0" applyFill="1">
      <alignment vertical="center"/>
    </xf>
    <xf numFmtId="0" fontId="0" fillId="16" borderId="0" xfId="0" applyFill="1">
      <alignment vertical="center"/>
    </xf>
    <xf numFmtId="0" fontId="41" fillId="0" borderId="0" xfId="0" applyFont="1" applyAlignment="1">
      <alignment vertical="center" wrapText="1"/>
    </xf>
    <xf numFmtId="0" fontId="79" fillId="0" borderId="16" xfId="0" applyFont="1" applyBorder="1">
      <alignment vertical="center"/>
    </xf>
    <xf numFmtId="0" fontId="79" fillId="0" borderId="17" xfId="0" applyFont="1" applyBorder="1">
      <alignment vertical="center"/>
    </xf>
    <xf numFmtId="0" fontId="0" fillId="0" borderId="16" xfId="0" applyBorder="1">
      <alignment vertical="center"/>
    </xf>
    <xf numFmtId="0" fontId="0" fillId="0" borderId="17" xfId="0" applyBorder="1">
      <alignment vertical="center"/>
    </xf>
    <xf numFmtId="0" fontId="45" fillId="0" borderId="0" xfId="0" applyFont="1" applyAlignment="1">
      <alignment vertical="top"/>
    </xf>
    <xf numFmtId="0" fontId="40" fillId="0" borderId="0" xfId="0" applyFont="1">
      <alignment vertical="center"/>
    </xf>
    <xf numFmtId="0" fontId="45" fillId="0" borderId="0" xfId="0" quotePrefix="1" applyFont="1" applyAlignment="1">
      <alignment vertical="top"/>
    </xf>
    <xf numFmtId="49" fontId="45" fillId="0" borderId="0" xfId="0" applyNumberFormat="1" applyFont="1" applyAlignment="1">
      <alignment vertical="top"/>
    </xf>
    <xf numFmtId="49" fontId="45" fillId="0" borderId="0" xfId="0" quotePrefix="1" applyNumberFormat="1" applyFont="1" applyAlignment="1">
      <alignment vertical="top"/>
    </xf>
    <xf numFmtId="0" fontId="79" fillId="0" borderId="1" xfId="0" applyFont="1" applyBorder="1">
      <alignment vertical="center"/>
    </xf>
    <xf numFmtId="0" fontId="79" fillId="0" borderId="0" xfId="0" applyFont="1">
      <alignment vertical="center"/>
    </xf>
    <xf numFmtId="0" fontId="81" fillId="11" borderId="1" xfId="0" applyFont="1" applyFill="1" applyBorder="1">
      <alignment vertical="center"/>
    </xf>
    <xf numFmtId="0" fontId="81" fillId="18" borderId="4" xfId="0" applyFont="1" applyFill="1" applyBorder="1">
      <alignment vertical="center"/>
    </xf>
    <xf numFmtId="0" fontId="0" fillId="0" borderId="4" xfId="0" applyBorder="1">
      <alignment vertical="center"/>
    </xf>
    <xf numFmtId="0" fontId="79" fillId="0" borderId="18" xfId="0" applyFont="1" applyBorder="1">
      <alignment vertical="center"/>
    </xf>
    <xf numFmtId="0" fontId="0" fillId="0" borderId="19" xfId="0" applyBorder="1">
      <alignment vertical="center"/>
    </xf>
    <xf numFmtId="0" fontId="79" fillId="0" borderId="20" xfId="0" applyFont="1" applyBorder="1">
      <alignment vertical="center"/>
    </xf>
    <xf numFmtId="0" fontId="79" fillId="0" borderId="21" xfId="0" applyFont="1" applyBorder="1">
      <alignment vertical="center"/>
    </xf>
    <xf numFmtId="0" fontId="81" fillId="18" borderId="22" xfId="0" applyFont="1" applyFill="1" applyBorder="1">
      <alignment vertical="center"/>
    </xf>
    <xf numFmtId="0" fontId="0" fillId="0" borderId="1" xfId="0" applyBorder="1">
      <alignment vertical="center"/>
    </xf>
    <xf numFmtId="0" fontId="40" fillId="0" borderId="0" xfId="0" applyFont="1" applyFill="1" applyBorder="1">
      <alignment vertical="center"/>
    </xf>
    <xf numFmtId="0" fontId="40" fillId="0" borderId="0" xfId="0" applyFont="1" applyAlignment="1">
      <alignment vertical="center" wrapText="1"/>
    </xf>
    <xf numFmtId="3" fontId="45" fillId="0" borderId="0" xfId="0" applyNumberFormat="1" applyFont="1" applyAlignment="1">
      <alignment vertical="top"/>
    </xf>
    <xf numFmtId="0" fontId="45" fillId="0" borderId="0" xfId="0" applyFont="1" applyAlignment="1">
      <alignment vertical="top" wrapText="1"/>
    </xf>
    <xf numFmtId="49" fontId="45" fillId="0" borderId="0" xfId="0" applyNumberFormat="1" applyFont="1" applyAlignment="1">
      <alignment vertical="top" wrapText="1"/>
    </xf>
    <xf numFmtId="1" fontId="45" fillId="0" borderId="0" xfId="0" applyNumberFormat="1" applyFont="1" applyAlignment="1">
      <alignment vertical="top"/>
    </xf>
    <xf numFmtId="3" fontId="45" fillId="0" borderId="0" xfId="0" quotePrefix="1" applyNumberFormat="1" applyFont="1" applyAlignment="1">
      <alignment vertical="top"/>
    </xf>
    <xf numFmtId="0" fontId="37" fillId="15" borderId="0" xfId="0" applyFont="1" applyFill="1">
      <alignment vertical="center"/>
    </xf>
    <xf numFmtId="0" fontId="37" fillId="0" borderId="0" xfId="0" applyFont="1">
      <alignment vertical="center"/>
    </xf>
    <xf numFmtId="0" fontId="0" fillId="3" borderId="0" xfId="0" applyFill="1" applyAlignment="1"/>
    <xf numFmtId="0" fontId="36" fillId="0" borderId="0" xfId="0" applyFont="1" applyAlignment="1">
      <alignment vertical="center" wrapText="1"/>
    </xf>
    <xf numFmtId="0" fontId="36" fillId="0" borderId="0" xfId="0" applyFont="1">
      <alignment vertical="center"/>
    </xf>
    <xf numFmtId="0" fontId="36" fillId="19" borderId="0" xfId="0" applyFont="1" applyFill="1" applyAlignment="1"/>
    <xf numFmtId="0" fontId="36" fillId="0" borderId="0" xfId="0" applyFont="1" applyAlignment="1"/>
    <xf numFmtId="0" fontId="35" fillId="0" borderId="0" xfId="0" applyFont="1">
      <alignment vertical="center"/>
    </xf>
    <xf numFmtId="0" fontId="67" fillId="3" borderId="0" xfId="0" applyFont="1" applyFill="1">
      <alignment vertical="center"/>
    </xf>
    <xf numFmtId="0" fontId="67" fillId="0" borderId="0" xfId="0" applyFont="1">
      <alignment vertical="center"/>
    </xf>
    <xf numFmtId="0" fontId="82" fillId="3" borderId="0" xfId="0" applyFont="1" applyFill="1">
      <alignment vertical="center"/>
    </xf>
    <xf numFmtId="0" fontId="0" fillId="20" borderId="0" xfId="0" applyFill="1">
      <alignment vertical="center"/>
    </xf>
    <xf numFmtId="0" fontId="67" fillId="20" borderId="0" xfId="0" applyFont="1" applyFill="1">
      <alignment vertical="center"/>
    </xf>
    <xf numFmtId="0" fontId="34" fillId="0" borderId="0" xfId="0" applyFont="1">
      <alignment vertical="center"/>
    </xf>
    <xf numFmtId="0" fontId="34" fillId="0" borderId="0" xfId="0" applyFont="1" applyAlignment="1"/>
    <xf numFmtId="0" fontId="34" fillId="16" borderId="0" xfId="0" applyFont="1" applyFill="1" applyAlignment="1"/>
    <xf numFmtId="0" fontId="34" fillId="3" borderId="0" xfId="0" applyFont="1" applyFill="1" applyAlignment="1"/>
    <xf numFmtId="0" fontId="34" fillId="17" borderId="0" xfId="0" applyFont="1" applyFill="1" applyAlignment="1"/>
    <xf numFmtId="0" fontId="0" fillId="21" borderId="0" xfId="0" applyFill="1" applyAlignment="1"/>
    <xf numFmtId="0" fontId="0" fillId="21" borderId="0" xfId="0" applyFill="1">
      <alignment vertical="center"/>
    </xf>
    <xf numFmtId="0" fontId="33" fillId="19" borderId="0" xfId="0" applyFont="1" applyFill="1" applyAlignment="1"/>
    <xf numFmtId="0" fontId="42" fillId="6" borderId="0" xfId="0" applyFont="1" applyFill="1" applyBorder="1">
      <alignment vertical="center"/>
    </xf>
    <xf numFmtId="0" fontId="42" fillId="7" borderId="0" xfId="0" applyFont="1" applyFill="1" applyBorder="1">
      <alignment vertical="center"/>
    </xf>
    <xf numFmtId="0" fontId="42" fillId="8" borderId="0" xfId="0" applyFont="1" applyFill="1" applyBorder="1">
      <alignment vertical="center"/>
    </xf>
    <xf numFmtId="0" fontId="33" fillId="0" borderId="0" xfId="0" applyFont="1" applyAlignment="1"/>
    <xf numFmtId="0" fontId="76" fillId="0" borderId="0" xfId="0" applyFont="1" applyAlignment="1">
      <alignment vertical="top"/>
    </xf>
    <xf numFmtId="0" fontId="0" fillId="0" borderId="0" xfId="0" applyAlignment="1">
      <alignment vertical="center"/>
    </xf>
    <xf numFmtId="0" fontId="32" fillId="0" borderId="0" xfId="0" applyFont="1" applyAlignment="1">
      <alignment vertical="center"/>
    </xf>
    <xf numFmtId="0" fontId="32" fillId="0" borderId="0" xfId="0" applyFont="1" applyAlignment="1">
      <alignment vertical="center" wrapText="1"/>
    </xf>
    <xf numFmtId="0" fontId="32" fillId="0" borderId="0" xfId="0" applyFont="1">
      <alignment vertical="center"/>
    </xf>
    <xf numFmtId="0" fontId="31" fillId="0" borderId="0" xfId="0" applyFont="1" applyAlignment="1">
      <alignment vertical="center"/>
    </xf>
    <xf numFmtId="0" fontId="30" fillId="0" borderId="0" xfId="0" applyFont="1" applyAlignment="1">
      <alignment vertical="center"/>
    </xf>
    <xf numFmtId="0" fontId="30" fillId="0" borderId="0" xfId="0" applyFont="1">
      <alignment vertical="center"/>
    </xf>
    <xf numFmtId="0" fontId="48" fillId="0" borderId="0" xfId="0" applyFont="1" applyAlignment="1">
      <alignment horizontal="left" vertical="center"/>
    </xf>
    <xf numFmtId="0" fontId="29" fillId="0" borderId="0" xfId="0" applyFont="1" applyAlignment="1">
      <alignment vertical="center"/>
    </xf>
    <xf numFmtId="0" fontId="28" fillId="0" borderId="0" xfId="0" applyFont="1" applyAlignment="1">
      <alignment vertical="center" wrapText="1"/>
    </xf>
    <xf numFmtId="0" fontId="27" fillId="0" borderId="0" xfId="0" applyFont="1">
      <alignment vertical="center"/>
    </xf>
    <xf numFmtId="0" fontId="26" fillId="0" borderId="0" xfId="0" applyFont="1">
      <alignment vertical="center"/>
    </xf>
    <xf numFmtId="0" fontId="25" fillId="0" borderId="0" xfId="0" applyFont="1">
      <alignment vertical="center"/>
    </xf>
    <xf numFmtId="0" fontId="21" fillId="0" borderId="0" xfId="0" applyFont="1" applyAlignment="1">
      <alignment vertical="center" wrapText="1"/>
    </xf>
    <xf numFmtId="49" fontId="0" fillId="0" borderId="0" xfId="0" quotePrefix="1" applyNumberFormat="1" applyFont="1" applyAlignment="1">
      <alignment vertical="top"/>
    </xf>
    <xf numFmtId="0" fontId="20" fillId="19" borderId="0" xfId="0" applyFont="1" applyFill="1" applyAlignment="1"/>
    <xf numFmtId="0" fontId="19" fillId="0" borderId="0" xfId="0" applyFont="1">
      <alignment vertical="center"/>
    </xf>
    <xf numFmtId="0" fontId="18" fillId="0" borderId="0" xfId="0" applyFont="1">
      <alignment vertical="center"/>
    </xf>
    <xf numFmtId="0" fontId="39" fillId="0" borderId="0" xfId="0" applyFont="1" applyAlignment="1">
      <alignment vertical="center"/>
    </xf>
    <xf numFmtId="0" fontId="0" fillId="3" borderId="0" xfId="0" applyFill="1" applyAlignment="1">
      <alignment vertical="center"/>
    </xf>
    <xf numFmtId="0" fontId="39" fillId="3" borderId="0" xfId="0" applyFont="1" applyFill="1" applyAlignment="1"/>
    <xf numFmtId="0" fontId="39" fillId="3" borderId="0" xfId="0" applyFont="1" applyFill="1" applyAlignment="1">
      <alignment vertical="center"/>
    </xf>
    <xf numFmtId="0" fontId="36" fillId="0" borderId="0" xfId="0" applyFont="1" applyAlignment="1">
      <alignment vertical="center"/>
    </xf>
    <xf numFmtId="0" fontId="45" fillId="0" borderId="0" xfId="0" applyFont="1" applyAlignment="1">
      <alignment vertical="center"/>
    </xf>
    <xf numFmtId="0" fontId="38" fillId="3" borderId="0" xfId="0" applyFont="1" applyFill="1" applyAlignment="1">
      <alignment vertical="center"/>
    </xf>
    <xf numFmtId="0" fontId="24" fillId="0" borderId="0" xfId="0" applyFont="1" applyAlignment="1">
      <alignment vertical="center"/>
    </xf>
    <xf numFmtId="0" fontId="23" fillId="0" borderId="0" xfId="0" applyFont="1" applyAlignment="1">
      <alignment vertical="center"/>
    </xf>
    <xf numFmtId="0" fontId="22" fillId="0" borderId="0" xfId="0" applyFont="1" applyAlignment="1">
      <alignment vertical="center"/>
    </xf>
    <xf numFmtId="0" fontId="39" fillId="0" borderId="0" xfId="0" applyFont="1" applyAlignment="1"/>
    <xf numFmtId="0" fontId="38" fillId="0" borderId="0" xfId="0" applyFont="1" applyAlignment="1">
      <alignment vertical="center"/>
    </xf>
    <xf numFmtId="0" fontId="17" fillId="0" borderId="0" xfId="0" applyFont="1" applyAlignment="1">
      <alignment horizontal="left" vertical="center" wrapText="1"/>
    </xf>
    <xf numFmtId="0" fontId="17" fillId="0" borderId="0" xfId="0" applyFont="1" applyAlignment="1"/>
    <xf numFmtId="0" fontId="45" fillId="16" borderId="0" xfId="0" applyFont="1" applyFill="1" applyAlignment="1">
      <alignment vertical="top"/>
    </xf>
    <xf numFmtId="49" fontId="45" fillId="0" borderId="0" xfId="0" quotePrefix="1" applyNumberFormat="1" applyFont="1" applyFill="1" applyAlignment="1">
      <alignment vertical="top"/>
    </xf>
    <xf numFmtId="0" fontId="16" fillId="0" borderId="0" xfId="0" applyFont="1" applyAlignment="1"/>
    <xf numFmtId="0" fontId="45" fillId="0" borderId="0" xfId="0" applyFont="1" applyAlignment="1"/>
    <xf numFmtId="0" fontId="45" fillId="0" borderId="0" xfId="0" applyFont="1" applyAlignment="1">
      <alignment wrapText="1"/>
    </xf>
    <xf numFmtId="0" fontId="16" fillId="0" borderId="0" xfId="0" applyFont="1" applyAlignment="1">
      <alignment vertical="center" wrapText="1"/>
    </xf>
    <xf numFmtId="0" fontId="16" fillId="0" borderId="0" xfId="0" applyFont="1">
      <alignment vertical="center"/>
    </xf>
    <xf numFmtId="49" fontId="45" fillId="0" borderId="0" xfId="0" applyNumberFormat="1" applyFont="1">
      <alignment vertical="center"/>
    </xf>
    <xf numFmtId="0" fontId="16" fillId="0" borderId="0" xfId="0" quotePrefix="1" applyFont="1">
      <alignment vertical="center"/>
    </xf>
    <xf numFmtId="0" fontId="45" fillId="0" borderId="0" xfId="0" applyFont="1" applyAlignment="1">
      <alignment vertical="center" wrapText="1"/>
    </xf>
    <xf numFmtId="0" fontId="45" fillId="16" borderId="0" xfId="0" applyFont="1" applyFill="1" applyAlignment="1">
      <alignment horizontal="right" vertical="top"/>
    </xf>
    <xf numFmtId="0" fontId="15" fillId="0" borderId="0" xfId="0" applyFont="1">
      <alignment vertical="center"/>
    </xf>
    <xf numFmtId="0" fontId="14" fillId="0" borderId="0" xfId="0" quotePrefix="1" applyFont="1">
      <alignment vertical="center"/>
    </xf>
    <xf numFmtId="0" fontId="13" fillId="0" borderId="0" xfId="0" applyFont="1">
      <alignment vertical="center"/>
    </xf>
    <xf numFmtId="0" fontId="12" fillId="0" borderId="0" xfId="0" applyFont="1">
      <alignment vertical="center"/>
    </xf>
    <xf numFmtId="0" fontId="12" fillId="0" borderId="0" xfId="0" applyFont="1" applyAlignment="1"/>
    <xf numFmtId="0" fontId="11" fillId="0" borderId="0" xfId="0" quotePrefix="1" applyFont="1">
      <alignment vertical="center"/>
    </xf>
    <xf numFmtId="0" fontId="11" fillId="0" borderId="0" xfId="0" applyFont="1">
      <alignment vertical="center"/>
    </xf>
    <xf numFmtId="0" fontId="10" fillId="0" borderId="0" xfId="0" applyFont="1">
      <alignment vertical="center"/>
    </xf>
    <xf numFmtId="0" fontId="10" fillId="0" borderId="0" xfId="0" applyFont="1" applyAlignment="1">
      <alignment vertical="center" wrapText="1"/>
    </xf>
    <xf numFmtId="0" fontId="75" fillId="0" borderId="0" xfId="0" applyFont="1">
      <alignment vertical="center"/>
    </xf>
    <xf numFmtId="49" fontId="45" fillId="0" borderId="0" xfId="0" applyNumberFormat="1" applyFont="1" applyFill="1" applyAlignment="1">
      <alignment vertical="top"/>
    </xf>
    <xf numFmtId="0" fontId="45" fillId="0" borderId="0" xfId="0" applyFont="1" applyFill="1" applyAlignment="1">
      <alignment horizontal="left" vertical="center"/>
    </xf>
    <xf numFmtId="0" fontId="45" fillId="0" borderId="0" xfId="3" applyFont="1" applyFill="1" applyAlignment="1">
      <alignment horizontal="left" vertical="center"/>
    </xf>
    <xf numFmtId="0" fontId="45" fillId="0" borderId="0" xfId="0" applyFont="1" applyFill="1">
      <alignment vertical="center"/>
    </xf>
    <xf numFmtId="49" fontId="45" fillId="3" borderId="0" xfId="0" applyNumberFormat="1" applyFont="1" applyFill="1" applyAlignment="1">
      <alignment vertical="top"/>
    </xf>
    <xf numFmtId="0" fontId="83" fillId="0" borderId="0" xfId="0" applyFont="1">
      <alignment vertical="center"/>
    </xf>
    <xf numFmtId="0" fontId="84" fillId="0" borderId="0" xfId="0" applyFont="1">
      <alignment vertical="center"/>
    </xf>
    <xf numFmtId="0" fontId="9" fillId="0" borderId="0" xfId="0" applyFont="1" applyAlignment="1">
      <alignment horizontal="left" vertical="center"/>
    </xf>
    <xf numFmtId="0" fontId="45" fillId="0" borderId="0" xfId="0" applyFont="1" applyAlignment="1">
      <alignment horizontal="left" vertical="center"/>
    </xf>
    <xf numFmtId="0" fontId="45" fillId="0" borderId="0" xfId="3" applyFont="1" applyAlignment="1">
      <alignment horizontal="left" vertical="center"/>
    </xf>
    <xf numFmtId="49" fontId="8" fillId="0" borderId="0" xfId="3" applyNumberFormat="1" applyFont="1" applyAlignment="1">
      <alignment horizontal="center" vertical="center"/>
    </xf>
    <xf numFmtId="0" fontId="76" fillId="0" borderId="0" xfId="0" applyFont="1" applyAlignment="1">
      <alignment horizontal="justify" vertical="center"/>
    </xf>
    <xf numFmtId="0" fontId="86" fillId="0" borderId="0" xfId="0" applyFont="1">
      <alignment vertical="center"/>
    </xf>
    <xf numFmtId="0" fontId="7" fillId="0" borderId="0" xfId="0" applyFont="1">
      <alignment vertical="center"/>
    </xf>
    <xf numFmtId="0" fontId="6" fillId="0" borderId="0" xfId="0" applyFont="1" applyAlignment="1">
      <alignment horizontal="left" vertical="center" wrapText="1"/>
    </xf>
    <xf numFmtId="49" fontId="51" fillId="10" borderId="7" xfId="0" applyNumberFormat="1" applyFont="1" applyFill="1" applyBorder="1" applyAlignment="1">
      <alignment horizontal="center" vertical="center" wrapText="1"/>
    </xf>
    <xf numFmtId="0" fontId="5" fillId="0" borderId="0" xfId="0" applyFont="1">
      <alignment vertical="center"/>
    </xf>
    <xf numFmtId="0" fontId="4" fillId="0" borderId="0" xfId="0" applyFont="1" applyAlignment="1">
      <alignment vertical="center" wrapText="1"/>
    </xf>
    <xf numFmtId="0" fontId="4" fillId="0" borderId="0" xfId="0" applyFont="1">
      <alignment vertical="center"/>
    </xf>
    <xf numFmtId="0" fontId="4" fillId="3" borderId="0" xfId="0" applyFont="1" applyFill="1">
      <alignment vertical="center"/>
    </xf>
    <xf numFmtId="0" fontId="3" fillId="2" borderId="0" xfId="0" applyFont="1" applyFill="1">
      <alignment vertical="center"/>
    </xf>
    <xf numFmtId="0" fontId="45" fillId="0" borderId="0" xfId="0" applyNumberFormat="1" applyFont="1" applyFill="1" applyBorder="1" applyAlignment="1" applyProtection="1">
      <alignment vertical="top"/>
    </xf>
    <xf numFmtId="0" fontId="45" fillId="0" borderId="0" xfId="0" quotePrefix="1" applyNumberFormat="1" applyFont="1" applyFill="1" applyBorder="1" applyAlignment="1" applyProtection="1">
      <alignment vertical="top"/>
    </xf>
    <xf numFmtId="49" fontId="45" fillId="0" borderId="0" xfId="0" applyNumberFormat="1" applyFont="1" applyFill="1" applyBorder="1" applyAlignment="1" applyProtection="1">
      <alignment vertical="top"/>
    </xf>
    <xf numFmtId="0" fontId="87" fillId="0" borderId="0" xfId="0" applyNumberFormat="1" applyFont="1" applyFill="1" applyBorder="1" applyAlignment="1" applyProtection="1">
      <alignment horizontal="justify" vertical="center"/>
    </xf>
    <xf numFmtId="49" fontId="45" fillId="0" borderId="0" xfId="0" quotePrefix="1" applyNumberFormat="1" applyFont="1" applyFill="1" applyBorder="1" applyAlignment="1" applyProtection="1">
      <alignment vertical="top"/>
    </xf>
    <xf numFmtId="0" fontId="0" fillId="0" borderId="0" xfId="0" applyAlignment="1">
      <alignment horizontal="center" vertical="center"/>
    </xf>
    <xf numFmtId="0" fontId="87" fillId="0" borderId="0" xfId="0" applyFont="1" applyAlignment="1">
      <alignment horizontal="justify" vertical="center"/>
    </xf>
    <xf numFmtId="0" fontId="2" fillId="0" borderId="0" xfId="0" applyFont="1">
      <alignment vertical="center"/>
    </xf>
    <xf numFmtId="0" fontId="2" fillId="0" borderId="0" xfId="0" applyFont="1" applyAlignment="1">
      <alignment horizontal="center" vertical="center"/>
    </xf>
    <xf numFmtId="0" fontId="47" fillId="11"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7" fillId="0" borderId="0" xfId="0" applyFont="1" applyAlignment="1"/>
    <xf numFmtId="0" fontId="47" fillId="0" borderId="16" xfId="0" applyFont="1" applyBorder="1" applyAlignment="1">
      <alignment vertical="center" wrapText="1"/>
    </xf>
    <xf numFmtId="0" fontId="47" fillId="0" borderId="0" xfId="0" applyFont="1" applyAlignment="1">
      <alignment horizontal="center" vertical="center"/>
    </xf>
    <xf numFmtId="0" fontId="2" fillId="3" borderId="0" xfId="0" applyFont="1" applyFill="1">
      <alignment vertical="center"/>
    </xf>
    <xf numFmtId="0" fontId="0" fillId="3" borderId="0" xfId="0" applyFill="1" applyAlignment="1">
      <alignment horizontal="center" vertical="center"/>
    </xf>
    <xf numFmtId="0" fontId="2" fillId="11" borderId="0" xfId="0" applyFont="1" applyFill="1" applyAlignment="1">
      <alignment horizontal="center" vertical="center"/>
    </xf>
    <xf numFmtId="0" fontId="2" fillId="0" borderId="0" xfId="0" applyFont="1" applyAlignment="1"/>
    <xf numFmtId="0" fontId="2" fillId="0" borderId="16" xfId="0" applyFont="1" applyBorder="1">
      <alignment vertical="center"/>
    </xf>
    <xf numFmtId="0" fontId="0" fillId="11" borderId="0" xfId="0" applyFill="1" applyAlignment="1">
      <alignment horizontal="center" vertical="center"/>
    </xf>
    <xf numFmtId="0" fontId="2" fillId="0" borderId="0" xfId="0" quotePrefix="1" applyFont="1" applyAlignment="1">
      <alignment horizontal="center" vertical="center"/>
    </xf>
    <xf numFmtId="0" fontId="2" fillId="11" borderId="0" xfId="0" quotePrefix="1" applyFont="1" applyFill="1" applyAlignment="1">
      <alignment horizontal="center" vertical="center"/>
    </xf>
    <xf numFmtId="0" fontId="45" fillId="0" borderId="0" xfId="0" quotePrefix="1" applyFont="1" applyAlignment="1">
      <alignment horizontal="center"/>
    </xf>
    <xf numFmtId="0" fontId="45" fillId="11" borderId="0" xfId="0" quotePrefix="1" applyFont="1" applyFill="1" applyAlignment="1">
      <alignment horizontal="center"/>
    </xf>
    <xf numFmtId="0" fontId="2" fillId="0" borderId="0" xfId="0" quotePrefix="1" applyFont="1" applyAlignment="1">
      <alignment horizontal="center"/>
    </xf>
    <xf numFmtId="0" fontId="2" fillId="0" borderId="0" xfId="0" quotePrefix="1" applyFont="1">
      <alignment vertical="center"/>
    </xf>
    <xf numFmtId="49" fontId="45" fillId="3" borderId="0" xfId="0" quotePrefix="1" applyNumberFormat="1" applyFont="1" applyFill="1" applyAlignment="1">
      <alignment vertical="top"/>
    </xf>
    <xf numFmtId="49" fontId="8" fillId="0" borderId="0" xfId="3" applyNumberFormat="1" applyFont="1" applyFill="1" applyAlignment="1">
      <alignment horizontal="center" vertical="center"/>
    </xf>
    <xf numFmtId="0" fontId="0" fillId="0" borderId="0" xfId="0" applyAlignment="1">
      <alignment horizontal="left" vertical="center"/>
    </xf>
    <xf numFmtId="49" fontId="0" fillId="0" borderId="0" xfId="0" applyNumberFormat="1" applyAlignment="1">
      <alignment horizontal="left" vertical="center"/>
    </xf>
    <xf numFmtId="3" fontId="45" fillId="3" borderId="0" xfId="0" applyNumberFormat="1" applyFont="1" applyFill="1" applyAlignment="1">
      <alignment vertical="top"/>
    </xf>
    <xf numFmtId="0" fontId="45" fillId="3" borderId="0" xfId="0" applyFont="1" applyFill="1" applyAlignment="1">
      <alignment horizontal="center" vertical="center"/>
    </xf>
    <xf numFmtId="0" fontId="45" fillId="0" borderId="0" xfId="0" applyFont="1" applyAlignment="1">
      <alignment horizontal="center" vertical="center"/>
    </xf>
    <xf numFmtId="0" fontId="52" fillId="0" borderId="0" xfId="0" applyFont="1" applyAlignment="1">
      <alignment horizontal="center" vertical="center" wrapText="1"/>
    </xf>
    <xf numFmtId="0" fontId="0" fillId="0" borderId="0" xfId="0" applyAlignment="1">
      <alignment horizontal="center" vertical="center"/>
    </xf>
    <xf numFmtId="0" fontId="47" fillId="2" borderId="2" xfId="0" applyFont="1" applyFill="1" applyBorder="1" applyAlignment="1">
      <alignment horizontal="left" vertical="center"/>
    </xf>
    <xf numFmtId="0" fontId="47" fillId="2" borderId="3" xfId="0" applyFont="1" applyFill="1" applyBorder="1" applyAlignment="1">
      <alignment horizontal="left" vertical="center"/>
    </xf>
    <xf numFmtId="0" fontId="47" fillId="2" borderId="5" xfId="0" applyFont="1" applyFill="1" applyBorder="1" applyAlignment="1">
      <alignment horizontal="left" vertical="center"/>
    </xf>
    <xf numFmtId="0" fontId="47" fillId="2" borderId="1" xfId="0" applyFont="1" applyFill="1" applyBorder="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cellXfs>
  <cellStyles count="10">
    <cellStyle name="Normal 2" xfId="1" xr:uid="{00000000-0005-0000-0000-000000000000}"/>
    <cellStyle name="常规" xfId="0" builtinId="0"/>
    <cellStyle name="常规 2" xfId="3" xr:uid="{00000000-0005-0000-0000-000002000000}"/>
    <cellStyle name="常规 2 10" xfId="2" xr:uid="{00000000-0005-0000-0000-000003000000}"/>
    <cellStyle name="常规 2 2" xfId="8" xr:uid="{F199D49D-647E-4773-8B20-52FD83CD66CD}"/>
    <cellStyle name="常规 2 3" xfId="9" xr:uid="{5CCDAF99-2D19-420F-AD38-6F76B8AB90E2}"/>
    <cellStyle name="常规 3" xfId="4" xr:uid="{00000000-0005-0000-0000-000004000000}"/>
    <cellStyle name="常规 4" xfId="5" xr:uid="{00000000-0005-0000-0000-000005000000}"/>
    <cellStyle name="常规 5" xfId="6" xr:uid="{00000000-0005-0000-0000-000006000000}"/>
    <cellStyle name="常规 7" xfId="7" xr:uid="{00000000-0005-0000-0000-000007000000}"/>
  </cellStyles>
  <dxfs count="1038">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C00000"/>
      </font>
      <fill>
        <patternFill patternType="solid">
          <bgColor theme="8" tint="0.79995117038483843"/>
        </patternFill>
      </fill>
    </dxf>
    <dxf>
      <font>
        <color rgb="FFC00000"/>
      </font>
      <fill>
        <patternFill patternType="solid">
          <bgColor theme="8" tint="0.79995117038483843"/>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theme="9"/>
      </font>
    </dxf>
    <dxf>
      <fill>
        <patternFill patternType="solid">
          <bgColor rgb="FFFDF0E7"/>
        </patternFill>
      </fill>
      <border>
        <left style="thin">
          <color theme="0"/>
        </left>
        <right style="thin">
          <color theme="0"/>
        </right>
        <top style="thin">
          <color theme="0"/>
        </top>
        <bottom style="thin">
          <color theme="0"/>
        </bottom>
      </bord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color auto="1"/>
      </font>
      <fill>
        <patternFill patternType="solid">
          <bgColor rgb="FFFF0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9" tint="0.59996337778862885"/>
        </patternFill>
      </fill>
    </dxf>
    <dxf>
      <fill>
        <patternFill>
          <bgColor theme="4" tint="0.79998168889431442"/>
        </patternFill>
      </fill>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file>

<file path=xl/ctrlProps/ctrlProp62.xml><?xml version="1.0" encoding="utf-8"?>
<formControlPr xmlns="http://schemas.microsoft.com/office/spreadsheetml/2009/9/main" objectType="Button"/>
</file>

<file path=xl/ctrlProps/ctrlProp63.xml><?xml version="1.0" encoding="utf-8"?>
<formControlPr xmlns="http://schemas.microsoft.com/office/spreadsheetml/2009/9/main" objectType="Button"/>
</file>

<file path=xl/ctrlProps/ctrlProp64.xml><?xml version="1.0" encoding="utf-8"?>
<formControlPr xmlns="http://schemas.microsoft.com/office/spreadsheetml/2009/9/main" objectType="Button"/>
</file>

<file path=xl/ctrlProps/ctrlProp65.xml><?xml version="1.0" encoding="utf-8"?>
<formControlPr xmlns="http://schemas.microsoft.com/office/spreadsheetml/2009/9/main" objectType="Button"/>
</file>

<file path=xl/ctrlProps/ctrlProp66.xml><?xml version="1.0" encoding="utf-8"?>
<formControlPr xmlns="http://schemas.microsoft.com/office/spreadsheetml/2009/9/main" objectType="Button"/>
</file>

<file path=xl/ctrlProps/ctrlProp67.xml><?xml version="1.0" encoding="utf-8"?>
<formControlPr xmlns="http://schemas.microsoft.com/office/spreadsheetml/2009/9/main" objectType="Button"/>
</file>

<file path=xl/ctrlProps/ctrlProp68.xml><?xml version="1.0" encoding="utf-8"?>
<formControlPr xmlns="http://schemas.microsoft.com/office/spreadsheetml/2009/9/main" objectType="Button"/>
</file>

<file path=xl/ctrlProps/ctrlProp69.xml><?xml version="1.0" encoding="utf-8"?>
<formControlPr xmlns="http://schemas.microsoft.com/office/spreadsheetml/2009/9/main" objectType="Button"/>
</file>

<file path=xl/ctrlProps/ctrlProp70.xml><?xml version="1.0" encoding="utf-8"?>
<formControlPr xmlns="http://schemas.microsoft.com/office/spreadsheetml/2009/9/main" objectType="Button"/>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file>

<file path=xl/ctrlProps/ctrlProp73.xml><?xml version="1.0" encoding="utf-8"?>
<formControlPr xmlns="http://schemas.microsoft.com/office/spreadsheetml/2009/9/main" objectType="Button"/>
</file>

<file path=xl/ctrlProps/ctrlProp74.xml><?xml version="1.0" encoding="utf-8"?>
<formControlPr xmlns="http://schemas.microsoft.com/office/spreadsheetml/2009/9/main" objectType="Button"/>
</file>

<file path=xl/ctrlProps/ctrlProp75.xml><?xml version="1.0" encoding="utf-8"?>
<formControlPr xmlns="http://schemas.microsoft.com/office/spreadsheetml/2009/9/main" objectType="Button"/>
</file>

<file path=xl/ctrlProps/ctrlProp76.xml><?xml version="1.0" encoding="utf-8"?>
<formControlPr xmlns="http://schemas.microsoft.com/office/spreadsheetml/2009/9/main" objectType="Button"/>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file>

<file path=xl/ctrlProps/ctrlProp81.xml><?xml version="1.0" encoding="utf-8"?>
<formControlPr xmlns="http://schemas.microsoft.com/office/spreadsheetml/2009/9/main" objectType="Button"/>
</file>

<file path=xl/ctrlProps/ctrlProp82.xml><?xml version="1.0" encoding="utf-8"?>
<formControlPr xmlns="http://schemas.microsoft.com/office/spreadsheetml/2009/9/main" objectType="Button"/>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file>

<file path=xl/ctrlProps/ctrlProp94.xml><?xml version="1.0" encoding="utf-8"?>
<formControlPr xmlns="http://schemas.microsoft.com/office/spreadsheetml/2009/9/main" objectType="Button"/>
</file>

<file path=xl/ctrlProps/ctrlProp95.xml><?xml version="1.0" encoding="utf-8"?>
<formControlPr xmlns="http://schemas.microsoft.com/office/spreadsheetml/2009/9/main" objectType="Button"/>
</file>

<file path=xl/ctrlProps/ctrlProp96.xml><?xml version="1.0" encoding="utf-8"?>
<formControlPr xmlns="http://schemas.microsoft.com/office/spreadsheetml/2009/9/main" objectType="Button"/>
</file>

<file path=xl/ctrlProps/ctrlProp97.xml><?xml version="1.0" encoding="utf-8"?>
<formControlPr xmlns="http://schemas.microsoft.com/office/spreadsheetml/2009/9/main" objectType="Button"/>
</file>

<file path=xl/ctrlProps/ctrlProp98.xml><?xml version="1.0" encoding="utf-8"?>
<formControlPr xmlns="http://schemas.microsoft.com/office/spreadsheetml/2009/9/main" objectType="Button"/>
</file>

<file path=xl/ctrlProps/ctrlProp99.xml><?xml version="1.0" encoding="utf-8"?>
<formControlPr xmlns="http://schemas.microsoft.com/office/spreadsheetml/2009/9/main" objectType="Button"/>
</file>

<file path=xl/ctrlProps/ctrlProp100.xml><?xml version="1.0" encoding="utf-8"?>
<formControlPr xmlns="http://schemas.microsoft.com/office/spreadsheetml/2009/9/main" objectType="Button"/>
</file>

<file path=xl/ctrlProps/ctrlProp101.xml><?xml version="1.0" encoding="utf-8"?>
<formControlPr xmlns="http://schemas.microsoft.com/office/spreadsheetml/2009/9/main" objectType="Button"/>
</file>

<file path=xl/ctrlProps/ctrlProp102.xml><?xml version="1.0" encoding="utf-8"?>
<formControlPr xmlns="http://schemas.microsoft.com/office/spreadsheetml/2009/9/main" objectType="Button"/>
</file>

<file path=xl/ctrlProps/ctrlProp103.xml><?xml version="1.0" encoding="utf-8"?>
<formControlPr xmlns="http://schemas.microsoft.com/office/spreadsheetml/2009/9/main" objectType="Button"/>
</file>

<file path=xl/ctrlProps/ctrlProp104.xml><?xml version="1.0" encoding="utf-8"?>
<formControlPr xmlns="http://schemas.microsoft.com/office/spreadsheetml/2009/9/main" objectType="Button"/>
</file>

<file path=xl/ctrlProps/ctrlProp105.xml><?xml version="1.0" encoding="utf-8"?>
<formControlPr xmlns="http://schemas.microsoft.com/office/spreadsheetml/2009/9/main" objectType="Button"/>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file>

<file path=xl/ctrlProps/ctrlProp110.xml><?xml version="1.0" encoding="utf-8"?>
<formControlPr xmlns="http://schemas.microsoft.com/office/spreadsheetml/2009/9/main" objectType="Button"/>
</file>

<file path=xl/ctrlProps/ctrlProp111.xml><?xml version="1.0" encoding="utf-8"?>
<formControlPr xmlns="http://schemas.microsoft.com/office/spreadsheetml/2009/9/main" objectType="Button"/>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file>

<file path=xl/ctrlProps/ctrlProp118.xml><?xml version="1.0" encoding="utf-8"?>
<formControlPr xmlns="http://schemas.microsoft.com/office/spreadsheetml/2009/9/main" objectType="Button"/>
</file>

<file path=xl/ctrlProps/ctrlProp119.xml><?xml version="1.0" encoding="utf-8"?>
<formControlPr xmlns="http://schemas.microsoft.com/office/spreadsheetml/2009/9/main" objectType="Button"/>
</file>

<file path=xl/ctrlProps/ctrlProp120.xml><?xml version="1.0" encoding="utf-8"?>
<formControlPr xmlns="http://schemas.microsoft.com/office/spreadsheetml/2009/9/main" objectType="Button"/>
</file>

<file path=xl/ctrlProps/ctrlProp121.xml><?xml version="1.0" encoding="utf-8"?>
<formControlPr xmlns="http://schemas.microsoft.com/office/spreadsheetml/2009/9/main" objectType="Button"/>
</file>

<file path=xl/ctrlProps/ctrlProp122.xml><?xml version="1.0" encoding="utf-8"?>
<formControlPr xmlns="http://schemas.microsoft.com/office/spreadsheetml/2009/9/main" objectType="Button"/>
</file>

<file path=xl/ctrlProps/ctrlProp123.xml><?xml version="1.0" encoding="utf-8"?>
<formControlPr xmlns="http://schemas.microsoft.com/office/spreadsheetml/2009/9/main" objectType="Button"/>
</file>

<file path=xl/ctrlProps/ctrlProp124.xml><?xml version="1.0" encoding="utf-8"?>
<formControlPr xmlns="http://schemas.microsoft.com/office/spreadsheetml/2009/9/main" objectType="Button"/>
</file>

<file path=xl/ctrlProps/ctrlProp125.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0</xdr:row>
          <xdr:rowOff>38100</xdr:rowOff>
        </xdr:from>
        <xdr:to>
          <xdr:col>2</xdr:col>
          <xdr:colOff>1343025</xdr:colOff>
          <xdr:row>0</xdr:row>
          <xdr:rowOff>342900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显示所有表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xdr:row>
          <xdr:rowOff>38100</xdr:rowOff>
        </xdr:from>
        <xdr:to>
          <xdr:col>2</xdr:col>
          <xdr:colOff>1343025</xdr:colOff>
          <xdr:row>1</xdr:row>
          <xdr:rowOff>342900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1419225</xdr:colOff>
          <xdr:row>0</xdr:row>
          <xdr:rowOff>38100</xdr:rowOff>
        </xdr:from>
        <xdr:to>
          <xdr:col>0</xdr:col>
          <xdr:colOff>2447925</xdr:colOff>
          <xdr:row>0</xdr:row>
          <xdr:rowOff>342900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选择python路径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19</xdr:row>
          <xdr:rowOff>38100</xdr:rowOff>
        </xdr:from>
        <xdr:to>
          <xdr:col>0</xdr:col>
          <xdr:colOff>2419350</xdr:colOff>
          <xdr:row>19</xdr:row>
          <xdr:rowOff>342900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9</xdr:row>
          <xdr:rowOff>38100</xdr:rowOff>
        </xdr:from>
        <xdr:to>
          <xdr:col>0</xdr:col>
          <xdr:colOff>2419350</xdr:colOff>
          <xdr:row>9</xdr:row>
          <xdr:rowOff>342900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21</xdr:row>
          <xdr:rowOff>38100</xdr:rowOff>
        </xdr:from>
        <xdr:to>
          <xdr:col>0</xdr:col>
          <xdr:colOff>2419350</xdr:colOff>
          <xdr:row>21</xdr:row>
          <xdr:rowOff>342900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11</xdr:row>
          <xdr:rowOff>38100</xdr:rowOff>
        </xdr:from>
        <xdr:to>
          <xdr:col>0</xdr:col>
          <xdr:colOff>2419350</xdr:colOff>
          <xdr:row>11</xdr:row>
          <xdr:rowOff>342900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13</xdr:row>
          <xdr:rowOff>38100</xdr:rowOff>
        </xdr:from>
        <xdr:to>
          <xdr:col>0</xdr:col>
          <xdr:colOff>2419350</xdr:colOff>
          <xdr:row>13</xdr:row>
          <xdr:rowOff>342900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15</xdr:row>
          <xdr:rowOff>38100</xdr:rowOff>
        </xdr:from>
        <xdr:to>
          <xdr:col>0</xdr:col>
          <xdr:colOff>2419350</xdr:colOff>
          <xdr:row>15</xdr:row>
          <xdr:rowOff>342900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17</xdr:row>
          <xdr:rowOff>38100</xdr:rowOff>
        </xdr:from>
        <xdr:to>
          <xdr:col>0</xdr:col>
          <xdr:colOff>2419350</xdr:colOff>
          <xdr:row>17</xdr:row>
          <xdr:rowOff>342900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7</xdr:row>
          <xdr:rowOff>38100</xdr:rowOff>
        </xdr:from>
        <xdr:to>
          <xdr:col>0</xdr:col>
          <xdr:colOff>2419350</xdr:colOff>
          <xdr:row>7</xdr:row>
          <xdr:rowOff>342900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1390650</xdr:colOff>
          <xdr:row>7</xdr:row>
          <xdr:rowOff>38100</xdr:rowOff>
        </xdr:from>
        <xdr:to>
          <xdr:col>1</xdr:col>
          <xdr:colOff>2543175</xdr:colOff>
          <xdr:row>7</xdr:row>
          <xdr:rowOff>342900</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选择项目路径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xdr:row>
          <xdr:rowOff>38100</xdr:rowOff>
        </xdr:from>
        <xdr:to>
          <xdr:col>2</xdr:col>
          <xdr:colOff>1343025</xdr:colOff>
          <xdr:row>2</xdr:row>
          <xdr:rowOff>342900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3</xdr:row>
          <xdr:rowOff>38100</xdr:rowOff>
        </xdr:from>
        <xdr:to>
          <xdr:col>2</xdr:col>
          <xdr:colOff>1343025</xdr:colOff>
          <xdr:row>3</xdr:row>
          <xdr:rowOff>342900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4</xdr:row>
          <xdr:rowOff>38100</xdr:rowOff>
        </xdr:from>
        <xdr:to>
          <xdr:col>2</xdr:col>
          <xdr:colOff>1343025</xdr:colOff>
          <xdr:row>4</xdr:row>
          <xdr:rowOff>342900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5</xdr:row>
          <xdr:rowOff>38100</xdr:rowOff>
        </xdr:from>
        <xdr:to>
          <xdr:col>2</xdr:col>
          <xdr:colOff>1343025</xdr:colOff>
          <xdr:row>5</xdr:row>
          <xdr:rowOff>342900</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6</xdr:row>
          <xdr:rowOff>38100</xdr:rowOff>
        </xdr:from>
        <xdr:to>
          <xdr:col>2</xdr:col>
          <xdr:colOff>1343025</xdr:colOff>
          <xdr:row>6</xdr:row>
          <xdr:rowOff>342900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7</xdr:row>
          <xdr:rowOff>38100</xdr:rowOff>
        </xdr:from>
        <xdr:to>
          <xdr:col>2</xdr:col>
          <xdr:colOff>1343025</xdr:colOff>
          <xdr:row>7</xdr:row>
          <xdr:rowOff>342900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23</xdr:row>
          <xdr:rowOff>38100</xdr:rowOff>
        </xdr:from>
        <xdr:to>
          <xdr:col>0</xdr:col>
          <xdr:colOff>2419350</xdr:colOff>
          <xdr:row>23</xdr:row>
          <xdr:rowOff>342900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25</xdr:row>
          <xdr:rowOff>38100</xdr:rowOff>
        </xdr:from>
        <xdr:to>
          <xdr:col>0</xdr:col>
          <xdr:colOff>2419350</xdr:colOff>
          <xdr:row>25</xdr:row>
          <xdr:rowOff>342900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选择配置表路径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8</xdr:row>
          <xdr:rowOff>38100</xdr:rowOff>
        </xdr:from>
        <xdr:to>
          <xdr:col>2</xdr:col>
          <xdr:colOff>1343025</xdr:colOff>
          <xdr:row>8</xdr:row>
          <xdr:rowOff>342900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714375</xdr:colOff>
          <xdr:row>0</xdr:row>
          <xdr:rowOff>28575</xdr:rowOff>
        </xdr:from>
        <xdr:to>
          <xdr:col>1</xdr:col>
          <xdr:colOff>1924050</xdr:colOff>
          <xdr:row>0</xdr:row>
          <xdr:rowOff>390525</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删除表格空数据</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1</xdr:row>
          <xdr:rowOff>38100</xdr:rowOff>
        </xdr:from>
        <xdr:to>
          <xdr:col>2</xdr:col>
          <xdr:colOff>857250</xdr:colOff>
          <xdr:row>1</xdr:row>
          <xdr:rowOff>342900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100-000004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xdr:row>
          <xdr:rowOff>38100</xdr:rowOff>
        </xdr:from>
        <xdr:to>
          <xdr:col>1</xdr:col>
          <xdr:colOff>857250</xdr:colOff>
          <xdr:row>1</xdr:row>
          <xdr:rowOff>342900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100-000005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6</xdr:row>
          <xdr:rowOff>38100</xdr:rowOff>
        </xdr:from>
        <xdr:to>
          <xdr:col>1</xdr:col>
          <xdr:colOff>857250</xdr:colOff>
          <xdr:row>6</xdr:row>
          <xdr:rowOff>342900</xdr:rowOff>
        </xdr:to>
        <xdr:sp macro="" textlink="">
          <xdr:nvSpPr>
            <xdr:cNvPr id="39974" name="Button 38" hidden="1">
              <a:extLst>
                <a:ext uri="{63B3BB69-23CF-44E3-9099-C40C66FF867C}">
                  <a14:compatExt spid="_x0000_s39974"/>
                </a:ext>
                <a:ext uri="{FF2B5EF4-FFF2-40B4-BE49-F238E27FC236}">
                  <a16:creationId xmlns:a16="http://schemas.microsoft.com/office/drawing/2014/main" id="{00000000-0008-0000-0100-000026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6</xdr:row>
          <xdr:rowOff>38100</xdr:rowOff>
        </xdr:from>
        <xdr:to>
          <xdr:col>2</xdr:col>
          <xdr:colOff>857250</xdr:colOff>
          <xdr:row>6</xdr:row>
          <xdr:rowOff>342900</xdr:rowOff>
        </xdr:to>
        <xdr:sp macro="" textlink="">
          <xdr:nvSpPr>
            <xdr:cNvPr id="39975" name="Button 39" hidden="1">
              <a:extLst>
                <a:ext uri="{63B3BB69-23CF-44E3-9099-C40C66FF867C}">
                  <a14:compatExt spid="_x0000_s39975"/>
                </a:ext>
                <a:ext uri="{FF2B5EF4-FFF2-40B4-BE49-F238E27FC236}">
                  <a16:creationId xmlns:a16="http://schemas.microsoft.com/office/drawing/2014/main" id="{00000000-0008-0000-0100-000027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4</xdr:row>
          <xdr:rowOff>38100</xdr:rowOff>
        </xdr:from>
        <xdr:to>
          <xdr:col>1</xdr:col>
          <xdr:colOff>857250</xdr:colOff>
          <xdr:row>4</xdr:row>
          <xdr:rowOff>342900</xdr:rowOff>
        </xdr:to>
        <xdr:sp macro="" textlink="">
          <xdr:nvSpPr>
            <xdr:cNvPr id="39976" name="Button 40" hidden="1">
              <a:extLst>
                <a:ext uri="{63B3BB69-23CF-44E3-9099-C40C66FF867C}">
                  <a14:compatExt spid="_x0000_s39976"/>
                </a:ext>
                <a:ext uri="{FF2B5EF4-FFF2-40B4-BE49-F238E27FC236}">
                  <a16:creationId xmlns:a16="http://schemas.microsoft.com/office/drawing/2014/main" id="{00000000-0008-0000-0100-000028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4</xdr:row>
          <xdr:rowOff>38100</xdr:rowOff>
        </xdr:from>
        <xdr:to>
          <xdr:col>2</xdr:col>
          <xdr:colOff>857250</xdr:colOff>
          <xdr:row>4</xdr:row>
          <xdr:rowOff>342900</xdr:rowOff>
        </xdr:to>
        <xdr:sp macro="" textlink="">
          <xdr:nvSpPr>
            <xdr:cNvPr id="39977" name="Button 41" hidden="1">
              <a:extLst>
                <a:ext uri="{63B3BB69-23CF-44E3-9099-C40C66FF867C}">
                  <a14:compatExt spid="_x0000_s39977"/>
                </a:ext>
                <a:ext uri="{FF2B5EF4-FFF2-40B4-BE49-F238E27FC236}">
                  <a16:creationId xmlns:a16="http://schemas.microsoft.com/office/drawing/2014/main" id="{00000000-0008-0000-0100-000029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8</xdr:row>
          <xdr:rowOff>38100</xdr:rowOff>
        </xdr:from>
        <xdr:to>
          <xdr:col>1</xdr:col>
          <xdr:colOff>857250</xdr:colOff>
          <xdr:row>8</xdr:row>
          <xdr:rowOff>342900</xdr:rowOff>
        </xdr:to>
        <xdr:sp macro="" textlink="">
          <xdr:nvSpPr>
            <xdr:cNvPr id="39978" name="Button 42" hidden="1">
              <a:extLst>
                <a:ext uri="{63B3BB69-23CF-44E3-9099-C40C66FF867C}">
                  <a14:compatExt spid="_x0000_s39978"/>
                </a:ext>
                <a:ext uri="{FF2B5EF4-FFF2-40B4-BE49-F238E27FC236}">
                  <a16:creationId xmlns:a16="http://schemas.microsoft.com/office/drawing/2014/main" id="{00000000-0008-0000-0100-00002A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8</xdr:row>
          <xdr:rowOff>38100</xdr:rowOff>
        </xdr:from>
        <xdr:to>
          <xdr:col>2</xdr:col>
          <xdr:colOff>857250</xdr:colOff>
          <xdr:row>8</xdr:row>
          <xdr:rowOff>342900</xdr:rowOff>
        </xdr:to>
        <xdr:sp macro="" textlink="">
          <xdr:nvSpPr>
            <xdr:cNvPr id="39979" name="Button 43" hidden="1">
              <a:extLst>
                <a:ext uri="{63B3BB69-23CF-44E3-9099-C40C66FF867C}">
                  <a14:compatExt spid="_x0000_s39979"/>
                </a:ext>
                <a:ext uri="{FF2B5EF4-FFF2-40B4-BE49-F238E27FC236}">
                  <a16:creationId xmlns:a16="http://schemas.microsoft.com/office/drawing/2014/main" id="{00000000-0008-0000-0100-00002B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10</xdr:row>
          <xdr:rowOff>38100</xdr:rowOff>
        </xdr:from>
        <xdr:to>
          <xdr:col>1</xdr:col>
          <xdr:colOff>857250</xdr:colOff>
          <xdr:row>10</xdr:row>
          <xdr:rowOff>342900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100-00002E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10</xdr:row>
          <xdr:rowOff>38100</xdr:rowOff>
        </xdr:from>
        <xdr:to>
          <xdr:col>2</xdr:col>
          <xdr:colOff>857250</xdr:colOff>
          <xdr:row>10</xdr:row>
          <xdr:rowOff>342900</xdr:rowOff>
        </xdr:to>
        <xdr:sp macro="" textlink="">
          <xdr:nvSpPr>
            <xdr:cNvPr id="39983" name="Button 47" hidden="1">
              <a:extLst>
                <a:ext uri="{63B3BB69-23CF-44E3-9099-C40C66FF867C}">
                  <a14:compatExt spid="_x0000_s39983"/>
                </a:ext>
                <a:ext uri="{FF2B5EF4-FFF2-40B4-BE49-F238E27FC236}">
                  <a16:creationId xmlns:a16="http://schemas.microsoft.com/office/drawing/2014/main" id="{00000000-0008-0000-0100-00002F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38100</xdr:rowOff>
        </xdr:from>
        <xdr:to>
          <xdr:col>1</xdr:col>
          <xdr:colOff>857250</xdr:colOff>
          <xdr:row>12</xdr:row>
          <xdr:rowOff>342900</xdr:rowOff>
        </xdr:to>
        <xdr:sp macro="" textlink="">
          <xdr:nvSpPr>
            <xdr:cNvPr id="39984" name="Button 48" hidden="1">
              <a:extLst>
                <a:ext uri="{63B3BB69-23CF-44E3-9099-C40C66FF867C}">
                  <a14:compatExt spid="_x0000_s39984"/>
                </a:ext>
                <a:ext uri="{FF2B5EF4-FFF2-40B4-BE49-F238E27FC236}">
                  <a16:creationId xmlns:a16="http://schemas.microsoft.com/office/drawing/2014/main" id="{00000000-0008-0000-0100-000030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12</xdr:row>
          <xdr:rowOff>38100</xdr:rowOff>
        </xdr:from>
        <xdr:to>
          <xdr:col>2</xdr:col>
          <xdr:colOff>857250</xdr:colOff>
          <xdr:row>12</xdr:row>
          <xdr:rowOff>342900</xdr:rowOff>
        </xdr:to>
        <xdr:sp macro="" textlink="">
          <xdr:nvSpPr>
            <xdr:cNvPr id="39985" name="Button 49" hidden="1">
              <a:extLst>
                <a:ext uri="{63B3BB69-23CF-44E3-9099-C40C66FF867C}">
                  <a14:compatExt spid="_x0000_s39985"/>
                </a:ext>
                <a:ext uri="{FF2B5EF4-FFF2-40B4-BE49-F238E27FC236}">
                  <a16:creationId xmlns:a16="http://schemas.microsoft.com/office/drawing/2014/main" id="{00000000-0008-0000-0100-000031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2</xdr:row>
          <xdr:rowOff>38100</xdr:rowOff>
        </xdr:from>
        <xdr:to>
          <xdr:col>1</xdr:col>
          <xdr:colOff>857250</xdr:colOff>
          <xdr:row>2</xdr:row>
          <xdr:rowOff>342900</xdr:rowOff>
        </xdr:to>
        <xdr:sp macro="" textlink="">
          <xdr:nvSpPr>
            <xdr:cNvPr id="39986" name="Button 50" hidden="1">
              <a:extLst>
                <a:ext uri="{63B3BB69-23CF-44E3-9099-C40C66FF867C}">
                  <a14:compatExt spid="_x0000_s39986"/>
                </a:ext>
                <a:ext uri="{FF2B5EF4-FFF2-40B4-BE49-F238E27FC236}">
                  <a16:creationId xmlns:a16="http://schemas.microsoft.com/office/drawing/2014/main" id="{00000000-0008-0000-0100-000032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xdr:row>
          <xdr:rowOff>38100</xdr:rowOff>
        </xdr:from>
        <xdr:to>
          <xdr:col>2</xdr:col>
          <xdr:colOff>857250</xdr:colOff>
          <xdr:row>2</xdr:row>
          <xdr:rowOff>342900</xdr:rowOff>
        </xdr:to>
        <xdr:sp macro="" textlink="">
          <xdr:nvSpPr>
            <xdr:cNvPr id="39987" name="Button 51" hidden="1">
              <a:extLst>
                <a:ext uri="{63B3BB69-23CF-44E3-9099-C40C66FF867C}">
                  <a14:compatExt spid="_x0000_s39987"/>
                </a:ext>
                <a:ext uri="{FF2B5EF4-FFF2-40B4-BE49-F238E27FC236}">
                  <a16:creationId xmlns:a16="http://schemas.microsoft.com/office/drawing/2014/main" id="{00000000-0008-0000-0100-000033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13</xdr:row>
          <xdr:rowOff>38100</xdr:rowOff>
        </xdr:from>
        <xdr:to>
          <xdr:col>1</xdr:col>
          <xdr:colOff>857250</xdr:colOff>
          <xdr:row>13</xdr:row>
          <xdr:rowOff>342900</xdr:rowOff>
        </xdr:to>
        <xdr:sp macro="" textlink="">
          <xdr:nvSpPr>
            <xdr:cNvPr id="39988" name="Button 52" hidden="1">
              <a:extLst>
                <a:ext uri="{63B3BB69-23CF-44E3-9099-C40C66FF867C}">
                  <a14:compatExt spid="_x0000_s39988"/>
                </a:ext>
                <a:ext uri="{FF2B5EF4-FFF2-40B4-BE49-F238E27FC236}">
                  <a16:creationId xmlns:a16="http://schemas.microsoft.com/office/drawing/2014/main" id="{00000000-0008-0000-0100-000034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13</xdr:row>
          <xdr:rowOff>38100</xdr:rowOff>
        </xdr:from>
        <xdr:to>
          <xdr:col>2</xdr:col>
          <xdr:colOff>857250</xdr:colOff>
          <xdr:row>13</xdr:row>
          <xdr:rowOff>342900</xdr:rowOff>
        </xdr:to>
        <xdr:sp macro="" textlink="">
          <xdr:nvSpPr>
            <xdr:cNvPr id="39989" name="Button 53" hidden="1">
              <a:extLst>
                <a:ext uri="{63B3BB69-23CF-44E3-9099-C40C66FF867C}">
                  <a14:compatExt spid="_x0000_s39989"/>
                </a:ext>
                <a:ext uri="{FF2B5EF4-FFF2-40B4-BE49-F238E27FC236}">
                  <a16:creationId xmlns:a16="http://schemas.microsoft.com/office/drawing/2014/main" id="{00000000-0008-0000-0100-000035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xdr:row>
          <xdr:rowOff>38100</xdr:rowOff>
        </xdr:from>
        <xdr:to>
          <xdr:col>1</xdr:col>
          <xdr:colOff>857250</xdr:colOff>
          <xdr:row>18</xdr:row>
          <xdr:rowOff>342900</xdr:rowOff>
        </xdr:to>
        <xdr:sp macro="" textlink="">
          <xdr:nvSpPr>
            <xdr:cNvPr id="39990" name="Button 54" hidden="1">
              <a:extLst>
                <a:ext uri="{63B3BB69-23CF-44E3-9099-C40C66FF867C}">
                  <a14:compatExt spid="_x0000_s39990"/>
                </a:ext>
                <a:ext uri="{FF2B5EF4-FFF2-40B4-BE49-F238E27FC236}">
                  <a16:creationId xmlns:a16="http://schemas.microsoft.com/office/drawing/2014/main" id="{00000000-0008-0000-0100-000036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18</xdr:row>
          <xdr:rowOff>38100</xdr:rowOff>
        </xdr:from>
        <xdr:to>
          <xdr:col>2</xdr:col>
          <xdr:colOff>857250</xdr:colOff>
          <xdr:row>18</xdr:row>
          <xdr:rowOff>342900</xdr:rowOff>
        </xdr:to>
        <xdr:sp macro="" textlink="">
          <xdr:nvSpPr>
            <xdr:cNvPr id="39991" name="Button 55" hidden="1">
              <a:extLst>
                <a:ext uri="{63B3BB69-23CF-44E3-9099-C40C66FF867C}">
                  <a14:compatExt spid="_x0000_s39991"/>
                </a:ext>
                <a:ext uri="{FF2B5EF4-FFF2-40B4-BE49-F238E27FC236}">
                  <a16:creationId xmlns:a16="http://schemas.microsoft.com/office/drawing/2014/main" id="{00000000-0008-0000-0100-000037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3</xdr:row>
          <xdr:rowOff>38100</xdr:rowOff>
        </xdr:from>
        <xdr:to>
          <xdr:col>1</xdr:col>
          <xdr:colOff>857250</xdr:colOff>
          <xdr:row>3</xdr:row>
          <xdr:rowOff>342900</xdr:rowOff>
        </xdr:to>
        <xdr:sp macro="" textlink="">
          <xdr:nvSpPr>
            <xdr:cNvPr id="39992" name="Button 56" hidden="1">
              <a:extLst>
                <a:ext uri="{63B3BB69-23CF-44E3-9099-C40C66FF867C}">
                  <a14:compatExt spid="_x0000_s39992"/>
                </a:ext>
                <a:ext uri="{FF2B5EF4-FFF2-40B4-BE49-F238E27FC236}">
                  <a16:creationId xmlns:a16="http://schemas.microsoft.com/office/drawing/2014/main" id="{00000000-0008-0000-0100-000038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3</xdr:row>
          <xdr:rowOff>38100</xdr:rowOff>
        </xdr:from>
        <xdr:to>
          <xdr:col>2</xdr:col>
          <xdr:colOff>857250</xdr:colOff>
          <xdr:row>3</xdr:row>
          <xdr:rowOff>342900</xdr:rowOff>
        </xdr:to>
        <xdr:sp macro="" textlink="">
          <xdr:nvSpPr>
            <xdr:cNvPr id="39993" name="Button 57" hidden="1">
              <a:extLst>
                <a:ext uri="{63B3BB69-23CF-44E3-9099-C40C66FF867C}">
                  <a14:compatExt spid="_x0000_s39993"/>
                </a:ext>
                <a:ext uri="{FF2B5EF4-FFF2-40B4-BE49-F238E27FC236}">
                  <a16:creationId xmlns:a16="http://schemas.microsoft.com/office/drawing/2014/main" id="{00000000-0008-0000-0100-000039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11</xdr:row>
          <xdr:rowOff>38100</xdr:rowOff>
        </xdr:from>
        <xdr:to>
          <xdr:col>1</xdr:col>
          <xdr:colOff>857250</xdr:colOff>
          <xdr:row>11</xdr:row>
          <xdr:rowOff>342900</xdr:rowOff>
        </xdr:to>
        <xdr:sp macro="" textlink="">
          <xdr:nvSpPr>
            <xdr:cNvPr id="40000" name="Button 64" hidden="1">
              <a:extLst>
                <a:ext uri="{63B3BB69-23CF-44E3-9099-C40C66FF867C}">
                  <a14:compatExt spid="_x0000_s40000"/>
                </a:ext>
                <a:ext uri="{FF2B5EF4-FFF2-40B4-BE49-F238E27FC236}">
                  <a16:creationId xmlns:a16="http://schemas.microsoft.com/office/drawing/2014/main" id="{00000000-0008-0000-0100-000040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11</xdr:row>
          <xdr:rowOff>38100</xdr:rowOff>
        </xdr:from>
        <xdr:to>
          <xdr:col>2</xdr:col>
          <xdr:colOff>857250</xdr:colOff>
          <xdr:row>11</xdr:row>
          <xdr:rowOff>342900</xdr:rowOff>
        </xdr:to>
        <xdr:sp macro="" textlink="">
          <xdr:nvSpPr>
            <xdr:cNvPr id="40001" name="Button 65" hidden="1">
              <a:extLst>
                <a:ext uri="{63B3BB69-23CF-44E3-9099-C40C66FF867C}">
                  <a14:compatExt spid="_x0000_s40001"/>
                </a:ext>
                <a:ext uri="{FF2B5EF4-FFF2-40B4-BE49-F238E27FC236}">
                  <a16:creationId xmlns:a16="http://schemas.microsoft.com/office/drawing/2014/main" id="{00000000-0008-0000-0100-000041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17</xdr:row>
          <xdr:rowOff>38100</xdr:rowOff>
        </xdr:from>
        <xdr:to>
          <xdr:col>1</xdr:col>
          <xdr:colOff>857250</xdr:colOff>
          <xdr:row>17</xdr:row>
          <xdr:rowOff>342900</xdr:rowOff>
        </xdr:to>
        <xdr:sp macro="" textlink="">
          <xdr:nvSpPr>
            <xdr:cNvPr id="40002" name="Button 66" hidden="1">
              <a:extLst>
                <a:ext uri="{63B3BB69-23CF-44E3-9099-C40C66FF867C}">
                  <a14:compatExt spid="_x0000_s40002"/>
                </a:ext>
                <a:ext uri="{FF2B5EF4-FFF2-40B4-BE49-F238E27FC236}">
                  <a16:creationId xmlns:a16="http://schemas.microsoft.com/office/drawing/2014/main" id="{00000000-0008-0000-0100-000042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17</xdr:row>
          <xdr:rowOff>38100</xdr:rowOff>
        </xdr:from>
        <xdr:to>
          <xdr:col>2</xdr:col>
          <xdr:colOff>857250</xdr:colOff>
          <xdr:row>17</xdr:row>
          <xdr:rowOff>342900</xdr:rowOff>
        </xdr:to>
        <xdr:sp macro="" textlink="">
          <xdr:nvSpPr>
            <xdr:cNvPr id="40003" name="Button 67" hidden="1">
              <a:extLst>
                <a:ext uri="{63B3BB69-23CF-44E3-9099-C40C66FF867C}">
                  <a14:compatExt spid="_x0000_s40003"/>
                </a:ext>
                <a:ext uri="{FF2B5EF4-FFF2-40B4-BE49-F238E27FC236}">
                  <a16:creationId xmlns:a16="http://schemas.microsoft.com/office/drawing/2014/main" id="{00000000-0008-0000-0100-000043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7</xdr:row>
          <xdr:rowOff>38100</xdr:rowOff>
        </xdr:from>
        <xdr:to>
          <xdr:col>1</xdr:col>
          <xdr:colOff>857250</xdr:colOff>
          <xdr:row>7</xdr:row>
          <xdr:rowOff>342900</xdr:rowOff>
        </xdr:to>
        <xdr:sp macro="" textlink="">
          <xdr:nvSpPr>
            <xdr:cNvPr id="40004" name="Button 68" hidden="1">
              <a:extLst>
                <a:ext uri="{63B3BB69-23CF-44E3-9099-C40C66FF867C}">
                  <a14:compatExt spid="_x0000_s40004"/>
                </a:ext>
                <a:ext uri="{FF2B5EF4-FFF2-40B4-BE49-F238E27FC236}">
                  <a16:creationId xmlns:a16="http://schemas.microsoft.com/office/drawing/2014/main" id="{00000000-0008-0000-0100-000044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7</xdr:row>
          <xdr:rowOff>38100</xdr:rowOff>
        </xdr:from>
        <xdr:to>
          <xdr:col>2</xdr:col>
          <xdr:colOff>857250</xdr:colOff>
          <xdr:row>7</xdr:row>
          <xdr:rowOff>342900</xdr:rowOff>
        </xdr:to>
        <xdr:sp macro="" textlink="">
          <xdr:nvSpPr>
            <xdr:cNvPr id="40005" name="Button 69" hidden="1">
              <a:extLst>
                <a:ext uri="{63B3BB69-23CF-44E3-9099-C40C66FF867C}">
                  <a14:compatExt spid="_x0000_s40005"/>
                </a:ext>
                <a:ext uri="{FF2B5EF4-FFF2-40B4-BE49-F238E27FC236}">
                  <a16:creationId xmlns:a16="http://schemas.microsoft.com/office/drawing/2014/main" id="{00000000-0008-0000-0100-000045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5</xdr:row>
          <xdr:rowOff>38100</xdr:rowOff>
        </xdr:from>
        <xdr:to>
          <xdr:col>1</xdr:col>
          <xdr:colOff>857250</xdr:colOff>
          <xdr:row>5</xdr:row>
          <xdr:rowOff>342900</xdr:rowOff>
        </xdr:to>
        <xdr:sp macro="" textlink="">
          <xdr:nvSpPr>
            <xdr:cNvPr id="40006" name="Button 70" hidden="1">
              <a:extLst>
                <a:ext uri="{63B3BB69-23CF-44E3-9099-C40C66FF867C}">
                  <a14:compatExt spid="_x0000_s40006"/>
                </a:ext>
                <a:ext uri="{FF2B5EF4-FFF2-40B4-BE49-F238E27FC236}">
                  <a16:creationId xmlns:a16="http://schemas.microsoft.com/office/drawing/2014/main" id="{00000000-0008-0000-0100-000046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5</xdr:row>
          <xdr:rowOff>38100</xdr:rowOff>
        </xdr:from>
        <xdr:to>
          <xdr:col>2</xdr:col>
          <xdr:colOff>857250</xdr:colOff>
          <xdr:row>5</xdr:row>
          <xdr:rowOff>342900</xdr:rowOff>
        </xdr:to>
        <xdr:sp macro="" textlink="">
          <xdr:nvSpPr>
            <xdr:cNvPr id="40007" name="Button 71" hidden="1">
              <a:extLst>
                <a:ext uri="{63B3BB69-23CF-44E3-9099-C40C66FF867C}">
                  <a14:compatExt spid="_x0000_s40007"/>
                </a:ext>
                <a:ext uri="{FF2B5EF4-FFF2-40B4-BE49-F238E27FC236}">
                  <a16:creationId xmlns:a16="http://schemas.microsoft.com/office/drawing/2014/main" id="{00000000-0008-0000-0100-000047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38100</xdr:rowOff>
        </xdr:from>
        <xdr:to>
          <xdr:col>1</xdr:col>
          <xdr:colOff>857250</xdr:colOff>
          <xdr:row>0</xdr:row>
          <xdr:rowOff>342900</xdr:rowOff>
        </xdr:to>
        <xdr:sp macro="" textlink="">
          <xdr:nvSpPr>
            <xdr:cNvPr id="40010" name="Button 74" hidden="1">
              <a:extLst>
                <a:ext uri="{63B3BB69-23CF-44E3-9099-C40C66FF867C}">
                  <a14:compatExt spid="_x0000_s40010"/>
                </a:ext>
                <a:ext uri="{FF2B5EF4-FFF2-40B4-BE49-F238E27FC236}">
                  <a16:creationId xmlns:a16="http://schemas.microsoft.com/office/drawing/2014/main" id="{00000000-0008-0000-0100-00004A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清除表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16</xdr:row>
          <xdr:rowOff>38100</xdr:rowOff>
        </xdr:from>
        <xdr:to>
          <xdr:col>2</xdr:col>
          <xdr:colOff>857250</xdr:colOff>
          <xdr:row>16</xdr:row>
          <xdr:rowOff>342900</xdr:rowOff>
        </xdr:to>
        <xdr:sp macro="" textlink="">
          <xdr:nvSpPr>
            <xdr:cNvPr id="40011" name="Button 75" hidden="1">
              <a:extLst>
                <a:ext uri="{63B3BB69-23CF-44E3-9099-C40C66FF867C}">
                  <a14:compatExt spid="_x0000_s40011"/>
                </a:ext>
                <a:ext uri="{FF2B5EF4-FFF2-40B4-BE49-F238E27FC236}">
                  <a16:creationId xmlns:a16="http://schemas.microsoft.com/office/drawing/2014/main" id="{00000000-0008-0000-0100-00004B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16</xdr:row>
          <xdr:rowOff>38100</xdr:rowOff>
        </xdr:from>
        <xdr:to>
          <xdr:col>1</xdr:col>
          <xdr:colOff>857250</xdr:colOff>
          <xdr:row>16</xdr:row>
          <xdr:rowOff>342900</xdr:rowOff>
        </xdr:to>
        <xdr:sp macro="" textlink="">
          <xdr:nvSpPr>
            <xdr:cNvPr id="40012" name="Button 76" hidden="1">
              <a:extLst>
                <a:ext uri="{63B3BB69-23CF-44E3-9099-C40C66FF867C}">
                  <a14:compatExt spid="_x0000_s40012"/>
                </a:ext>
                <a:ext uri="{FF2B5EF4-FFF2-40B4-BE49-F238E27FC236}">
                  <a16:creationId xmlns:a16="http://schemas.microsoft.com/office/drawing/2014/main" id="{00000000-0008-0000-0100-00004C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19</xdr:row>
          <xdr:rowOff>38100</xdr:rowOff>
        </xdr:from>
        <xdr:to>
          <xdr:col>1</xdr:col>
          <xdr:colOff>857250</xdr:colOff>
          <xdr:row>19</xdr:row>
          <xdr:rowOff>342900</xdr:rowOff>
        </xdr:to>
        <xdr:sp macro="" textlink="">
          <xdr:nvSpPr>
            <xdr:cNvPr id="40013" name="Button 77" hidden="1">
              <a:extLst>
                <a:ext uri="{63B3BB69-23CF-44E3-9099-C40C66FF867C}">
                  <a14:compatExt spid="_x0000_s40013"/>
                </a:ext>
                <a:ext uri="{FF2B5EF4-FFF2-40B4-BE49-F238E27FC236}">
                  <a16:creationId xmlns:a16="http://schemas.microsoft.com/office/drawing/2014/main" id="{00000000-0008-0000-0100-00004D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19</xdr:row>
          <xdr:rowOff>38100</xdr:rowOff>
        </xdr:from>
        <xdr:to>
          <xdr:col>2</xdr:col>
          <xdr:colOff>857250</xdr:colOff>
          <xdr:row>19</xdr:row>
          <xdr:rowOff>342900</xdr:rowOff>
        </xdr:to>
        <xdr:sp macro="" textlink="">
          <xdr:nvSpPr>
            <xdr:cNvPr id="40014" name="Button 78" hidden="1">
              <a:extLst>
                <a:ext uri="{63B3BB69-23CF-44E3-9099-C40C66FF867C}">
                  <a14:compatExt spid="_x0000_s40014"/>
                </a:ext>
                <a:ext uri="{FF2B5EF4-FFF2-40B4-BE49-F238E27FC236}">
                  <a16:creationId xmlns:a16="http://schemas.microsoft.com/office/drawing/2014/main" id="{00000000-0008-0000-0100-00004E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9</xdr:row>
          <xdr:rowOff>38100</xdr:rowOff>
        </xdr:from>
        <xdr:to>
          <xdr:col>1</xdr:col>
          <xdr:colOff>857250</xdr:colOff>
          <xdr:row>9</xdr:row>
          <xdr:rowOff>342900</xdr:rowOff>
        </xdr:to>
        <xdr:sp macro="" textlink="">
          <xdr:nvSpPr>
            <xdr:cNvPr id="40019" name="Button 83" hidden="1">
              <a:extLst>
                <a:ext uri="{63B3BB69-23CF-44E3-9099-C40C66FF867C}">
                  <a14:compatExt spid="_x0000_s40019"/>
                </a:ext>
                <a:ext uri="{FF2B5EF4-FFF2-40B4-BE49-F238E27FC236}">
                  <a16:creationId xmlns:a16="http://schemas.microsoft.com/office/drawing/2014/main" id="{00000000-0008-0000-0100-000053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9</xdr:row>
          <xdr:rowOff>38100</xdr:rowOff>
        </xdr:from>
        <xdr:to>
          <xdr:col>2</xdr:col>
          <xdr:colOff>857250</xdr:colOff>
          <xdr:row>9</xdr:row>
          <xdr:rowOff>342900</xdr:rowOff>
        </xdr:to>
        <xdr:sp macro="" textlink="">
          <xdr:nvSpPr>
            <xdr:cNvPr id="40020" name="Button 84" hidden="1">
              <a:extLst>
                <a:ext uri="{63B3BB69-23CF-44E3-9099-C40C66FF867C}">
                  <a14:compatExt spid="_x0000_s40020"/>
                </a:ext>
                <a:ext uri="{FF2B5EF4-FFF2-40B4-BE49-F238E27FC236}">
                  <a16:creationId xmlns:a16="http://schemas.microsoft.com/office/drawing/2014/main" id="{00000000-0008-0000-0100-000054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15</xdr:row>
          <xdr:rowOff>38100</xdr:rowOff>
        </xdr:from>
        <xdr:to>
          <xdr:col>1</xdr:col>
          <xdr:colOff>857250</xdr:colOff>
          <xdr:row>15</xdr:row>
          <xdr:rowOff>342900</xdr:rowOff>
        </xdr:to>
        <xdr:sp macro="" textlink="">
          <xdr:nvSpPr>
            <xdr:cNvPr id="40031" name="Button 95" hidden="1">
              <a:extLst>
                <a:ext uri="{63B3BB69-23CF-44E3-9099-C40C66FF867C}">
                  <a14:compatExt spid="_x0000_s40031"/>
                </a:ext>
                <a:ext uri="{FF2B5EF4-FFF2-40B4-BE49-F238E27FC236}">
                  <a16:creationId xmlns:a16="http://schemas.microsoft.com/office/drawing/2014/main" id="{00000000-0008-0000-0100-00005F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15</xdr:row>
          <xdr:rowOff>38100</xdr:rowOff>
        </xdr:from>
        <xdr:to>
          <xdr:col>2</xdr:col>
          <xdr:colOff>857250</xdr:colOff>
          <xdr:row>15</xdr:row>
          <xdr:rowOff>342900</xdr:rowOff>
        </xdr:to>
        <xdr:sp macro="" textlink="">
          <xdr:nvSpPr>
            <xdr:cNvPr id="40032" name="Button 96" hidden="1">
              <a:extLst>
                <a:ext uri="{63B3BB69-23CF-44E3-9099-C40C66FF867C}">
                  <a14:compatExt spid="_x0000_s40032"/>
                </a:ext>
                <a:ext uri="{FF2B5EF4-FFF2-40B4-BE49-F238E27FC236}">
                  <a16:creationId xmlns:a16="http://schemas.microsoft.com/office/drawing/2014/main" id="{00000000-0008-0000-0100-000060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14</xdr:row>
          <xdr:rowOff>38100</xdr:rowOff>
        </xdr:from>
        <xdr:to>
          <xdr:col>2</xdr:col>
          <xdr:colOff>857250</xdr:colOff>
          <xdr:row>14</xdr:row>
          <xdr:rowOff>342900</xdr:rowOff>
        </xdr:to>
        <xdr:sp macro="" textlink="">
          <xdr:nvSpPr>
            <xdr:cNvPr id="40035" name="Button 99" hidden="1">
              <a:extLst>
                <a:ext uri="{63B3BB69-23CF-44E3-9099-C40C66FF867C}">
                  <a14:compatExt spid="_x0000_s40035"/>
                </a:ext>
                <a:ext uri="{FF2B5EF4-FFF2-40B4-BE49-F238E27FC236}">
                  <a16:creationId xmlns:a16="http://schemas.microsoft.com/office/drawing/2014/main" id="{00000000-0008-0000-0100-000063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显示本行表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14</xdr:row>
          <xdr:rowOff>38100</xdr:rowOff>
        </xdr:from>
        <xdr:to>
          <xdr:col>1</xdr:col>
          <xdr:colOff>857250</xdr:colOff>
          <xdr:row>14</xdr:row>
          <xdr:rowOff>342900</xdr:rowOff>
        </xdr:to>
        <xdr:sp macro="" textlink="">
          <xdr:nvSpPr>
            <xdr:cNvPr id="40036" name="Button 100" hidden="1">
              <a:extLst>
                <a:ext uri="{63B3BB69-23CF-44E3-9099-C40C66FF867C}">
                  <a14:compatExt spid="_x0000_s40036"/>
                </a:ext>
                <a:ext uri="{FF2B5EF4-FFF2-40B4-BE49-F238E27FC236}">
                  <a16:creationId xmlns:a16="http://schemas.microsoft.com/office/drawing/2014/main" id="{00000000-0008-0000-0100-0000649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导出本行表</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1733550</xdr:colOff>
          <xdr:row>0</xdr:row>
          <xdr:rowOff>66675</xdr:rowOff>
        </xdr:from>
        <xdr:to>
          <xdr:col>0</xdr:col>
          <xdr:colOff>2809875</xdr:colOff>
          <xdr:row>1</xdr:row>
          <xdr:rowOff>9525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选择数据源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123825</xdr:colOff>
          <xdr:row>1</xdr:row>
          <xdr:rowOff>38100</xdr:rowOff>
        </xdr:from>
        <xdr:to>
          <xdr:col>2</xdr:col>
          <xdr:colOff>1038225</xdr:colOff>
          <xdr:row>2</xdr:row>
          <xdr:rowOff>152400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400-000003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一级id生成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6</xdr:row>
          <xdr:rowOff>76200</xdr:rowOff>
        </xdr:from>
        <xdr:to>
          <xdr:col>2</xdr:col>
          <xdr:colOff>1047750</xdr:colOff>
          <xdr:row>7</xdr:row>
          <xdr:rowOff>180975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400-000004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3</xdr:row>
          <xdr:rowOff>219075</xdr:rowOff>
        </xdr:from>
        <xdr:to>
          <xdr:col>2</xdr:col>
          <xdr:colOff>1057275</xdr:colOff>
          <xdr:row>4</xdr:row>
          <xdr:rowOff>123825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400-000005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二级id生成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xdr:row>
          <xdr:rowOff>57150</xdr:rowOff>
        </xdr:from>
        <xdr:to>
          <xdr:col>0</xdr:col>
          <xdr:colOff>2809875</xdr:colOff>
          <xdr:row>4</xdr:row>
          <xdr:rowOff>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400-00000A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选择更新目录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771525</xdr:colOff>
          <xdr:row>6</xdr:row>
          <xdr:rowOff>38100</xdr:rowOff>
        </xdr:from>
        <xdr:to>
          <xdr:col>0</xdr:col>
          <xdr:colOff>1847850</xdr:colOff>
          <xdr:row>7</xdr:row>
          <xdr:rowOff>190500</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400-00000B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东南亚更新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12</xdr:row>
          <xdr:rowOff>66675</xdr:rowOff>
        </xdr:from>
        <xdr:to>
          <xdr:col>2</xdr:col>
          <xdr:colOff>1028700</xdr:colOff>
          <xdr:row>13</xdr:row>
          <xdr:rowOff>228600</xdr:rowOff>
        </xdr:to>
        <xdr:sp macro="" textlink="">
          <xdr:nvSpPr>
            <xdr:cNvPr id="25612" name="Button 12" hidden="1">
              <a:extLst>
                <a:ext uri="{63B3BB69-23CF-44E3-9099-C40C66FF867C}">
                  <a14:compatExt spid="_x0000_s25612"/>
                </a:ext>
                <a:ext uri="{FF2B5EF4-FFF2-40B4-BE49-F238E27FC236}">
                  <a16:creationId xmlns:a16="http://schemas.microsoft.com/office/drawing/2014/main" id="{00000000-0008-0000-0400-00000C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捞文本</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2047875</xdr:colOff>
          <xdr:row>6</xdr:row>
          <xdr:rowOff>38100</xdr:rowOff>
        </xdr:from>
        <xdr:to>
          <xdr:col>1</xdr:col>
          <xdr:colOff>228600</xdr:colOff>
          <xdr:row>7</xdr:row>
          <xdr:rowOff>190500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400-00000D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东南亚捞文本</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9</xdr:row>
          <xdr:rowOff>19050</xdr:rowOff>
        </xdr:from>
        <xdr:to>
          <xdr:col>2</xdr:col>
          <xdr:colOff>1038225</xdr:colOff>
          <xdr:row>10</xdr:row>
          <xdr:rowOff>161925</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400-00000E6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python版更新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1552575</xdr:colOff>
          <xdr:row>13</xdr:row>
          <xdr:rowOff>19050</xdr:rowOff>
        </xdr:from>
        <xdr:to>
          <xdr:col>0</xdr:col>
          <xdr:colOff>2657475</xdr:colOff>
          <xdr:row>14</xdr:row>
          <xdr:rowOff>190500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400-00000F6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主版本unpro操作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123825</xdr:colOff>
          <xdr:row>15</xdr:row>
          <xdr:rowOff>57150</xdr:rowOff>
        </xdr:from>
        <xdr:to>
          <xdr:col>2</xdr:col>
          <xdr:colOff>1009650</xdr:colOff>
          <xdr:row>16</xdr:row>
          <xdr:rowOff>200025</xdr:rowOff>
        </xdr:to>
        <xdr:sp macro="" textlink="">
          <xdr:nvSpPr>
            <xdr:cNvPr id="25617" name="Button 17" hidden="1">
              <a:extLst>
                <a:ext uri="{63B3BB69-23CF-44E3-9099-C40C66FF867C}">
                  <a14:compatExt spid="_x0000_s25617"/>
                </a:ext>
                <a:ext uri="{FF2B5EF4-FFF2-40B4-BE49-F238E27FC236}">
                  <a16:creationId xmlns:a16="http://schemas.microsoft.com/office/drawing/2014/main" id="{01FE5F98-6A22-448D-8947-EE1B5F98E57D}"/>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海外数据迁移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1657350</xdr:colOff>
          <xdr:row>3</xdr:row>
          <xdr:rowOff>57150</xdr:rowOff>
        </xdr:from>
        <xdr:to>
          <xdr:col>0</xdr:col>
          <xdr:colOff>2562225</xdr:colOff>
          <xdr:row>3</xdr:row>
          <xdr:rowOff>371475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选择翻译文件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590550</xdr:colOff>
          <xdr:row>0</xdr:row>
          <xdr:rowOff>57150</xdr:rowOff>
        </xdr:from>
        <xdr:to>
          <xdr:col>6</xdr:col>
          <xdr:colOff>1533525</xdr:colOff>
          <xdr:row>0</xdr:row>
          <xdr:rowOff>381000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0</xdr:row>
          <xdr:rowOff>57150</xdr:rowOff>
        </xdr:from>
        <xdr:to>
          <xdr:col>0</xdr:col>
          <xdr:colOff>2657475</xdr:colOff>
          <xdr:row>0</xdr:row>
          <xdr:rowOff>381000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500-000004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选择更新目录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57150</xdr:rowOff>
        </xdr:from>
        <xdr:to>
          <xdr:col>7</xdr:col>
          <xdr:colOff>1533525</xdr:colOff>
          <xdr:row>0</xdr:row>
          <xdr:rowOff>381000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东南亚更新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390525</xdr:colOff>
          <xdr:row>0</xdr:row>
          <xdr:rowOff>47625</xdr:rowOff>
        </xdr:from>
        <xdr:to>
          <xdr:col>9</xdr:col>
          <xdr:colOff>590550</xdr:colOff>
          <xdr:row>0</xdr:row>
          <xdr:rowOff>400050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用python更新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590550</xdr:colOff>
          <xdr:row>2</xdr:row>
          <xdr:rowOff>76200</xdr:rowOff>
        </xdr:from>
        <xdr:to>
          <xdr:col>7</xdr:col>
          <xdr:colOff>123825</xdr:colOff>
          <xdr:row>3</xdr:row>
          <xdr:rowOff>219075</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500-000007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更新到主版本</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171450</xdr:colOff>
          <xdr:row>0</xdr:row>
          <xdr:rowOff>47625</xdr:rowOff>
        </xdr:from>
        <xdr:to>
          <xdr:col>3</xdr:col>
          <xdr:colOff>390525</xdr:colOff>
          <xdr:row>1</xdr:row>
          <xdr:rowOff>171450</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600-000002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选择来源项目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0</xdr:row>
          <xdr:rowOff>47625</xdr:rowOff>
        </xdr:from>
        <xdr:to>
          <xdr:col>5</xdr:col>
          <xdr:colOff>514350</xdr:colOff>
          <xdr:row>1</xdr:row>
          <xdr:rowOff>171450</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600-000003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选择目标项目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3</xdr:row>
          <xdr:rowOff>57150</xdr:rowOff>
        </xdr:from>
        <xdr:to>
          <xdr:col>3</xdr:col>
          <xdr:colOff>419100</xdr:colOff>
          <xdr:row>4</xdr:row>
          <xdr:rowOff>152400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600-000004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资源迁移</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133350</xdr:colOff>
          <xdr:row>1</xdr:row>
          <xdr:rowOff>66675</xdr:rowOff>
        </xdr:from>
        <xdr:to>
          <xdr:col>14</xdr:col>
          <xdr:colOff>1133475</xdr:colOff>
          <xdr:row>1</xdr:row>
          <xdr:rowOff>409575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219075</xdr:colOff>
          <xdr:row>1</xdr:row>
          <xdr:rowOff>66675</xdr:rowOff>
        </xdr:from>
        <xdr:to>
          <xdr:col>15</xdr:col>
          <xdr:colOff>1219200</xdr:colOff>
          <xdr:row>1</xdr:row>
          <xdr:rowOff>409575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800-000003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xdr:colOff>
          <xdr:row>1</xdr:row>
          <xdr:rowOff>95250</xdr:rowOff>
        </xdr:from>
        <xdr:to>
          <xdr:col>13</xdr:col>
          <xdr:colOff>923925</xdr:colOff>
          <xdr:row>1</xdr:row>
          <xdr:rowOff>381000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800-000015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code生成</a:t>
              </a:r>
            </a:p>
            <a:p>
              <a:pPr algn="ctr" rtl="0">
                <a:defRPr sz="1000"/>
              </a:pPr>
              <a:endParaRPr lang="zh-CN" altLang="en-US" sz="1000" b="0" i="0" u="none" strike="noStrike" baseline="0">
                <a:solidFill>
                  <a:srgbClr val="000000"/>
                </a:solidFill>
                <a:latin typeface="微软雅黑"/>
                <a:ea typeface="微软雅黑"/>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171450</xdr:colOff>
          <xdr:row>0</xdr:row>
          <xdr:rowOff>180975</xdr:rowOff>
        </xdr:from>
        <xdr:to>
          <xdr:col>2</xdr:col>
          <xdr:colOff>438150</xdr:colOff>
          <xdr:row>0</xdr:row>
          <xdr:rowOff>504825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900-000002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0</xdr:row>
          <xdr:rowOff>200025</xdr:rowOff>
        </xdr:from>
        <xdr:to>
          <xdr:col>5</xdr:col>
          <xdr:colOff>1343025</xdr:colOff>
          <xdr:row>0</xdr:row>
          <xdr:rowOff>542925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900-000003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447675</xdr:colOff>
          <xdr:row>0</xdr:row>
          <xdr:rowOff>266700</xdr:rowOff>
        </xdr:from>
        <xdr:to>
          <xdr:col>4</xdr:col>
          <xdr:colOff>1304925</xdr:colOff>
          <xdr:row>0</xdr:row>
          <xdr:rowOff>552450</xdr:rowOff>
        </xdr:to>
        <xdr:sp macro="" textlink="">
          <xdr:nvSpPr>
            <xdr:cNvPr id="90142" name="Button 30" hidden="1">
              <a:extLst>
                <a:ext uri="{63B3BB69-23CF-44E3-9099-C40C66FF867C}">
                  <a14:compatExt spid="_x0000_s90142"/>
                </a:ext>
                <a:ext uri="{FF2B5EF4-FFF2-40B4-BE49-F238E27FC236}">
                  <a16:creationId xmlns:a16="http://schemas.microsoft.com/office/drawing/2014/main" id="{00000000-0008-0000-0900-00001E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code生成</a:t>
              </a:r>
            </a:p>
            <a:p>
              <a:pPr algn="ctr" rtl="0">
                <a:defRPr sz="1000"/>
              </a:pPr>
              <a:endParaRPr lang="zh-CN" altLang="en-US" sz="1000" b="0" i="0" u="none" strike="noStrike" baseline="0">
                <a:solidFill>
                  <a:srgbClr val="000000"/>
                </a:solidFill>
                <a:latin typeface="微软雅黑"/>
                <a:ea typeface="微软雅黑"/>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171450</xdr:colOff>
          <xdr:row>0</xdr:row>
          <xdr:rowOff>180975</xdr:rowOff>
        </xdr:from>
        <xdr:to>
          <xdr:col>2</xdr:col>
          <xdr:colOff>438150</xdr:colOff>
          <xdr:row>0</xdr:row>
          <xdr:rowOff>504825</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A00-000001D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0</xdr:row>
          <xdr:rowOff>200025</xdr:rowOff>
        </xdr:from>
        <xdr:to>
          <xdr:col>5</xdr:col>
          <xdr:colOff>1343025</xdr:colOff>
          <xdr:row>0</xdr:row>
          <xdr:rowOff>542925</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0A00-000002D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447675</xdr:colOff>
          <xdr:row>0</xdr:row>
          <xdr:rowOff>266700</xdr:rowOff>
        </xdr:from>
        <xdr:to>
          <xdr:col>4</xdr:col>
          <xdr:colOff>1304925</xdr:colOff>
          <xdr:row>0</xdr:row>
          <xdr:rowOff>552450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A00-000003D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code生成</a:t>
              </a:r>
            </a:p>
            <a:p>
              <a:pPr algn="ctr" rtl="0">
                <a:defRPr sz="1000"/>
              </a:pPr>
              <a:endParaRPr lang="zh-CN" altLang="en-US" sz="1000" b="0" i="0" u="none" strike="noStrike" baseline="0">
                <a:solidFill>
                  <a:srgbClr val="000000"/>
                </a:solidFill>
                <a:latin typeface="微软雅黑"/>
                <a:ea typeface="微软雅黑"/>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171450</xdr:colOff>
          <xdr:row>0</xdr:row>
          <xdr:rowOff>180975</xdr:rowOff>
        </xdr:from>
        <xdr:to>
          <xdr:col>2</xdr:col>
          <xdr:colOff>438150</xdr:colOff>
          <xdr:row>0</xdr:row>
          <xdr:rowOff>504825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0B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0</xdr:row>
          <xdr:rowOff>200025</xdr:rowOff>
        </xdr:from>
        <xdr:to>
          <xdr:col>5</xdr:col>
          <xdr:colOff>1343025</xdr:colOff>
          <xdr:row>0</xdr:row>
          <xdr:rowOff>542925</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0B00-000002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447675</xdr:colOff>
          <xdr:row>0</xdr:row>
          <xdr:rowOff>266700</xdr:rowOff>
        </xdr:from>
        <xdr:to>
          <xdr:col>4</xdr:col>
          <xdr:colOff>1304925</xdr:colOff>
          <xdr:row>0</xdr:row>
          <xdr:rowOff>552450</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B00-000003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code生成</a:t>
              </a:r>
            </a:p>
            <a:p>
              <a:pPr algn="ctr" rtl="0">
                <a:defRPr sz="1000"/>
              </a:pPr>
              <a:endParaRPr lang="zh-CN" altLang="en-US" sz="1000" b="0" i="0" u="none" strike="noStrike" baseline="0">
                <a:solidFill>
                  <a:srgbClr val="000000"/>
                </a:solidFill>
                <a:latin typeface="微软雅黑"/>
                <a:ea typeface="微软雅黑"/>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171450</xdr:colOff>
          <xdr:row>0</xdr:row>
          <xdr:rowOff>180975</xdr:rowOff>
        </xdr:from>
        <xdr:to>
          <xdr:col>2</xdr:col>
          <xdr:colOff>438150</xdr:colOff>
          <xdr:row>0</xdr:row>
          <xdr:rowOff>504825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C00-000001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0</xdr:row>
          <xdr:rowOff>200025</xdr:rowOff>
        </xdr:from>
        <xdr:to>
          <xdr:col>5</xdr:col>
          <xdr:colOff>1343025</xdr:colOff>
          <xdr:row>0</xdr:row>
          <xdr:rowOff>542925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C00-000002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447675</xdr:colOff>
          <xdr:row>0</xdr:row>
          <xdr:rowOff>266700</xdr:rowOff>
        </xdr:from>
        <xdr:to>
          <xdr:col>4</xdr:col>
          <xdr:colOff>1304925</xdr:colOff>
          <xdr:row>0</xdr:row>
          <xdr:rowOff>552450</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C00-000003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code生成</a:t>
              </a:r>
            </a:p>
            <a:p>
              <a:pPr algn="ctr" rtl="0">
                <a:defRPr sz="1000"/>
              </a:pPr>
              <a:endParaRPr lang="zh-CN" altLang="en-US" sz="1000" b="0" i="0" u="none" strike="noStrike" baseline="0">
                <a:solidFill>
                  <a:srgbClr val="000000"/>
                </a:solidFill>
                <a:latin typeface="微软雅黑"/>
                <a:ea typeface="微软雅黑"/>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171450</xdr:colOff>
          <xdr:row>0</xdr:row>
          <xdr:rowOff>180975</xdr:rowOff>
        </xdr:from>
        <xdr:to>
          <xdr:col>2</xdr:col>
          <xdr:colOff>438150</xdr:colOff>
          <xdr:row>0</xdr:row>
          <xdr:rowOff>504825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0D00-000001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0</xdr:row>
          <xdr:rowOff>200025</xdr:rowOff>
        </xdr:from>
        <xdr:to>
          <xdr:col>5</xdr:col>
          <xdr:colOff>1343025</xdr:colOff>
          <xdr:row>0</xdr:row>
          <xdr:rowOff>542925</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D00-000002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447675</xdr:colOff>
          <xdr:row>0</xdr:row>
          <xdr:rowOff>266700</xdr:rowOff>
        </xdr:from>
        <xdr:to>
          <xdr:col>4</xdr:col>
          <xdr:colOff>1304925</xdr:colOff>
          <xdr:row>0</xdr:row>
          <xdr:rowOff>552450</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D00-000003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code生成</a:t>
              </a:r>
            </a:p>
            <a:p>
              <a:pPr algn="ctr" rtl="0">
                <a:defRPr sz="1000"/>
              </a:pPr>
              <a:endParaRPr lang="zh-CN" altLang="en-US" sz="1000" b="0" i="0" u="none" strike="noStrike" baseline="0">
                <a:solidFill>
                  <a:srgbClr val="000000"/>
                </a:solidFill>
                <a:latin typeface="微软雅黑"/>
                <a:ea typeface="微软雅黑"/>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57150</xdr:rowOff>
        </xdr:from>
        <xdr:to>
          <xdr:col>10</xdr:col>
          <xdr:colOff>438150</xdr:colOff>
          <xdr:row>1</xdr:row>
          <xdr:rowOff>142875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卡牌筛选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161925</xdr:colOff>
          <xdr:row>0</xdr:row>
          <xdr:rowOff>47625</xdr:rowOff>
        </xdr:from>
        <xdr:to>
          <xdr:col>12</xdr:col>
          <xdr:colOff>495300</xdr:colOff>
          <xdr:row>1</xdr:row>
          <xdr:rowOff>133350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57150</xdr:rowOff>
        </xdr:from>
        <xdr:to>
          <xdr:col>14</xdr:col>
          <xdr:colOff>276225</xdr:colOff>
          <xdr:row>1</xdr:row>
          <xdr:rowOff>142875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E00-000004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数据更新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38100</xdr:colOff>
          <xdr:row>0</xdr:row>
          <xdr:rowOff>28575</xdr:rowOff>
        </xdr:from>
        <xdr:to>
          <xdr:col>7</xdr:col>
          <xdr:colOff>447675</xdr:colOff>
          <xdr:row>1</xdr:row>
          <xdr:rowOff>142875</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E00-000006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选择国服路径</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257175</xdr:colOff>
          <xdr:row>0</xdr:row>
          <xdr:rowOff>76200</xdr:rowOff>
        </xdr:from>
        <xdr:to>
          <xdr:col>12</xdr:col>
          <xdr:colOff>266700</xdr:colOff>
          <xdr:row>1</xdr:row>
          <xdr:rowOff>133350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1200-000001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更新标签</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1343025</xdr:colOff>
          <xdr:row>0</xdr:row>
          <xdr:rowOff>104775</xdr:rowOff>
        </xdr:from>
        <xdr:to>
          <xdr:col>21</xdr:col>
          <xdr:colOff>2486025</xdr:colOff>
          <xdr:row>0</xdr:row>
          <xdr:rowOff>657225</xdr:rowOff>
        </xdr:to>
        <xdr:sp macro="" textlink="">
          <xdr:nvSpPr>
            <xdr:cNvPr id="156678" name="Button 6" hidden="1">
              <a:extLst>
                <a:ext uri="{63B3BB69-23CF-44E3-9099-C40C66FF867C}">
                  <a14:compatExt spid="_x0000_s156678"/>
                </a:ext>
                <a:ext uri="{FF2B5EF4-FFF2-40B4-BE49-F238E27FC236}">
                  <a16:creationId xmlns:a16="http://schemas.microsoft.com/office/drawing/2014/main" id="{00000000-0008-0000-1300-0000066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生成宠物</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0</xdr:row>
          <xdr:rowOff>57150</xdr:rowOff>
        </xdr:from>
        <xdr:to>
          <xdr:col>1</xdr:col>
          <xdr:colOff>1200150</xdr:colOff>
          <xdr:row>0</xdr:row>
          <xdr:rowOff>428625</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1400-0000038802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奖励更新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12</xdr:col>
          <xdr:colOff>819150</xdr:colOff>
          <xdr:row>0</xdr:row>
          <xdr:rowOff>352425</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1400-0000048802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奖励生成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1781175</xdr:colOff>
          <xdr:row>0</xdr:row>
          <xdr:rowOff>66675</xdr:rowOff>
        </xdr:from>
        <xdr:to>
          <xdr:col>2</xdr:col>
          <xdr:colOff>409575</xdr:colOff>
          <xdr:row>1</xdr:row>
          <xdr:rowOff>190500</xdr:rowOff>
        </xdr:to>
        <xdr:sp macro="" textlink="">
          <xdr:nvSpPr>
            <xdr:cNvPr id="205834" name="Button 10" hidden="1">
              <a:extLst>
                <a:ext uri="{63B3BB69-23CF-44E3-9099-C40C66FF867C}">
                  <a14:compatExt spid="_x0000_s205834"/>
                </a:ext>
                <a:ext uri="{FF2B5EF4-FFF2-40B4-BE49-F238E27FC236}">
                  <a16:creationId xmlns:a16="http://schemas.microsoft.com/office/drawing/2014/main" id="{00000000-0008-0000-1500-00000A2403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生成扭蛋</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314325</xdr:rowOff>
        </xdr:from>
        <xdr:to>
          <xdr:col>4</xdr:col>
          <xdr:colOff>1104900</xdr:colOff>
          <xdr:row>0</xdr:row>
          <xdr:rowOff>638175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7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添加/更新卡牌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266700</xdr:rowOff>
        </xdr:from>
        <xdr:to>
          <xdr:col>20</xdr:col>
          <xdr:colOff>933450</xdr:colOff>
          <xdr:row>0</xdr:row>
          <xdr:rowOff>581025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700-000002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生成QA数据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323850</xdr:rowOff>
        </xdr:from>
        <xdr:to>
          <xdr:col>1</xdr:col>
          <xdr:colOff>942975</xdr:colOff>
          <xdr:row>0</xdr:row>
          <xdr:rowOff>638175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700-000003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生成SER卡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171450</xdr:colOff>
          <xdr:row>0</xdr:row>
          <xdr:rowOff>257175</xdr:rowOff>
        </xdr:from>
        <xdr:to>
          <xdr:col>18</xdr:col>
          <xdr:colOff>733425</xdr:colOff>
          <xdr:row>0</xdr:row>
          <xdr:rowOff>619125</xdr:rowOff>
        </xdr:to>
        <xdr:sp macro="" textlink="">
          <xdr:nvSpPr>
            <xdr:cNvPr id="16424" name="Button 40" hidden="1">
              <a:extLst>
                <a:ext uri="{63B3BB69-23CF-44E3-9099-C40C66FF867C}">
                  <a14:compatExt spid="_x0000_s16424"/>
                </a:ext>
                <a:ext uri="{FF2B5EF4-FFF2-40B4-BE49-F238E27FC236}">
                  <a16:creationId xmlns:a16="http://schemas.microsoft.com/office/drawing/2014/main" id="{00000000-0008-0000-1700-0000284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海外combine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542925</xdr:colOff>
          <xdr:row>0</xdr:row>
          <xdr:rowOff>95250</xdr:rowOff>
        </xdr:from>
        <xdr:to>
          <xdr:col>8</xdr:col>
          <xdr:colOff>647700</xdr:colOff>
          <xdr:row>2</xdr:row>
          <xdr:rowOff>0</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1900-000001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属性生成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13</xdr:row>
          <xdr:rowOff>171450</xdr:rowOff>
        </xdr:from>
        <xdr:to>
          <xdr:col>0</xdr:col>
          <xdr:colOff>1381125</xdr:colOff>
          <xdr:row>15</xdr:row>
          <xdr:rowOff>47625</xdr:rowOff>
        </xdr:to>
        <xdr:sp macro="" textlink="">
          <xdr:nvSpPr>
            <xdr:cNvPr id="186370" name="Button 2" hidden="1">
              <a:extLst>
                <a:ext uri="{63B3BB69-23CF-44E3-9099-C40C66FF867C}">
                  <a14:compatExt spid="_x0000_s186370"/>
                </a:ext>
                <a:ext uri="{FF2B5EF4-FFF2-40B4-BE49-F238E27FC236}">
                  <a16:creationId xmlns:a16="http://schemas.microsoft.com/office/drawing/2014/main" id="{00000000-0008-0000-1A00-000002D802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全部表头更新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10</xdr:row>
          <xdr:rowOff>190500</xdr:rowOff>
        </xdr:from>
        <xdr:to>
          <xdr:col>0</xdr:col>
          <xdr:colOff>1400175</xdr:colOff>
          <xdr:row>12</xdr:row>
          <xdr:rowOff>66675</xdr:rowOff>
        </xdr:to>
        <xdr:sp macro="" textlink="">
          <xdr:nvSpPr>
            <xdr:cNvPr id="186371" name="Button 3" hidden="1">
              <a:extLst>
                <a:ext uri="{63B3BB69-23CF-44E3-9099-C40C66FF867C}">
                  <a14:compatExt spid="_x0000_s186371"/>
                </a:ext>
                <a:ext uri="{FF2B5EF4-FFF2-40B4-BE49-F238E27FC236}">
                  <a16:creationId xmlns:a16="http://schemas.microsoft.com/office/drawing/2014/main" id="{00000000-0008-0000-1A00-000003D802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4行表头skip检查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0</xdr:row>
          <xdr:rowOff>57150</xdr:rowOff>
        </xdr:from>
        <xdr:to>
          <xdr:col>3</xdr:col>
          <xdr:colOff>1666875</xdr:colOff>
          <xdr:row>0</xdr:row>
          <xdr:rowOff>352425</xdr:rowOff>
        </xdr:to>
        <xdr:sp macro="" textlink="">
          <xdr:nvSpPr>
            <xdr:cNvPr id="186372" name="Button 4" hidden="1">
              <a:extLst>
                <a:ext uri="{63B3BB69-23CF-44E3-9099-C40C66FF867C}">
                  <a14:compatExt spid="_x0000_s186372"/>
                </a:ext>
                <a:ext uri="{FF2B5EF4-FFF2-40B4-BE49-F238E27FC236}">
                  <a16:creationId xmlns:a16="http://schemas.microsoft.com/office/drawing/2014/main" id="{00000000-0008-0000-1A00-000004D802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以下表头更新</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200025</xdr:colOff>
          <xdr:row>8</xdr:row>
          <xdr:rowOff>28575</xdr:rowOff>
        </xdr:from>
        <xdr:to>
          <xdr:col>2</xdr:col>
          <xdr:colOff>1447800</xdr:colOff>
          <xdr:row>9</xdr:row>
          <xdr:rowOff>180975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1C00-0000010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更新主线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2095500</xdr:colOff>
          <xdr:row>8</xdr:row>
          <xdr:rowOff>28575</xdr:rowOff>
        </xdr:from>
        <xdr:to>
          <xdr:col>2</xdr:col>
          <xdr:colOff>3124200</xdr:colOff>
          <xdr:row>9</xdr:row>
          <xdr:rowOff>180975</xdr:rowOff>
        </xdr:to>
        <xdr:sp macro="" textlink="">
          <xdr:nvSpPr>
            <xdr:cNvPr id="198658" name="Button 2" hidden="1">
              <a:extLst>
                <a:ext uri="{63B3BB69-23CF-44E3-9099-C40C66FF867C}">
                  <a14:compatExt spid="_x0000_s198658"/>
                </a:ext>
                <a:ext uri="{FF2B5EF4-FFF2-40B4-BE49-F238E27FC236}">
                  <a16:creationId xmlns:a16="http://schemas.microsoft.com/office/drawing/2014/main" id="{00000000-0008-0000-1C00-0000020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选择关卡文案</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876300</xdr:colOff>
          <xdr:row>3</xdr:row>
          <xdr:rowOff>28575</xdr:rowOff>
        </xdr:from>
        <xdr:to>
          <xdr:col>2</xdr:col>
          <xdr:colOff>1847850</xdr:colOff>
          <xdr:row>3</xdr:row>
          <xdr:rowOff>371475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F00-000001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生成下载列表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0</xdr:row>
          <xdr:rowOff>38100</xdr:rowOff>
        </xdr:from>
        <xdr:to>
          <xdr:col>3</xdr:col>
          <xdr:colOff>1162050</xdr:colOff>
          <xdr:row>0</xdr:row>
          <xdr:rowOff>352425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1F00-000003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选择日语文件夹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1</xdr:row>
          <xdr:rowOff>38100</xdr:rowOff>
        </xdr:from>
        <xdr:to>
          <xdr:col>3</xdr:col>
          <xdr:colOff>1162050</xdr:colOff>
          <xdr:row>1</xdr:row>
          <xdr:rowOff>352425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1F00-000004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选择英语文件夹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2</xdr:row>
          <xdr:rowOff>38100</xdr:rowOff>
        </xdr:from>
        <xdr:to>
          <xdr:col>3</xdr:col>
          <xdr:colOff>1162050</xdr:colOff>
          <xdr:row>2</xdr:row>
          <xdr:rowOff>352425</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1F00-000005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选择汉语文件夹</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161925</xdr:colOff>
          <xdr:row>6</xdr:row>
          <xdr:rowOff>57150</xdr:rowOff>
        </xdr:from>
        <xdr:to>
          <xdr:col>4</xdr:col>
          <xdr:colOff>533400</xdr:colOff>
          <xdr:row>7</xdr:row>
          <xdr:rowOff>142875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2000-0000016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音频修改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3</xdr:row>
          <xdr:rowOff>66675</xdr:rowOff>
        </xdr:from>
        <xdr:to>
          <xdr:col>4</xdr:col>
          <xdr:colOff>533400</xdr:colOff>
          <xdr:row>4</xdr:row>
          <xdr:rowOff>161925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2000-0000026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文件存在检查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9</xdr:row>
          <xdr:rowOff>0</xdr:rowOff>
        </xdr:from>
        <xdr:to>
          <xdr:col>4</xdr:col>
          <xdr:colOff>590550</xdr:colOff>
          <xdr:row>10</xdr:row>
          <xdr:rowOff>85725</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2000-0000046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批量获取文件名</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osslovedesign/&#22269;&#20869;&#29256;&#26412;&#35745;&#21010;/&#31574;&#21010;wiki/&#31574;&#21010;&#24037;&#20855;/&#34920;&#26684;&#24037;&#20855;v2%20-%20&#21103;&#264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目录"/>
      <sheetName val="活动配置"/>
      <sheetName val="宠物动作"/>
      <sheetName val="捞文本配置"/>
      <sheetName val="卡牌数据迁移"/>
      <sheetName val="卡牌本地化解析"/>
      <sheetName val="资源迁移"/>
      <sheetName val="礼包参数配置"/>
      <sheetName val="东南亚礼包"/>
      <sheetName val="韩服礼包"/>
      <sheetName val="日服礼包"/>
      <sheetName val="台服礼包"/>
      <sheetName val="欧美礼包"/>
      <sheetName val="越南礼包"/>
      <sheetName val="24小时数据生成"/>
      <sheetName val="数据有效性"/>
      <sheetName val="宠物资源映射"/>
      <sheetName val="宠物有效性"/>
      <sheetName val="宠物标签"/>
      <sheetName val="宠物模型"/>
      <sheetName val="宠物动作参考"/>
      <sheetName val="宠物扭蛋奖励【弃】"/>
      <sheetName val="宠物扭蛋"/>
      <sheetName val="卡牌生成"/>
      <sheetName val="卡牌QA"/>
      <sheetName val="卡牌数值"/>
      <sheetName val="表头说明"/>
      <sheetName val="活动flag"/>
      <sheetName val="主线章节"/>
      <sheetName val="主线关卡"/>
      <sheetName val="Sheet1"/>
      <sheetName val="下载列表生成"/>
      <sheetName val="资源检查&amp;修改"/>
      <sheetName val="表格工具v2 - 副本"/>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ctrlProp" Target="../ctrlProps/ctrlProp45.xml"/><Relationship Id="rId39" Type="http://schemas.openxmlformats.org/officeDocument/2006/relationships/ctrlProp" Target="../ctrlProps/ctrlProp58.xml"/><Relationship Id="rId3" Type="http://schemas.openxmlformats.org/officeDocument/2006/relationships/vmlDrawing" Target="../drawings/vmlDrawing2.vml"/><Relationship Id="rId21" Type="http://schemas.openxmlformats.org/officeDocument/2006/relationships/ctrlProp" Target="../ctrlProps/ctrlProp40.xml"/><Relationship Id="rId34" Type="http://schemas.openxmlformats.org/officeDocument/2006/relationships/ctrlProp" Target="../ctrlProps/ctrlProp53.xml"/><Relationship Id="rId42" Type="http://schemas.openxmlformats.org/officeDocument/2006/relationships/ctrlProp" Target="../ctrlProps/ctrlProp61.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33" Type="http://schemas.openxmlformats.org/officeDocument/2006/relationships/ctrlProp" Target="../ctrlProps/ctrlProp52.xml"/><Relationship Id="rId38"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35.xml"/><Relationship Id="rId20" Type="http://schemas.openxmlformats.org/officeDocument/2006/relationships/ctrlProp" Target="../ctrlProps/ctrlProp39.xml"/><Relationship Id="rId29" Type="http://schemas.openxmlformats.org/officeDocument/2006/relationships/ctrlProp" Target="../ctrlProps/ctrlProp48.xml"/><Relationship Id="rId41" Type="http://schemas.openxmlformats.org/officeDocument/2006/relationships/ctrlProp" Target="../ctrlProps/ctrlProp60.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32" Type="http://schemas.openxmlformats.org/officeDocument/2006/relationships/ctrlProp" Target="../ctrlProps/ctrlProp51.xml"/><Relationship Id="rId37" Type="http://schemas.openxmlformats.org/officeDocument/2006/relationships/ctrlProp" Target="../ctrlProps/ctrlProp56.xml"/><Relationship Id="rId40" Type="http://schemas.openxmlformats.org/officeDocument/2006/relationships/ctrlProp" Target="../ctrlProps/ctrlProp59.xml"/><Relationship Id="rId5" Type="http://schemas.openxmlformats.org/officeDocument/2006/relationships/ctrlProp" Target="../ctrlProps/ctrlProp24.xml"/><Relationship Id="rId15" Type="http://schemas.openxmlformats.org/officeDocument/2006/relationships/ctrlProp" Target="../ctrlProps/ctrlProp34.xml"/><Relationship Id="rId23" Type="http://schemas.openxmlformats.org/officeDocument/2006/relationships/ctrlProp" Target="../ctrlProps/ctrlProp42.xml"/><Relationship Id="rId28" Type="http://schemas.openxmlformats.org/officeDocument/2006/relationships/ctrlProp" Target="../ctrlProps/ctrlProp47.xml"/><Relationship Id="rId36" Type="http://schemas.openxmlformats.org/officeDocument/2006/relationships/ctrlProp" Target="../ctrlProps/ctrlProp55.xml"/><Relationship Id="rId10" Type="http://schemas.openxmlformats.org/officeDocument/2006/relationships/ctrlProp" Target="../ctrlProps/ctrlProp29.xml"/><Relationship Id="rId19" Type="http://schemas.openxmlformats.org/officeDocument/2006/relationships/ctrlProp" Target="../ctrlProps/ctrlProp38.xml"/><Relationship Id="rId31" Type="http://schemas.openxmlformats.org/officeDocument/2006/relationships/ctrlProp" Target="../ctrlProps/ctrlProp50.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ctrlProp" Target="../ctrlProps/ctrlProp46.xml"/><Relationship Id="rId30" Type="http://schemas.openxmlformats.org/officeDocument/2006/relationships/ctrlProp" Target="../ctrlProps/ctrlProp49.xml"/><Relationship Id="rId35" Type="http://schemas.openxmlformats.org/officeDocument/2006/relationships/ctrlProp" Target="../ctrlProps/ctrlProp54.xml"/><Relationship Id="rId4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vmlDrawing" Target="../drawings/vmlDrawing4.v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omments" Target="../comments4.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8.xml"/><Relationship Id="rId3" Type="http://schemas.openxmlformats.org/officeDocument/2006/relationships/ctrlProp" Target="../ctrlProps/ctrlProp73.xml"/><Relationship Id="rId7" Type="http://schemas.openxmlformats.org/officeDocument/2006/relationships/ctrlProp" Target="../ctrlProps/ctrlProp77.xml"/><Relationship Id="rId2" Type="http://schemas.openxmlformats.org/officeDocument/2006/relationships/vmlDrawing" Target="../drawings/vmlDrawing5.vml"/><Relationship Id="rId1" Type="http://schemas.openxmlformats.org/officeDocument/2006/relationships/drawing" Target="../drawings/drawing4.xml"/><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omments" Target="../comments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8.vml"/><Relationship Id="rId1" Type="http://schemas.openxmlformats.org/officeDocument/2006/relationships/drawing" Target="../drawings/drawing7.xml"/><Relationship Id="rId6" Type="http://schemas.openxmlformats.org/officeDocument/2006/relationships/comments" Target="../comments6.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7.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10.vml"/><Relationship Id="rId1" Type="http://schemas.openxmlformats.org/officeDocument/2006/relationships/drawing" Target="../drawings/drawing9.xml"/><Relationship Id="rId6" Type="http://schemas.openxmlformats.org/officeDocument/2006/relationships/comments" Target="../comments8.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11.vml"/><Relationship Id="rId1" Type="http://schemas.openxmlformats.org/officeDocument/2006/relationships/drawing" Target="../drawings/drawing10.xml"/><Relationship Id="rId6" Type="http://schemas.openxmlformats.org/officeDocument/2006/relationships/comments" Target="../comments9.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97.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omments" Target="../comments1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00.xml"/><Relationship Id="rId2" Type="http://schemas.openxmlformats.org/officeDocument/2006/relationships/vmlDrawing" Target="../drawings/vmlDrawing13.vml"/><Relationship Id="rId1" Type="http://schemas.openxmlformats.org/officeDocument/2006/relationships/drawing" Target="../drawings/drawing12.xml"/><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10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4.xml"/><Relationship Id="rId1" Type="http://schemas.openxmlformats.org/officeDocument/2006/relationships/printerSettings" Target="../printerSettings/printerSettings6.bin"/><Relationship Id="rId4" Type="http://schemas.openxmlformats.org/officeDocument/2006/relationships/ctrlProp" Target="../ctrlProps/ctrlProp10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7.bin"/><Relationship Id="rId6" Type="http://schemas.openxmlformats.org/officeDocument/2006/relationships/comments" Target="../comments12.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6.xml"/><Relationship Id="rId1" Type="http://schemas.openxmlformats.org/officeDocument/2006/relationships/printerSettings" Target="../printerSettings/printerSettings8.bin"/><Relationship Id="rId5" Type="http://schemas.openxmlformats.org/officeDocument/2006/relationships/comments" Target="../comments13.xml"/><Relationship Id="rId4" Type="http://schemas.openxmlformats.org/officeDocument/2006/relationships/ctrlProp" Target="../ctrlProps/ctrlProp108.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9.vml"/><Relationship Id="rId7" Type="http://schemas.openxmlformats.org/officeDocument/2006/relationships/ctrlProp" Target="../ctrlProps/ctrlProp112.xml"/><Relationship Id="rId2" Type="http://schemas.openxmlformats.org/officeDocument/2006/relationships/drawing" Target="../drawings/drawing17.xml"/><Relationship Id="rId1" Type="http://schemas.openxmlformats.org/officeDocument/2006/relationships/printerSettings" Target="../printerSettings/printerSettings9.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13.xml"/><Relationship Id="rId2" Type="http://schemas.openxmlformats.org/officeDocument/2006/relationships/vmlDrawing" Target="../drawings/vmlDrawing20.vml"/><Relationship Id="rId1"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21.vml"/><Relationship Id="rId1" Type="http://schemas.openxmlformats.org/officeDocument/2006/relationships/drawing" Target="../drawings/drawing19.xml"/><Relationship Id="rId6" Type="http://schemas.openxmlformats.org/officeDocument/2006/relationships/comments" Target="../comments15.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2.v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17.xml"/><Relationship Id="rId2" Type="http://schemas.openxmlformats.org/officeDocument/2006/relationships/vmlDrawing" Target="../drawings/vmlDrawing23.vml"/><Relationship Id="rId1" Type="http://schemas.openxmlformats.org/officeDocument/2006/relationships/drawing" Target="../drawings/drawing20.xml"/><Relationship Id="rId5" Type="http://schemas.openxmlformats.org/officeDocument/2006/relationships/comments" Target="../comments17.xml"/><Relationship Id="rId4" Type="http://schemas.openxmlformats.org/officeDocument/2006/relationships/ctrlProp" Target="../ctrlProps/ctrlProp118.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19.xml"/><Relationship Id="rId7"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drawing" Target="../drawings/drawing21.xml"/><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19.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35"/>
  <sheetViews>
    <sheetView workbookViewId="0">
      <selection activeCell="A16" sqref="A16"/>
    </sheetView>
  </sheetViews>
  <sheetFormatPr defaultColWidth="9" defaultRowHeight="16.5"/>
  <cols>
    <col min="1" max="1" width="38.125" customWidth="1"/>
    <col min="2" max="2" width="35.875" customWidth="1"/>
    <col min="3" max="3" width="19.375" customWidth="1"/>
    <col min="4" max="4" width="13.25" customWidth="1"/>
    <col min="5" max="5" width="13.625" customWidth="1"/>
    <col min="6" max="6" width="11.375" customWidth="1"/>
    <col min="7" max="7" width="13.125" customWidth="1"/>
    <col min="8" max="8" width="10.875" style="2" customWidth="1"/>
    <col min="9" max="9" width="9.625" style="2" customWidth="1"/>
    <col min="10" max="10" width="8" style="2" customWidth="1"/>
    <col min="11" max="11" width="11.125" style="2" customWidth="1"/>
    <col min="12" max="12" width="7.25" style="2" customWidth="1"/>
    <col min="13" max="13" width="11.375" style="2" customWidth="1"/>
    <col min="14" max="14" width="9.375" customWidth="1"/>
    <col min="15" max="15" width="8" customWidth="1"/>
  </cols>
  <sheetData>
    <row r="1" spans="1:12" ht="32.25" customHeight="1">
      <c r="A1" s="24" t="s">
        <v>593</v>
      </c>
      <c r="D1" s="25" t="s">
        <v>0</v>
      </c>
      <c r="E1" s="5" t="s">
        <v>1</v>
      </c>
      <c r="F1" s="5"/>
      <c r="G1" s="5"/>
    </row>
    <row r="2" spans="1:12" ht="32.25" customHeight="1">
      <c r="D2" s="25" t="s">
        <v>594</v>
      </c>
      <c r="E2" s="5" t="s">
        <v>2</v>
      </c>
      <c r="F2" s="5"/>
      <c r="G2" s="5"/>
    </row>
    <row r="3" spans="1:12" ht="32.25" customHeight="1">
      <c r="A3" s="24" t="s">
        <v>3777</v>
      </c>
      <c r="D3" s="25" t="s">
        <v>595</v>
      </c>
      <c r="E3" s="26" t="s">
        <v>596</v>
      </c>
      <c r="F3" s="26" t="s">
        <v>597</v>
      </c>
      <c r="G3" s="26" t="s">
        <v>598</v>
      </c>
      <c r="H3" s="175" t="s">
        <v>5129</v>
      </c>
      <c r="I3" s="243" t="s">
        <v>6253</v>
      </c>
      <c r="J3" s="182"/>
    </row>
    <row r="4" spans="1:12" ht="32.25" customHeight="1">
      <c r="D4" s="25" t="s">
        <v>599</v>
      </c>
      <c r="E4" s="5" t="s">
        <v>600</v>
      </c>
      <c r="F4" s="26" t="s">
        <v>601</v>
      </c>
      <c r="G4" s="5" t="s">
        <v>602</v>
      </c>
      <c r="H4" s="26" t="s">
        <v>603</v>
      </c>
      <c r="I4" s="5" t="s">
        <v>604</v>
      </c>
      <c r="J4" s="2" t="s">
        <v>605</v>
      </c>
      <c r="K4" s="2" t="s">
        <v>606</v>
      </c>
    </row>
    <row r="5" spans="1:12" ht="32.25" customHeight="1">
      <c r="A5" s="24" t="s">
        <v>151</v>
      </c>
      <c r="D5" s="25" t="s">
        <v>607</v>
      </c>
      <c r="E5" s="26" t="s">
        <v>608</v>
      </c>
      <c r="F5" s="26"/>
      <c r="G5" s="26"/>
      <c r="H5" s="27"/>
    </row>
    <row r="6" spans="1:12" ht="32.25" customHeight="1">
      <c r="A6" s="4" t="s">
        <v>152</v>
      </c>
      <c r="D6" s="25" t="s">
        <v>609</v>
      </c>
      <c r="E6" s="26" t="s">
        <v>610</v>
      </c>
      <c r="F6" s="26" t="s">
        <v>611</v>
      </c>
      <c r="G6" s="26" t="s">
        <v>612</v>
      </c>
      <c r="H6" s="27"/>
    </row>
    <row r="7" spans="1:12" ht="32.25" customHeight="1">
      <c r="D7" s="25" t="s">
        <v>613</v>
      </c>
      <c r="E7" s="5" t="s">
        <v>614</v>
      </c>
      <c r="F7" s="26" t="s">
        <v>615</v>
      </c>
      <c r="G7" s="26" t="s">
        <v>616</v>
      </c>
      <c r="H7" s="26" t="s">
        <v>617</v>
      </c>
      <c r="I7" s="30"/>
      <c r="J7" s="30"/>
      <c r="K7" s="27"/>
      <c r="L7" s="27"/>
    </row>
    <row r="8" spans="1:12" ht="32.25" customHeight="1">
      <c r="A8" s="24" t="s">
        <v>618</v>
      </c>
      <c r="B8" s="28" t="s">
        <v>6256</v>
      </c>
      <c r="D8" s="25" t="s">
        <v>619</v>
      </c>
      <c r="E8" s="29" t="s">
        <v>620</v>
      </c>
      <c r="F8" s="29" t="s">
        <v>621</v>
      </c>
      <c r="G8" s="29" t="s">
        <v>622</v>
      </c>
      <c r="H8" s="100" t="s">
        <v>3836</v>
      </c>
      <c r="I8" s="104" t="s">
        <v>4015</v>
      </c>
      <c r="J8" s="119" t="s">
        <v>4222</v>
      </c>
      <c r="K8" s="141" t="s">
        <v>4689</v>
      </c>
      <c r="L8" s="141"/>
    </row>
    <row r="9" spans="1:12" ht="32.25" customHeight="1">
      <c r="A9" s="242" t="s">
        <v>6252</v>
      </c>
      <c r="B9" s="244" t="s">
        <v>6255</v>
      </c>
      <c r="D9" s="25" t="s">
        <v>5690</v>
      </c>
      <c r="E9" s="203" t="s">
        <v>5691</v>
      </c>
      <c r="F9" s="203"/>
      <c r="G9" s="26"/>
      <c r="H9" s="27"/>
    </row>
    <row r="10" spans="1:12" ht="32.25" customHeight="1">
      <c r="A10" s="28" t="s">
        <v>3326</v>
      </c>
      <c r="B10" s="28"/>
      <c r="D10" s="241"/>
      <c r="E10" s="240"/>
    </row>
    <row r="11" spans="1:12" ht="32.25" customHeight="1">
      <c r="A11" s="184" t="s">
        <v>5286</v>
      </c>
    </row>
    <row r="12" spans="1:12" ht="32.25" customHeight="1">
      <c r="A12" s="24" t="s">
        <v>623</v>
      </c>
      <c r="B12" s="28"/>
    </row>
    <row r="13" spans="1:12" ht="32.25" customHeight="1">
      <c r="A13" s="4" t="s">
        <v>7176</v>
      </c>
    </row>
    <row r="14" spans="1:12" ht="32.25" customHeight="1">
      <c r="A14" s="24" t="s">
        <v>624</v>
      </c>
      <c r="B14" s="28"/>
    </row>
    <row r="15" spans="1:12" ht="32.25" customHeight="1">
      <c r="A15" t="s">
        <v>5716</v>
      </c>
    </row>
    <row r="16" spans="1:12" ht="32.25" customHeight="1">
      <c r="A16" s="24" t="s">
        <v>625</v>
      </c>
      <c r="B16" s="28"/>
    </row>
    <row r="17" spans="1:2" ht="32.25" customHeight="1">
      <c r="A17" t="s">
        <v>6971</v>
      </c>
    </row>
    <row r="18" spans="1:2" ht="32.25" customHeight="1">
      <c r="A18" s="24" t="s">
        <v>626</v>
      </c>
      <c r="B18" s="28"/>
    </row>
    <row r="19" spans="1:2" ht="32.25" customHeight="1">
      <c r="A19" s="4" t="s">
        <v>5232</v>
      </c>
    </row>
    <row r="20" spans="1:2" ht="32.25" customHeight="1">
      <c r="A20" s="24" t="s">
        <v>627</v>
      </c>
      <c r="B20" s="28"/>
    </row>
    <row r="21" spans="1:2" ht="32.25" customHeight="1"/>
    <row r="22" spans="1:2" ht="32.25" customHeight="1">
      <c r="A22" s="24" t="s">
        <v>628</v>
      </c>
      <c r="B22" s="28"/>
    </row>
    <row r="23" spans="1:2" ht="32.25" customHeight="1">
      <c r="A23" t="s">
        <v>7016</v>
      </c>
    </row>
    <row r="24" spans="1:2" ht="32.25" customHeight="1">
      <c r="A24" s="24" t="s">
        <v>629</v>
      </c>
    </row>
    <row r="25" spans="1:2" ht="32.25" customHeight="1">
      <c r="A25" t="s">
        <v>5226</v>
      </c>
    </row>
    <row r="26" spans="1:2" ht="32.25" customHeight="1">
      <c r="A26" s="24" t="s">
        <v>4021</v>
      </c>
      <c r="B26" s="28"/>
    </row>
    <row r="27" spans="1:2" ht="32.25" customHeight="1">
      <c r="A27" t="s">
        <v>6995</v>
      </c>
    </row>
    <row r="28" spans="1:2" ht="32.25" customHeight="1">
      <c r="A28" s="24"/>
    </row>
    <row r="29" spans="1:2" ht="32.25" customHeight="1"/>
    <row r="30" spans="1:2" ht="32.25" customHeight="1"/>
    <row r="31" spans="1:2" ht="32.25" customHeight="1"/>
    <row r="32" spans="1:2" ht="32.25" customHeight="1"/>
    <row r="33" ht="32.25" customHeight="1"/>
    <row r="34" ht="32.25" customHeight="1"/>
    <row r="35" ht="32.25" customHeight="1"/>
  </sheetData>
  <phoneticPr fontId="7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页签筛选_显示所有表">
                <anchor moveWithCells="1" sizeWithCells="1">
                  <from>
                    <xdr:col>2</xdr:col>
                    <xdr:colOff>228600</xdr:colOff>
                    <xdr:row>0</xdr:row>
                    <xdr:rowOff>38100</xdr:rowOff>
                  </from>
                  <to>
                    <xdr:col>2</xdr:col>
                    <xdr:colOff>1343025</xdr:colOff>
                    <xdr:row>0</xdr:row>
                    <xdr:rowOff>342900</xdr:rowOff>
                  </to>
                </anchor>
              </controlPr>
            </control>
          </mc:Choice>
        </mc:AlternateContent>
        <mc:AlternateContent xmlns:mc="http://schemas.openxmlformats.org/markup-compatibility/2006">
          <mc:Choice Requires="x14">
            <control shapeId="1062" r:id="rId5" name="Button 38">
              <controlPr defaultSize="0" print="0" autoPict="0" macro="[0]!页签筛选_显示本行表">
                <anchor moveWithCells="1" sizeWithCells="1">
                  <from>
                    <xdr:col>2</xdr:col>
                    <xdr:colOff>219075</xdr:colOff>
                    <xdr:row>1</xdr:row>
                    <xdr:rowOff>38100</xdr:rowOff>
                  </from>
                  <to>
                    <xdr:col>2</xdr:col>
                    <xdr:colOff>1343025</xdr:colOff>
                    <xdr:row>1</xdr:row>
                    <xdr:rowOff>342900</xdr:rowOff>
                  </to>
                </anchor>
              </controlPr>
            </control>
          </mc:Choice>
        </mc:AlternateContent>
        <mc:AlternateContent xmlns:mc="http://schemas.openxmlformats.org/markup-compatibility/2006">
          <mc:Choice Requires="x14">
            <control shapeId="1075" r:id="rId6" name="Button 51">
              <controlPr defaultSize="0" print="0" autoPict="0" macro="[0]!目录_选择python目录">
                <anchor moveWithCells="1" sizeWithCells="1">
                  <from>
                    <xdr:col>0</xdr:col>
                    <xdr:colOff>1419225</xdr:colOff>
                    <xdr:row>0</xdr:row>
                    <xdr:rowOff>38100</xdr:rowOff>
                  </from>
                  <to>
                    <xdr:col>0</xdr:col>
                    <xdr:colOff>2447925</xdr:colOff>
                    <xdr:row>0</xdr:row>
                    <xdr:rowOff>342900</xdr:rowOff>
                  </to>
                </anchor>
              </controlPr>
            </control>
          </mc:Choice>
        </mc:AlternateContent>
        <mc:AlternateContent xmlns:mc="http://schemas.openxmlformats.org/markup-compatibility/2006">
          <mc:Choice Requires="x14">
            <control shapeId="1079" r:id="rId7" name="Button 55">
              <controlPr defaultSize="0" print="0" autoPict="0" macro="[0]!目录_选择配置目录">
                <anchor moveWithCells="1" sizeWithCells="1">
                  <from>
                    <xdr:col>0</xdr:col>
                    <xdr:colOff>1390650</xdr:colOff>
                    <xdr:row>19</xdr:row>
                    <xdr:rowOff>38100</xdr:rowOff>
                  </from>
                  <to>
                    <xdr:col>0</xdr:col>
                    <xdr:colOff>2419350</xdr:colOff>
                    <xdr:row>19</xdr:row>
                    <xdr:rowOff>342900</xdr:rowOff>
                  </to>
                </anchor>
              </controlPr>
            </control>
          </mc:Choice>
        </mc:AlternateContent>
        <mc:AlternateContent xmlns:mc="http://schemas.openxmlformats.org/markup-compatibility/2006">
          <mc:Choice Requires="x14">
            <control shapeId="1085" r:id="rId8" name="Button 61">
              <controlPr defaultSize="0" print="0" autoPict="0" macro="[0]!目录_选择配置目录">
                <anchor moveWithCells="1" sizeWithCells="1">
                  <from>
                    <xdr:col>0</xdr:col>
                    <xdr:colOff>1390650</xdr:colOff>
                    <xdr:row>9</xdr:row>
                    <xdr:rowOff>38100</xdr:rowOff>
                  </from>
                  <to>
                    <xdr:col>0</xdr:col>
                    <xdr:colOff>2419350</xdr:colOff>
                    <xdr:row>9</xdr:row>
                    <xdr:rowOff>342900</xdr:rowOff>
                  </to>
                </anchor>
              </controlPr>
            </control>
          </mc:Choice>
        </mc:AlternateContent>
        <mc:AlternateContent xmlns:mc="http://schemas.openxmlformats.org/markup-compatibility/2006">
          <mc:Choice Requires="x14">
            <control shapeId="1089" r:id="rId9" name="Button 65">
              <controlPr defaultSize="0" print="0" autoPict="0" macro="[0]!目录_选择配置目录">
                <anchor moveWithCells="1" sizeWithCells="1">
                  <from>
                    <xdr:col>0</xdr:col>
                    <xdr:colOff>1390650</xdr:colOff>
                    <xdr:row>21</xdr:row>
                    <xdr:rowOff>38100</xdr:rowOff>
                  </from>
                  <to>
                    <xdr:col>0</xdr:col>
                    <xdr:colOff>2419350</xdr:colOff>
                    <xdr:row>21</xdr:row>
                    <xdr:rowOff>342900</xdr:rowOff>
                  </to>
                </anchor>
              </controlPr>
            </control>
          </mc:Choice>
        </mc:AlternateContent>
        <mc:AlternateContent xmlns:mc="http://schemas.openxmlformats.org/markup-compatibility/2006">
          <mc:Choice Requires="x14">
            <control shapeId="1091" r:id="rId10" name="Button 67">
              <controlPr defaultSize="0" print="0" autoPict="0" macro="[0]!目录_选择配置目录">
                <anchor moveWithCells="1" sizeWithCells="1">
                  <from>
                    <xdr:col>0</xdr:col>
                    <xdr:colOff>1390650</xdr:colOff>
                    <xdr:row>11</xdr:row>
                    <xdr:rowOff>38100</xdr:rowOff>
                  </from>
                  <to>
                    <xdr:col>0</xdr:col>
                    <xdr:colOff>2419350</xdr:colOff>
                    <xdr:row>11</xdr:row>
                    <xdr:rowOff>342900</xdr:rowOff>
                  </to>
                </anchor>
              </controlPr>
            </control>
          </mc:Choice>
        </mc:AlternateContent>
        <mc:AlternateContent xmlns:mc="http://schemas.openxmlformats.org/markup-compatibility/2006">
          <mc:Choice Requires="x14">
            <control shapeId="1095" r:id="rId11" name="Button 71">
              <controlPr defaultSize="0" print="0" autoPict="0" macro="[0]!目录_选择配置目录">
                <anchor moveWithCells="1" sizeWithCells="1">
                  <from>
                    <xdr:col>0</xdr:col>
                    <xdr:colOff>1390650</xdr:colOff>
                    <xdr:row>13</xdr:row>
                    <xdr:rowOff>38100</xdr:rowOff>
                  </from>
                  <to>
                    <xdr:col>0</xdr:col>
                    <xdr:colOff>2419350</xdr:colOff>
                    <xdr:row>13</xdr:row>
                    <xdr:rowOff>342900</xdr:rowOff>
                  </to>
                </anchor>
              </controlPr>
            </control>
          </mc:Choice>
        </mc:AlternateContent>
        <mc:AlternateContent xmlns:mc="http://schemas.openxmlformats.org/markup-compatibility/2006">
          <mc:Choice Requires="x14">
            <control shapeId="1097" r:id="rId12" name="Button 73">
              <controlPr defaultSize="0" print="0" autoPict="0" macro="[0]!目录_选择配置目录">
                <anchor moveWithCells="1" sizeWithCells="1">
                  <from>
                    <xdr:col>0</xdr:col>
                    <xdr:colOff>1390650</xdr:colOff>
                    <xdr:row>15</xdr:row>
                    <xdr:rowOff>38100</xdr:rowOff>
                  </from>
                  <to>
                    <xdr:col>0</xdr:col>
                    <xdr:colOff>2419350</xdr:colOff>
                    <xdr:row>15</xdr:row>
                    <xdr:rowOff>342900</xdr:rowOff>
                  </to>
                </anchor>
              </controlPr>
            </control>
          </mc:Choice>
        </mc:AlternateContent>
        <mc:AlternateContent xmlns:mc="http://schemas.openxmlformats.org/markup-compatibility/2006">
          <mc:Choice Requires="x14">
            <control shapeId="1099" r:id="rId13" name="Button 75">
              <controlPr defaultSize="0" print="0" autoPict="0" macro="[0]!目录_选择配置目录">
                <anchor moveWithCells="1" sizeWithCells="1">
                  <from>
                    <xdr:col>0</xdr:col>
                    <xdr:colOff>1390650</xdr:colOff>
                    <xdr:row>17</xdr:row>
                    <xdr:rowOff>38100</xdr:rowOff>
                  </from>
                  <to>
                    <xdr:col>0</xdr:col>
                    <xdr:colOff>2419350</xdr:colOff>
                    <xdr:row>17</xdr:row>
                    <xdr:rowOff>342900</xdr:rowOff>
                  </to>
                </anchor>
              </controlPr>
            </control>
          </mc:Choice>
        </mc:AlternateContent>
        <mc:AlternateContent xmlns:mc="http://schemas.openxmlformats.org/markup-compatibility/2006">
          <mc:Choice Requires="x14">
            <control shapeId="1103" r:id="rId14" name="Button 79">
              <controlPr defaultSize="0" print="0" autoPict="0" macro="[0]!目录_选择配置目录">
                <anchor moveWithCells="1" sizeWithCells="1">
                  <from>
                    <xdr:col>0</xdr:col>
                    <xdr:colOff>1390650</xdr:colOff>
                    <xdr:row>7</xdr:row>
                    <xdr:rowOff>38100</xdr:rowOff>
                  </from>
                  <to>
                    <xdr:col>0</xdr:col>
                    <xdr:colOff>2419350</xdr:colOff>
                    <xdr:row>7</xdr:row>
                    <xdr:rowOff>342900</xdr:rowOff>
                  </to>
                </anchor>
              </controlPr>
            </control>
          </mc:Choice>
        </mc:AlternateContent>
        <mc:AlternateContent xmlns:mc="http://schemas.openxmlformats.org/markup-compatibility/2006">
          <mc:Choice Requires="x14">
            <control shapeId="1124" r:id="rId15" name="Button 100">
              <controlPr defaultSize="0" print="0" autoPict="0" macro="[0]!礼包_选择国服目录">
                <anchor moveWithCells="1" sizeWithCells="1">
                  <from>
                    <xdr:col>1</xdr:col>
                    <xdr:colOff>1390650</xdr:colOff>
                    <xdr:row>7</xdr:row>
                    <xdr:rowOff>38100</xdr:rowOff>
                  </from>
                  <to>
                    <xdr:col>1</xdr:col>
                    <xdr:colOff>2543175</xdr:colOff>
                    <xdr:row>7</xdr:row>
                    <xdr:rowOff>342900</xdr:rowOff>
                  </to>
                </anchor>
              </controlPr>
            </control>
          </mc:Choice>
        </mc:AlternateContent>
        <mc:AlternateContent xmlns:mc="http://schemas.openxmlformats.org/markup-compatibility/2006">
          <mc:Choice Requires="x14">
            <control shapeId="1136" r:id="rId16" name="Button 112">
              <controlPr defaultSize="0" print="0" autoPict="0" macro="[0]!页签筛选_显示本行表">
                <anchor moveWithCells="1" sizeWithCells="1">
                  <from>
                    <xdr:col>2</xdr:col>
                    <xdr:colOff>219075</xdr:colOff>
                    <xdr:row>2</xdr:row>
                    <xdr:rowOff>38100</xdr:rowOff>
                  </from>
                  <to>
                    <xdr:col>2</xdr:col>
                    <xdr:colOff>1343025</xdr:colOff>
                    <xdr:row>2</xdr:row>
                    <xdr:rowOff>342900</xdr:rowOff>
                  </to>
                </anchor>
              </controlPr>
            </control>
          </mc:Choice>
        </mc:AlternateContent>
        <mc:AlternateContent xmlns:mc="http://schemas.openxmlformats.org/markup-compatibility/2006">
          <mc:Choice Requires="x14">
            <control shapeId="1137" r:id="rId17" name="Button 113">
              <controlPr defaultSize="0" print="0" autoPict="0" macro="[0]!页签筛选_显示本行表">
                <anchor moveWithCells="1" sizeWithCells="1">
                  <from>
                    <xdr:col>2</xdr:col>
                    <xdr:colOff>219075</xdr:colOff>
                    <xdr:row>3</xdr:row>
                    <xdr:rowOff>38100</xdr:rowOff>
                  </from>
                  <to>
                    <xdr:col>2</xdr:col>
                    <xdr:colOff>1343025</xdr:colOff>
                    <xdr:row>3</xdr:row>
                    <xdr:rowOff>342900</xdr:rowOff>
                  </to>
                </anchor>
              </controlPr>
            </control>
          </mc:Choice>
        </mc:AlternateContent>
        <mc:AlternateContent xmlns:mc="http://schemas.openxmlformats.org/markup-compatibility/2006">
          <mc:Choice Requires="x14">
            <control shapeId="1138" r:id="rId18" name="Button 114">
              <controlPr defaultSize="0" print="0" autoPict="0" macro="[0]!页签筛选_显示本行表">
                <anchor moveWithCells="1" sizeWithCells="1">
                  <from>
                    <xdr:col>2</xdr:col>
                    <xdr:colOff>219075</xdr:colOff>
                    <xdr:row>4</xdr:row>
                    <xdr:rowOff>38100</xdr:rowOff>
                  </from>
                  <to>
                    <xdr:col>2</xdr:col>
                    <xdr:colOff>1343025</xdr:colOff>
                    <xdr:row>4</xdr:row>
                    <xdr:rowOff>342900</xdr:rowOff>
                  </to>
                </anchor>
              </controlPr>
            </control>
          </mc:Choice>
        </mc:AlternateContent>
        <mc:AlternateContent xmlns:mc="http://schemas.openxmlformats.org/markup-compatibility/2006">
          <mc:Choice Requires="x14">
            <control shapeId="1139" r:id="rId19" name="Button 115">
              <controlPr defaultSize="0" print="0" autoPict="0" macro="[0]!页签筛选_显示本行表">
                <anchor moveWithCells="1" sizeWithCells="1">
                  <from>
                    <xdr:col>2</xdr:col>
                    <xdr:colOff>219075</xdr:colOff>
                    <xdr:row>5</xdr:row>
                    <xdr:rowOff>38100</xdr:rowOff>
                  </from>
                  <to>
                    <xdr:col>2</xdr:col>
                    <xdr:colOff>1343025</xdr:colOff>
                    <xdr:row>5</xdr:row>
                    <xdr:rowOff>342900</xdr:rowOff>
                  </to>
                </anchor>
              </controlPr>
            </control>
          </mc:Choice>
        </mc:AlternateContent>
        <mc:AlternateContent xmlns:mc="http://schemas.openxmlformats.org/markup-compatibility/2006">
          <mc:Choice Requires="x14">
            <control shapeId="1140" r:id="rId20" name="Button 116">
              <controlPr defaultSize="0" print="0" autoPict="0" macro="[0]!页签筛选_显示本行表">
                <anchor moveWithCells="1" sizeWithCells="1">
                  <from>
                    <xdr:col>2</xdr:col>
                    <xdr:colOff>219075</xdr:colOff>
                    <xdr:row>6</xdr:row>
                    <xdr:rowOff>38100</xdr:rowOff>
                  </from>
                  <to>
                    <xdr:col>2</xdr:col>
                    <xdr:colOff>1343025</xdr:colOff>
                    <xdr:row>6</xdr:row>
                    <xdr:rowOff>342900</xdr:rowOff>
                  </to>
                </anchor>
              </controlPr>
            </control>
          </mc:Choice>
        </mc:AlternateContent>
        <mc:AlternateContent xmlns:mc="http://schemas.openxmlformats.org/markup-compatibility/2006">
          <mc:Choice Requires="x14">
            <control shapeId="1141" r:id="rId21" name="Button 117">
              <controlPr defaultSize="0" print="0" autoPict="0" macro="[0]!页签筛选_显示本行表">
                <anchor moveWithCells="1" sizeWithCells="1">
                  <from>
                    <xdr:col>2</xdr:col>
                    <xdr:colOff>219075</xdr:colOff>
                    <xdr:row>7</xdr:row>
                    <xdr:rowOff>38100</xdr:rowOff>
                  </from>
                  <to>
                    <xdr:col>2</xdr:col>
                    <xdr:colOff>1343025</xdr:colOff>
                    <xdr:row>7</xdr:row>
                    <xdr:rowOff>342900</xdr:rowOff>
                  </to>
                </anchor>
              </controlPr>
            </control>
          </mc:Choice>
        </mc:AlternateContent>
        <mc:AlternateContent xmlns:mc="http://schemas.openxmlformats.org/markup-compatibility/2006">
          <mc:Choice Requires="x14">
            <control shapeId="1143" r:id="rId22" name="Button 119">
              <controlPr defaultSize="0" print="0" autoPict="0" macro="[0]!目录_选择配置目录">
                <anchor moveWithCells="1" sizeWithCells="1">
                  <from>
                    <xdr:col>0</xdr:col>
                    <xdr:colOff>1390650</xdr:colOff>
                    <xdr:row>23</xdr:row>
                    <xdr:rowOff>38100</xdr:rowOff>
                  </from>
                  <to>
                    <xdr:col>0</xdr:col>
                    <xdr:colOff>2419350</xdr:colOff>
                    <xdr:row>23</xdr:row>
                    <xdr:rowOff>342900</xdr:rowOff>
                  </to>
                </anchor>
              </controlPr>
            </control>
          </mc:Choice>
        </mc:AlternateContent>
        <mc:AlternateContent xmlns:mc="http://schemas.openxmlformats.org/markup-compatibility/2006">
          <mc:Choice Requires="x14">
            <control shapeId="1145" r:id="rId23" name="Button 121">
              <controlPr defaultSize="0" print="0" autoPict="0" macro="[0]!目录_选择配置目录">
                <anchor moveWithCells="1" sizeWithCells="1">
                  <from>
                    <xdr:col>0</xdr:col>
                    <xdr:colOff>1390650</xdr:colOff>
                    <xdr:row>25</xdr:row>
                    <xdr:rowOff>38100</xdr:rowOff>
                  </from>
                  <to>
                    <xdr:col>0</xdr:col>
                    <xdr:colOff>2419350</xdr:colOff>
                    <xdr:row>25</xdr:row>
                    <xdr:rowOff>342900</xdr:rowOff>
                  </to>
                </anchor>
              </controlPr>
            </control>
          </mc:Choice>
        </mc:AlternateContent>
        <mc:AlternateContent xmlns:mc="http://schemas.openxmlformats.org/markup-compatibility/2006">
          <mc:Choice Requires="x14">
            <control shapeId="1149" r:id="rId24" name="Button 125">
              <controlPr defaultSize="0" print="0" autoPict="0" macro="[0]!页签筛选_显示本行表">
                <anchor moveWithCells="1" sizeWithCells="1">
                  <from>
                    <xdr:col>2</xdr:col>
                    <xdr:colOff>219075</xdr:colOff>
                    <xdr:row>8</xdr:row>
                    <xdr:rowOff>38100</xdr:rowOff>
                  </from>
                  <to>
                    <xdr:col>2</xdr:col>
                    <xdr:colOff>1343025</xdr:colOff>
                    <xdr:row>8</xdr:row>
                    <xdr:rowOff>342900</xdr:rowOff>
                  </to>
                </anchor>
              </controlPr>
            </control>
          </mc:Choice>
        </mc:AlternateContent>
        <mc:AlternateContent xmlns:mc="http://schemas.openxmlformats.org/markup-compatibility/2006">
          <mc:Choice Requires="x14">
            <control shapeId="1150" r:id="rId25" name="Button 126">
              <controlPr defaultSize="0" print="0" autoFill="0" autoPict="0" macro="[0]!python_删除空行">
                <anchor moveWithCells="1">
                  <from>
                    <xdr:col>1</xdr:col>
                    <xdr:colOff>714375</xdr:colOff>
                    <xdr:row>0</xdr:row>
                    <xdr:rowOff>28575</xdr:rowOff>
                  </from>
                  <to>
                    <xdr:col>1</xdr:col>
                    <xdr:colOff>1924050</xdr:colOff>
                    <xdr:row>0</xdr:row>
                    <xdr:rowOff>390525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D1:P20"/>
  <sheetViews>
    <sheetView workbookViewId="0">
      <selection activeCell="E2" sqref="E2"/>
    </sheetView>
  </sheetViews>
  <sheetFormatPr defaultColWidth="9" defaultRowHeight="16.5"/>
  <cols>
    <col min="1" max="1" width="3.25" customWidth="1"/>
    <col min="2" max="3" width="12.125" customWidth="1"/>
    <col min="4" max="4" width="16.25" customWidth="1"/>
    <col min="5" max="5" width="15.375" customWidth="1"/>
    <col min="6" max="7" width="18.875" customWidth="1"/>
    <col min="8" max="8" width="18.125" customWidth="1"/>
    <col min="9" max="9" width="18.625" customWidth="1"/>
    <col min="10" max="16" width="14.25" customWidth="1"/>
  </cols>
  <sheetData>
    <row r="1" spans="4:16" ht="30">
      <c r="D1" s="25" t="s">
        <v>0</v>
      </c>
      <c r="E1" t="s">
        <v>1</v>
      </c>
      <c r="F1" t="s">
        <v>2</v>
      </c>
    </row>
    <row r="2" spans="4:16" ht="33">
      <c r="D2" s="90" t="s">
        <v>3</v>
      </c>
      <c r="E2" s="30" t="s">
        <v>4</v>
      </c>
      <c r="F2" s="30" t="s">
        <v>5</v>
      </c>
      <c r="G2" s="30" t="s">
        <v>6</v>
      </c>
      <c r="H2" s="30" t="s">
        <v>7</v>
      </c>
      <c r="I2" s="30" t="s">
        <v>8</v>
      </c>
      <c r="J2" s="30" t="s">
        <v>9</v>
      </c>
      <c r="K2" s="30" t="s">
        <v>10</v>
      </c>
      <c r="L2" s="30" t="s">
        <v>9</v>
      </c>
      <c r="M2" s="30"/>
      <c r="N2" s="12"/>
      <c r="O2" s="73"/>
    </row>
    <row r="3" spans="4:16" ht="33">
      <c r="D3" s="90" t="s">
        <v>11</v>
      </c>
      <c r="E3" s="30" t="s">
        <v>4</v>
      </c>
      <c r="F3" s="27" t="s">
        <v>12</v>
      </c>
      <c r="G3" s="27" t="s">
        <v>13</v>
      </c>
      <c r="H3" s="27"/>
      <c r="I3" s="30"/>
      <c r="J3" s="30"/>
      <c r="K3" s="30"/>
      <c r="L3" s="12"/>
      <c r="M3" s="12"/>
      <c r="N3" s="12"/>
      <c r="O3" s="73"/>
    </row>
    <row r="4" spans="4:16" ht="33">
      <c r="D4" s="90" t="s">
        <v>14</v>
      </c>
      <c r="E4" s="27" t="s">
        <v>4</v>
      </c>
      <c r="F4" s="27" t="s">
        <v>15</v>
      </c>
      <c r="G4" s="27" t="s">
        <v>9</v>
      </c>
      <c r="H4" s="27" t="s">
        <v>7</v>
      </c>
      <c r="I4" s="30"/>
      <c r="J4" s="30"/>
      <c r="K4" s="30"/>
      <c r="L4" s="12"/>
      <c r="M4" s="12"/>
      <c r="N4" s="12"/>
      <c r="O4" s="73"/>
    </row>
    <row r="5" spans="4:16" ht="33">
      <c r="D5" s="90" t="s">
        <v>16</v>
      </c>
      <c r="E5" s="30" t="s">
        <v>4</v>
      </c>
      <c r="F5" s="30" t="s">
        <v>6</v>
      </c>
      <c r="G5" s="30" t="s">
        <v>9</v>
      </c>
      <c r="H5" s="30" t="s">
        <v>17</v>
      </c>
      <c r="I5" s="30" t="s">
        <v>18</v>
      </c>
      <c r="J5" s="30" t="s">
        <v>19</v>
      </c>
      <c r="K5" s="30" t="s">
        <v>20</v>
      </c>
      <c r="L5" s="12" t="s">
        <v>21</v>
      </c>
      <c r="N5" s="30"/>
      <c r="O5" s="12"/>
    </row>
    <row r="6" spans="4:16" ht="33">
      <c r="D6" s="90" t="s">
        <v>22</v>
      </c>
      <c r="E6" s="27" t="s">
        <v>4</v>
      </c>
      <c r="F6" s="27" t="s">
        <v>5</v>
      </c>
      <c r="G6" s="27" t="s">
        <v>6</v>
      </c>
      <c r="H6" s="27" t="s">
        <v>23</v>
      </c>
      <c r="I6" s="30" t="s">
        <v>24</v>
      </c>
      <c r="J6" s="27" t="s">
        <v>10</v>
      </c>
      <c r="K6" s="30" t="s">
        <v>25</v>
      </c>
      <c r="L6" s="30" t="s">
        <v>9</v>
      </c>
      <c r="M6" s="30" t="s">
        <v>17</v>
      </c>
      <c r="N6" s="27" t="s">
        <v>18</v>
      </c>
      <c r="O6" s="27" t="s">
        <v>19</v>
      </c>
      <c r="P6" s="30" t="s">
        <v>20</v>
      </c>
    </row>
    <row r="7" spans="4:16" ht="33">
      <c r="D7" s="90" t="s">
        <v>26</v>
      </c>
      <c r="E7" s="30" t="s">
        <v>4</v>
      </c>
      <c r="F7" s="30" t="s">
        <v>27</v>
      </c>
      <c r="G7" s="30" t="s">
        <v>28</v>
      </c>
      <c r="H7" s="30" t="s">
        <v>29</v>
      </c>
      <c r="I7" s="30" t="s">
        <v>9</v>
      </c>
      <c r="J7" s="12" t="s">
        <v>21</v>
      </c>
      <c r="K7" s="30" t="s">
        <v>5</v>
      </c>
      <c r="L7" s="12"/>
      <c r="M7" s="12"/>
      <c r="N7" s="12"/>
      <c r="O7" s="73"/>
    </row>
    <row r="8" spans="4:16" ht="33">
      <c r="D8" s="90" t="s">
        <v>30</v>
      </c>
      <c r="E8" s="27" t="s">
        <v>4</v>
      </c>
      <c r="F8" s="30" t="s">
        <v>31</v>
      </c>
      <c r="G8" s="30" t="s">
        <v>32</v>
      </c>
      <c r="H8" s="27" t="s">
        <v>33</v>
      </c>
      <c r="I8" s="27" t="s">
        <v>6</v>
      </c>
      <c r="J8" s="30" t="s">
        <v>9</v>
      </c>
      <c r="K8" s="30" t="s">
        <v>5</v>
      </c>
      <c r="L8" s="12"/>
      <c r="M8" s="12"/>
      <c r="N8" s="12"/>
      <c r="O8" s="73"/>
    </row>
    <row r="9" spans="4:16" ht="30">
      <c r="D9" s="90" t="s">
        <v>34</v>
      </c>
      <c r="E9" s="27" t="s">
        <v>4</v>
      </c>
      <c r="F9" s="27" t="s">
        <v>35</v>
      </c>
      <c r="G9" s="30" t="s">
        <v>9</v>
      </c>
      <c r="H9" s="27"/>
      <c r="I9" s="30"/>
      <c r="J9" s="30"/>
      <c r="K9" s="30"/>
      <c r="L9" s="12"/>
      <c r="M9" s="12"/>
      <c r="N9" s="12"/>
      <c r="O9" s="73"/>
    </row>
    <row r="10" spans="4:16" ht="33">
      <c r="D10" s="90" t="s">
        <v>36</v>
      </c>
      <c r="E10" s="27" t="s">
        <v>4</v>
      </c>
      <c r="F10" s="30" t="s">
        <v>5</v>
      </c>
      <c r="G10" s="30"/>
      <c r="H10" s="27"/>
      <c r="I10" s="30"/>
      <c r="J10" s="30"/>
      <c r="K10" s="30"/>
      <c r="L10" s="12"/>
      <c r="M10" s="12"/>
      <c r="N10" s="12"/>
      <c r="O10" s="73"/>
    </row>
    <row r="11" spans="4:16" ht="30">
      <c r="D11" s="90" t="s">
        <v>37</v>
      </c>
      <c r="E11" s="27" t="s">
        <v>4</v>
      </c>
      <c r="F11" s="27" t="s">
        <v>38</v>
      </c>
      <c r="G11" s="30" t="s">
        <v>9</v>
      </c>
      <c r="H11" s="30" t="s">
        <v>39</v>
      </c>
      <c r="I11" s="30"/>
      <c r="J11" s="30"/>
      <c r="K11" s="30"/>
      <c r="L11" s="12"/>
      <c r="M11" s="12"/>
      <c r="N11" s="12"/>
      <c r="O11" s="73"/>
    </row>
    <row r="12" spans="4:16" ht="30">
      <c r="D12" s="90" t="s">
        <v>40</v>
      </c>
      <c r="E12" s="27" t="s">
        <v>4</v>
      </c>
      <c r="F12" s="27" t="s">
        <v>7</v>
      </c>
      <c r="G12" s="27" t="s">
        <v>39</v>
      </c>
      <c r="H12" s="30" t="s">
        <v>41</v>
      </c>
      <c r="I12" s="27" t="s">
        <v>9</v>
      </c>
      <c r="J12" s="30"/>
      <c r="K12" s="30"/>
      <c r="L12" s="12"/>
      <c r="M12" s="12"/>
      <c r="N12" s="12"/>
      <c r="O12" s="73"/>
    </row>
    <row r="13" spans="4:16" ht="33">
      <c r="D13" s="90" t="s">
        <v>42</v>
      </c>
      <c r="E13" s="30" t="s">
        <v>4</v>
      </c>
      <c r="F13" s="30" t="s">
        <v>43</v>
      </c>
      <c r="G13" s="30" t="s">
        <v>44</v>
      </c>
      <c r="H13" s="30" t="s">
        <v>9</v>
      </c>
      <c r="I13" s="30"/>
      <c r="J13" s="30"/>
      <c r="K13" s="30"/>
      <c r="L13" s="12"/>
      <c r="M13" s="12"/>
      <c r="N13" s="12"/>
      <c r="O13" s="73"/>
    </row>
    <row r="14" spans="4:16" ht="33">
      <c r="D14" s="90" t="s">
        <v>45</v>
      </c>
      <c r="E14" s="27" t="s">
        <v>4</v>
      </c>
      <c r="F14" s="27" t="s">
        <v>25</v>
      </c>
      <c r="G14" s="30" t="s">
        <v>29</v>
      </c>
      <c r="H14" s="30" t="s">
        <v>9</v>
      </c>
      <c r="I14" s="12"/>
      <c r="J14" s="30"/>
      <c r="K14" s="30"/>
      <c r="L14" s="12"/>
      <c r="M14" s="12"/>
      <c r="N14" s="12"/>
      <c r="O14" s="73"/>
    </row>
    <row r="15" spans="4:16" ht="33">
      <c r="D15" s="90" t="s">
        <v>46</v>
      </c>
      <c r="E15" s="27" t="s">
        <v>47</v>
      </c>
      <c r="F15" s="27" t="s">
        <v>25</v>
      </c>
      <c r="G15" s="30" t="s">
        <v>48</v>
      </c>
      <c r="H15" s="30"/>
      <c r="I15" s="12"/>
      <c r="J15" s="30"/>
      <c r="K15" s="30"/>
      <c r="L15" s="12"/>
      <c r="M15" s="12"/>
      <c r="N15" s="12"/>
      <c r="O15" s="73"/>
    </row>
    <row r="16" spans="4:16" ht="30">
      <c r="D16" s="90" t="s">
        <v>49</v>
      </c>
      <c r="E16" s="27" t="s">
        <v>4</v>
      </c>
      <c r="F16" s="27"/>
      <c r="G16" s="30"/>
      <c r="H16" s="30"/>
      <c r="I16" s="12"/>
      <c r="J16" s="30"/>
      <c r="K16" s="30"/>
      <c r="L16" s="12"/>
      <c r="M16" s="12"/>
      <c r="N16" s="12"/>
      <c r="O16" s="73"/>
    </row>
    <row r="17" spans="4:15" ht="33">
      <c r="D17" s="90" t="s">
        <v>50</v>
      </c>
      <c r="E17" s="27" t="s">
        <v>4</v>
      </c>
      <c r="F17" s="27" t="s">
        <v>7</v>
      </c>
      <c r="G17" s="30" t="s">
        <v>5</v>
      </c>
      <c r="H17" s="30" t="s">
        <v>51</v>
      </c>
      <c r="M17" s="30"/>
      <c r="N17" s="27"/>
    </row>
    <row r="18" spans="4:15" ht="30">
      <c r="D18" s="90" t="s">
        <v>52</v>
      </c>
      <c r="E18" s="27" t="s">
        <v>4</v>
      </c>
      <c r="F18" s="30"/>
      <c r="G18" s="30"/>
      <c r="H18" s="30"/>
      <c r="I18" s="30"/>
      <c r="J18" s="30"/>
      <c r="K18" s="30"/>
      <c r="L18" s="12"/>
      <c r="M18" s="12"/>
      <c r="N18" s="12"/>
      <c r="O18" s="73"/>
    </row>
    <row r="19" spans="4:15" ht="30">
      <c r="D19" s="90" t="s">
        <v>53</v>
      </c>
      <c r="E19" s="27" t="s">
        <v>4</v>
      </c>
      <c r="F19" s="27"/>
      <c r="G19" s="27"/>
      <c r="H19" s="27"/>
      <c r="I19" s="30"/>
      <c r="J19" s="30"/>
      <c r="K19" s="30"/>
      <c r="L19" s="12"/>
      <c r="M19" s="12"/>
      <c r="N19" s="12"/>
      <c r="O19" s="73"/>
    </row>
    <row r="20" spans="4:15" ht="33">
      <c r="D20" s="90" t="s">
        <v>54</v>
      </c>
      <c r="E20" s="27" t="s">
        <v>4</v>
      </c>
      <c r="F20" s="30" t="s">
        <v>5</v>
      </c>
      <c r="G20" s="27" t="s">
        <v>55</v>
      </c>
    </row>
  </sheetData>
  <phoneticPr fontId="7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40" r:id="rId4" name="Button 4">
              <controlPr defaultSize="0" print="0" autoPict="0" macro="[0]!页签筛选_显示本行表">
                <anchor moveWithCells="1" sizeWithCells="1">
                  <from>
                    <xdr:col>2</xdr:col>
                    <xdr:colOff>66675</xdr:colOff>
                    <xdr:row>1</xdr:row>
                    <xdr:rowOff>38100</xdr:rowOff>
                  </from>
                  <to>
                    <xdr:col>2</xdr:col>
                    <xdr:colOff>857250</xdr:colOff>
                    <xdr:row>1</xdr:row>
                    <xdr:rowOff>342900</xdr:rowOff>
                  </to>
                </anchor>
              </controlPr>
            </control>
          </mc:Choice>
        </mc:AlternateContent>
        <mc:AlternateContent xmlns:mc="http://schemas.openxmlformats.org/markup-compatibility/2006">
          <mc:Choice Requires="x14">
            <control shapeId="39941" r:id="rId5" name="Button 5">
              <controlPr defaultSize="0" print="0" autoPict="0" macro="[0]!页签筛选_导出本行表">
                <anchor moveWithCells="1" sizeWithCells="1">
                  <from>
                    <xdr:col>1</xdr:col>
                    <xdr:colOff>66675</xdr:colOff>
                    <xdr:row>1</xdr:row>
                    <xdr:rowOff>38100</xdr:rowOff>
                  </from>
                  <to>
                    <xdr:col>1</xdr:col>
                    <xdr:colOff>857250</xdr:colOff>
                    <xdr:row>1</xdr:row>
                    <xdr:rowOff>342900</xdr:rowOff>
                  </to>
                </anchor>
              </controlPr>
            </control>
          </mc:Choice>
        </mc:AlternateContent>
        <mc:AlternateContent xmlns:mc="http://schemas.openxmlformats.org/markup-compatibility/2006">
          <mc:Choice Requires="x14">
            <control shapeId="39974" r:id="rId6" name="Button 38">
              <controlPr defaultSize="0" print="0" autoPict="0" macro="[0]!页签筛选_导出本行表">
                <anchor moveWithCells="1" sizeWithCells="1">
                  <from>
                    <xdr:col>1</xdr:col>
                    <xdr:colOff>66675</xdr:colOff>
                    <xdr:row>6</xdr:row>
                    <xdr:rowOff>38100</xdr:rowOff>
                  </from>
                  <to>
                    <xdr:col>1</xdr:col>
                    <xdr:colOff>857250</xdr:colOff>
                    <xdr:row>6</xdr:row>
                    <xdr:rowOff>342900</xdr:rowOff>
                  </to>
                </anchor>
              </controlPr>
            </control>
          </mc:Choice>
        </mc:AlternateContent>
        <mc:AlternateContent xmlns:mc="http://schemas.openxmlformats.org/markup-compatibility/2006">
          <mc:Choice Requires="x14">
            <control shapeId="39975" r:id="rId7" name="Button 39">
              <controlPr defaultSize="0" print="0" autoPict="0" macro="[0]!页签筛选_显示本行表">
                <anchor moveWithCells="1" sizeWithCells="1">
                  <from>
                    <xdr:col>2</xdr:col>
                    <xdr:colOff>66675</xdr:colOff>
                    <xdr:row>6</xdr:row>
                    <xdr:rowOff>38100</xdr:rowOff>
                  </from>
                  <to>
                    <xdr:col>2</xdr:col>
                    <xdr:colOff>857250</xdr:colOff>
                    <xdr:row>6</xdr:row>
                    <xdr:rowOff>342900</xdr:rowOff>
                  </to>
                </anchor>
              </controlPr>
            </control>
          </mc:Choice>
        </mc:AlternateContent>
        <mc:AlternateContent xmlns:mc="http://schemas.openxmlformats.org/markup-compatibility/2006">
          <mc:Choice Requires="x14">
            <control shapeId="39976" r:id="rId8" name="Button 40">
              <controlPr defaultSize="0" print="0" autoPict="0" macro="[0]!页签筛选_导出本行表">
                <anchor moveWithCells="1" sizeWithCells="1">
                  <from>
                    <xdr:col>1</xdr:col>
                    <xdr:colOff>66675</xdr:colOff>
                    <xdr:row>4</xdr:row>
                    <xdr:rowOff>38100</xdr:rowOff>
                  </from>
                  <to>
                    <xdr:col>1</xdr:col>
                    <xdr:colOff>857250</xdr:colOff>
                    <xdr:row>4</xdr:row>
                    <xdr:rowOff>342900</xdr:rowOff>
                  </to>
                </anchor>
              </controlPr>
            </control>
          </mc:Choice>
        </mc:AlternateContent>
        <mc:AlternateContent xmlns:mc="http://schemas.openxmlformats.org/markup-compatibility/2006">
          <mc:Choice Requires="x14">
            <control shapeId="39977" r:id="rId9" name="Button 41">
              <controlPr defaultSize="0" print="0" autoPict="0" macro="[0]!页签筛选_显示本行表">
                <anchor moveWithCells="1" sizeWithCells="1">
                  <from>
                    <xdr:col>2</xdr:col>
                    <xdr:colOff>66675</xdr:colOff>
                    <xdr:row>4</xdr:row>
                    <xdr:rowOff>38100</xdr:rowOff>
                  </from>
                  <to>
                    <xdr:col>2</xdr:col>
                    <xdr:colOff>857250</xdr:colOff>
                    <xdr:row>4</xdr:row>
                    <xdr:rowOff>342900</xdr:rowOff>
                  </to>
                </anchor>
              </controlPr>
            </control>
          </mc:Choice>
        </mc:AlternateContent>
        <mc:AlternateContent xmlns:mc="http://schemas.openxmlformats.org/markup-compatibility/2006">
          <mc:Choice Requires="x14">
            <control shapeId="39978" r:id="rId10" name="Button 42">
              <controlPr defaultSize="0" print="0" autoPict="0" macro="[0]!页签筛选_导出本行表">
                <anchor moveWithCells="1" sizeWithCells="1">
                  <from>
                    <xdr:col>1</xdr:col>
                    <xdr:colOff>66675</xdr:colOff>
                    <xdr:row>8</xdr:row>
                    <xdr:rowOff>38100</xdr:rowOff>
                  </from>
                  <to>
                    <xdr:col>1</xdr:col>
                    <xdr:colOff>857250</xdr:colOff>
                    <xdr:row>8</xdr:row>
                    <xdr:rowOff>342900</xdr:rowOff>
                  </to>
                </anchor>
              </controlPr>
            </control>
          </mc:Choice>
        </mc:AlternateContent>
        <mc:AlternateContent xmlns:mc="http://schemas.openxmlformats.org/markup-compatibility/2006">
          <mc:Choice Requires="x14">
            <control shapeId="39979" r:id="rId11" name="Button 43">
              <controlPr defaultSize="0" print="0" autoPict="0" macro="[0]!页签筛选_显示本行表">
                <anchor moveWithCells="1" sizeWithCells="1">
                  <from>
                    <xdr:col>2</xdr:col>
                    <xdr:colOff>66675</xdr:colOff>
                    <xdr:row>8</xdr:row>
                    <xdr:rowOff>38100</xdr:rowOff>
                  </from>
                  <to>
                    <xdr:col>2</xdr:col>
                    <xdr:colOff>857250</xdr:colOff>
                    <xdr:row>8</xdr:row>
                    <xdr:rowOff>342900</xdr:rowOff>
                  </to>
                </anchor>
              </controlPr>
            </control>
          </mc:Choice>
        </mc:AlternateContent>
        <mc:AlternateContent xmlns:mc="http://schemas.openxmlformats.org/markup-compatibility/2006">
          <mc:Choice Requires="x14">
            <control shapeId="39982" r:id="rId12" name="Button 46">
              <controlPr defaultSize="0" print="0" autoPict="0" macro="[0]!页签筛选_导出本行表">
                <anchor moveWithCells="1" sizeWithCells="1">
                  <from>
                    <xdr:col>1</xdr:col>
                    <xdr:colOff>66675</xdr:colOff>
                    <xdr:row>10</xdr:row>
                    <xdr:rowOff>38100</xdr:rowOff>
                  </from>
                  <to>
                    <xdr:col>1</xdr:col>
                    <xdr:colOff>857250</xdr:colOff>
                    <xdr:row>10</xdr:row>
                    <xdr:rowOff>342900</xdr:rowOff>
                  </to>
                </anchor>
              </controlPr>
            </control>
          </mc:Choice>
        </mc:AlternateContent>
        <mc:AlternateContent xmlns:mc="http://schemas.openxmlformats.org/markup-compatibility/2006">
          <mc:Choice Requires="x14">
            <control shapeId="39983" r:id="rId13" name="Button 47">
              <controlPr defaultSize="0" print="0" autoPict="0" macro="[0]!页签筛选_显示本行表">
                <anchor moveWithCells="1" sizeWithCells="1">
                  <from>
                    <xdr:col>2</xdr:col>
                    <xdr:colOff>66675</xdr:colOff>
                    <xdr:row>10</xdr:row>
                    <xdr:rowOff>38100</xdr:rowOff>
                  </from>
                  <to>
                    <xdr:col>2</xdr:col>
                    <xdr:colOff>857250</xdr:colOff>
                    <xdr:row>10</xdr:row>
                    <xdr:rowOff>342900</xdr:rowOff>
                  </to>
                </anchor>
              </controlPr>
            </control>
          </mc:Choice>
        </mc:AlternateContent>
        <mc:AlternateContent xmlns:mc="http://schemas.openxmlformats.org/markup-compatibility/2006">
          <mc:Choice Requires="x14">
            <control shapeId="39984" r:id="rId14" name="Button 48">
              <controlPr defaultSize="0" print="0" autoPict="0" macro="[0]!页签筛选_导出本行表">
                <anchor moveWithCells="1" sizeWithCells="1">
                  <from>
                    <xdr:col>1</xdr:col>
                    <xdr:colOff>66675</xdr:colOff>
                    <xdr:row>12</xdr:row>
                    <xdr:rowOff>38100</xdr:rowOff>
                  </from>
                  <to>
                    <xdr:col>1</xdr:col>
                    <xdr:colOff>857250</xdr:colOff>
                    <xdr:row>12</xdr:row>
                    <xdr:rowOff>342900</xdr:rowOff>
                  </to>
                </anchor>
              </controlPr>
            </control>
          </mc:Choice>
        </mc:AlternateContent>
        <mc:AlternateContent xmlns:mc="http://schemas.openxmlformats.org/markup-compatibility/2006">
          <mc:Choice Requires="x14">
            <control shapeId="39985" r:id="rId15" name="Button 49">
              <controlPr defaultSize="0" print="0" autoPict="0" macro="[0]!页签筛选_显示本行表">
                <anchor moveWithCells="1" sizeWithCells="1">
                  <from>
                    <xdr:col>2</xdr:col>
                    <xdr:colOff>66675</xdr:colOff>
                    <xdr:row>12</xdr:row>
                    <xdr:rowOff>38100</xdr:rowOff>
                  </from>
                  <to>
                    <xdr:col>2</xdr:col>
                    <xdr:colOff>857250</xdr:colOff>
                    <xdr:row>12</xdr:row>
                    <xdr:rowOff>342900</xdr:rowOff>
                  </to>
                </anchor>
              </controlPr>
            </control>
          </mc:Choice>
        </mc:AlternateContent>
        <mc:AlternateContent xmlns:mc="http://schemas.openxmlformats.org/markup-compatibility/2006">
          <mc:Choice Requires="x14">
            <control shapeId="39986" r:id="rId16" name="Button 50">
              <controlPr defaultSize="0" print="0" autoPict="0" macro="[0]!页签筛选_导出本行表">
                <anchor moveWithCells="1" sizeWithCells="1">
                  <from>
                    <xdr:col>1</xdr:col>
                    <xdr:colOff>66675</xdr:colOff>
                    <xdr:row>2</xdr:row>
                    <xdr:rowOff>38100</xdr:rowOff>
                  </from>
                  <to>
                    <xdr:col>1</xdr:col>
                    <xdr:colOff>857250</xdr:colOff>
                    <xdr:row>2</xdr:row>
                    <xdr:rowOff>342900</xdr:rowOff>
                  </to>
                </anchor>
              </controlPr>
            </control>
          </mc:Choice>
        </mc:AlternateContent>
        <mc:AlternateContent xmlns:mc="http://schemas.openxmlformats.org/markup-compatibility/2006">
          <mc:Choice Requires="x14">
            <control shapeId="39987" r:id="rId17" name="Button 51">
              <controlPr defaultSize="0" print="0" autoPict="0" macro="[0]!页签筛选_显示本行表">
                <anchor moveWithCells="1" sizeWithCells="1">
                  <from>
                    <xdr:col>2</xdr:col>
                    <xdr:colOff>66675</xdr:colOff>
                    <xdr:row>2</xdr:row>
                    <xdr:rowOff>38100</xdr:rowOff>
                  </from>
                  <to>
                    <xdr:col>2</xdr:col>
                    <xdr:colOff>857250</xdr:colOff>
                    <xdr:row>2</xdr:row>
                    <xdr:rowOff>342900</xdr:rowOff>
                  </to>
                </anchor>
              </controlPr>
            </control>
          </mc:Choice>
        </mc:AlternateContent>
        <mc:AlternateContent xmlns:mc="http://schemas.openxmlformats.org/markup-compatibility/2006">
          <mc:Choice Requires="x14">
            <control shapeId="39988" r:id="rId18" name="Button 52">
              <controlPr defaultSize="0" print="0" autoPict="0" macro="[0]!页签筛选_导出本行表">
                <anchor moveWithCells="1" sizeWithCells="1">
                  <from>
                    <xdr:col>1</xdr:col>
                    <xdr:colOff>66675</xdr:colOff>
                    <xdr:row>13</xdr:row>
                    <xdr:rowOff>38100</xdr:rowOff>
                  </from>
                  <to>
                    <xdr:col>1</xdr:col>
                    <xdr:colOff>857250</xdr:colOff>
                    <xdr:row>13</xdr:row>
                    <xdr:rowOff>342900</xdr:rowOff>
                  </to>
                </anchor>
              </controlPr>
            </control>
          </mc:Choice>
        </mc:AlternateContent>
        <mc:AlternateContent xmlns:mc="http://schemas.openxmlformats.org/markup-compatibility/2006">
          <mc:Choice Requires="x14">
            <control shapeId="39989" r:id="rId19" name="Button 53">
              <controlPr defaultSize="0" print="0" autoPict="0" macro="[0]!页签筛选_显示本行表">
                <anchor moveWithCells="1" sizeWithCells="1">
                  <from>
                    <xdr:col>2</xdr:col>
                    <xdr:colOff>66675</xdr:colOff>
                    <xdr:row>13</xdr:row>
                    <xdr:rowOff>38100</xdr:rowOff>
                  </from>
                  <to>
                    <xdr:col>2</xdr:col>
                    <xdr:colOff>857250</xdr:colOff>
                    <xdr:row>13</xdr:row>
                    <xdr:rowOff>342900</xdr:rowOff>
                  </to>
                </anchor>
              </controlPr>
            </control>
          </mc:Choice>
        </mc:AlternateContent>
        <mc:AlternateContent xmlns:mc="http://schemas.openxmlformats.org/markup-compatibility/2006">
          <mc:Choice Requires="x14">
            <control shapeId="39990" r:id="rId20" name="Button 54">
              <controlPr defaultSize="0" print="0" autoPict="0" macro="[0]!页签筛选_导出本行表">
                <anchor moveWithCells="1" sizeWithCells="1">
                  <from>
                    <xdr:col>1</xdr:col>
                    <xdr:colOff>66675</xdr:colOff>
                    <xdr:row>18</xdr:row>
                    <xdr:rowOff>38100</xdr:rowOff>
                  </from>
                  <to>
                    <xdr:col>1</xdr:col>
                    <xdr:colOff>857250</xdr:colOff>
                    <xdr:row>18</xdr:row>
                    <xdr:rowOff>342900</xdr:rowOff>
                  </to>
                </anchor>
              </controlPr>
            </control>
          </mc:Choice>
        </mc:AlternateContent>
        <mc:AlternateContent xmlns:mc="http://schemas.openxmlformats.org/markup-compatibility/2006">
          <mc:Choice Requires="x14">
            <control shapeId="39991" r:id="rId21" name="Button 55">
              <controlPr defaultSize="0" print="0" autoPict="0" macro="[0]!页签筛选_显示本行表">
                <anchor moveWithCells="1" sizeWithCells="1">
                  <from>
                    <xdr:col>2</xdr:col>
                    <xdr:colOff>66675</xdr:colOff>
                    <xdr:row>18</xdr:row>
                    <xdr:rowOff>38100</xdr:rowOff>
                  </from>
                  <to>
                    <xdr:col>2</xdr:col>
                    <xdr:colOff>857250</xdr:colOff>
                    <xdr:row>18</xdr:row>
                    <xdr:rowOff>342900</xdr:rowOff>
                  </to>
                </anchor>
              </controlPr>
            </control>
          </mc:Choice>
        </mc:AlternateContent>
        <mc:AlternateContent xmlns:mc="http://schemas.openxmlformats.org/markup-compatibility/2006">
          <mc:Choice Requires="x14">
            <control shapeId="39992" r:id="rId22" name="Button 56">
              <controlPr defaultSize="0" print="0" autoPict="0" macro="[0]!页签筛选_导出本行表">
                <anchor moveWithCells="1" sizeWithCells="1">
                  <from>
                    <xdr:col>1</xdr:col>
                    <xdr:colOff>66675</xdr:colOff>
                    <xdr:row>3</xdr:row>
                    <xdr:rowOff>38100</xdr:rowOff>
                  </from>
                  <to>
                    <xdr:col>1</xdr:col>
                    <xdr:colOff>857250</xdr:colOff>
                    <xdr:row>3</xdr:row>
                    <xdr:rowOff>342900</xdr:rowOff>
                  </to>
                </anchor>
              </controlPr>
            </control>
          </mc:Choice>
        </mc:AlternateContent>
        <mc:AlternateContent xmlns:mc="http://schemas.openxmlformats.org/markup-compatibility/2006">
          <mc:Choice Requires="x14">
            <control shapeId="39993" r:id="rId23" name="Button 57">
              <controlPr defaultSize="0" print="0" autoPict="0" macro="[0]!页签筛选_显示本行表">
                <anchor moveWithCells="1" sizeWithCells="1">
                  <from>
                    <xdr:col>2</xdr:col>
                    <xdr:colOff>66675</xdr:colOff>
                    <xdr:row>3</xdr:row>
                    <xdr:rowOff>38100</xdr:rowOff>
                  </from>
                  <to>
                    <xdr:col>2</xdr:col>
                    <xdr:colOff>857250</xdr:colOff>
                    <xdr:row>3</xdr:row>
                    <xdr:rowOff>342900</xdr:rowOff>
                  </to>
                </anchor>
              </controlPr>
            </control>
          </mc:Choice>
        </mc:AlternateContent>
        <mc:AlternateContent xmlns:mc="http://schemas.openxmlformats.org/markup-compatibility/2006">
          <mc:Choice Requires="x14">
            <control shapeId="40000" r:id="rId24" name="Button 64">
              <controlPr defaultSize="0" print="0" autoPict="0" macro="[0]!页签筛选_导出本行表">
                <anchor moveWithCells="1" sizeWithCells="1">
                  <from>
                    <xdr:col>1</xdr:col>
                    <xdr:colOff>66675</xdr:colOff>
                    <xdr:row>11</xdr:row>
                    <xdr:rowOff>38100</xdr:rowOff>
                  </from>
                  <to>
                    <xdr:col>1</xdr:col>
                    <xdr:colOff>857250</xdr:colOff>
                    <xdr:row>11</xdr:row>
                    <xdr:rowOff>342900</xdr:rowOff>
                  </to>
                </anchor>
              </controlPr>
            </control>
          </mc:Choice>
        </mc:AlternateContent>
        <mc:AlternateContent xmlns:mc="http://schemas.openxmlformats.org/markup-compatibility/2006">
          <mc:Choice Requires="x14">
            <control shapeId="40001" r:id="rId25" name="Button 65">
              <controlPr defaultSize="0" print="0" autoPict="0" macro="[0]!页签筛选_显示本行表">
                <anchor moveWithCells="1" sizeWithCells="1">
                  <from>
                    <xdr:col>2</xdr:col>
                    <xdr:colOff>66675</xdr:colOff>
                    <xdr:row>11</xdr:row>
                    <xdr:rowOff>38100</xdr:rowOff>
                  </from>
                  <to>
                    <xdr:col>2</xdr:col>
                    <xdr:colOff>857250</xdr:colOff>
                    <xdr:row>11</xdr:row>
                    <xdr:rowOff>342900</xdr:rowOff>
                  </to>
                </anchor>
              </controlPr>
            </control>
          </mc:Choice>
        </mc:AlternateContent>
        <mc:AlternateContent xmlns:mc="http://schemas.openxmlformats.org/markup-compatibility/2006">
          <mc:Choice Requires="x14">
            <control shapeId="40002" r:id="rId26" name="Button 66">
              <controlPr defaultSize="0" print="0" autoPict="0" macro="[0]!页签筛选_导出本行表">
                <anchor moveWithCells="1" sizeWithCells="1">
                  <from>
                    <xdr:col>1</xdr:col>
                    <xdr:colOff>66675</xdr:colOff>
                    <xdr:row>17</xdr:row>
                    <xdr:rowOff>38100</xdr:rowOff>
                  </from>
                  <to>
                    <xdr:col>1</xdr:col>
                    <xdr:colOff>857250</xdr:colOff>
                    <xdr:row>17</xdr:row>
                    <xdr:rowOff>342900</xdr:rowOff>
                  </to>
                </anchor>
              </controlPr>
            </control>
          </mc:Choice>
        </mc:AlternateContent>
        <mc:AlternateContent xmlns:mc="http://schemas.openxmlformats.org/markup-compatibility/2006">
          <mc:Choice Requires="x14">
            <control shapeId="40003" r:id="rId27" name="Button 67">
              <controlPr defaultSize="0" print="0" autoPict="0" macro="[0]!页签筛选_显示本行表">
                <anchor moveWithCells="1" sizeWithCells="1">
                  <from>
                    <xdr:col>2</xdr:col>
                    <xdr:colOff>66675</xdr:colOff>
                    <xdr:row>17</xdr:row>
                    <xdr:rowOff>38100</xdr:rowOff>
                  </from>
                  <to>
                    <xdr:col>2</xdr:col>
                    <xdr:colOff>857250</xdr:colOff>
                    <xdr:row>17</xdr:row>
                    <xdr:rowOff>342900</xdr:rowOff>
                  </to>
                </anchor>
              </controlPr>
            </control>
          </mc:Choice>
        </mc:AlternateContent>
        <mc:AlternateContent xmlns:mc="http://schemas.openxmlformats.org/markup-compatibility/2006">
          <mc:Choice Requires="x14">
            <control shapeId="40004" r:id="rId28" name="Button 68">
              <controlPr defaultSize="0" print="0" autoPict="0" macro="[0]!页签筛选_导出本行表">
                <anchor moveWithCells="1" sizeWithCells="1">
                  <from>
                    <xdr:col>1</xdr:col>
                    <xdr:colOff>66675</xdr:colOff>
                    <xdr:row>7</xdr:row>
                    <xdr:rowOff>38100</xdr:rowOff>
                  </from>
                  <to>
                    <xdr:col>1</xdr:col>
                    <xdr:colOff>857250</xdr:colOff>
                    <xdr:row>7</xdr:row>
                    <xdr:rowOff>342900</xdr:rowOff>
                  </to>
                </anchor>
              </controlPr>
            </control>
          </mc:Choice>
        </mc:AlternateContent>
        <mc:AlternateContent xmlns:mc="http://schemas.openxmlformats.org/markup-compatibility/2006">
          <mc:Choice Requires="x14">
            <control shapeId="40005" r:id="rId29" name="Button 69">
              <controlPr defaultSize="0" print="0" autoPict="0" macro="[0]!页签筛选_显示本行表">
                <anchor moveWithCells="1" sizeWithCells="1">
                  <from>
                    <xdr:col>2</xdr:col>
                    <xdr:colOff>66675</xdr:colOff>
                    <xdr:row>7</xdr:row>
                    <xdr:rowOff>38100</xdr:rowOff>
                  </from>
                  <to>
                    <xdr:col>2</xdr:col>
                    <xdr:colOff>857250</xdr:colOff>
                    <xdr:row>7</xdr:row>
                    <xdr:rowOff>342900</xdr:rowOff>
                  </to>
                </anchor>
              </controlPr>
            </control>
          </mc:Choice>
        </mc:AlternateContent>
        <mc:AlternateContent xmlns:mc="http://schemas.openxmlformats.org/markup-compatibility/2006">
          <mc:Choice Requires="x14">
            <control shapeId="40006" r:id="rId30" name="Button 70">
              <controlPr defaultSize="0" print="0" autoPict="0" macro="[0]!页签筛选_导出本行表">
                <anchor moveWithCells="1" sizeWithCells="1">
                  <from>
                    <xdr:col>1</xdr:col>
                    <xdr:colOff>66675</xdr:colOff>
                    <xdr:row>5</xdr:row>
                    <xdr:rowOff>38100</xdr:rowOff>
                  </from>
                  <to>
                    <xdr:col>1</xdr:col>
                    <xdr:colOff>857250</xdr:colOff>
                    <xdr:row>5</xdr:row>
                    <xdr:rowOff>342900</xdr:rowOff>
                  </to>
                </anchor>
              </controlPr>
            </control>
          </mc:Choice>
        </mc:AlternateContent>
        <mc:AlternateContent xmlns:mc="http://schemas.openxmlformats.org/markup-compatibility/2006">
          <mc:Choice Requires="x14">
            <control shapeId="40007" r:id="rId31" name="Button 71">
              <controlPr defaultSize="0" print="0" autoPict="0" macro="[0]!页签筛选_显示本行表">
                <anchor moveWithCells="1" sizeWithCells="1">
                  <from>
                    <xdr:col>2</xdr:col>
                    <xdr:colOff>66675</xdr:colOff>
                    <xdr:row>5</xdr:row>
                    <xdr:rowOff>38100</xdr:rowOff>
                  </from>
                  <to>
                    <xdr:col>2</xdr:col>
                    <xdr:colOff>857250</xdr:colOff>
                    <xdr:row>5</xdr:row>
                    <xdr:rowOff>342900</xdr:rowOff>
                  </to>
                </anchor>
              </controlPr>
            </control>
          </mc:Choice>
        </mc:AlternateContent>
        <mc:AlternateContent xmlns:mc="http://schemas.openxmlformats.org/markup-compatibility/2006">
          <mc:Choice Requires="x14">
            <control shapeId="40010" r:id="rId32" name="Button 74">
              <controlPr defaultSize="0" print="0" autoPict="0" macro="[0]!目录_清除表">
                <anchor moveWithCells="1" sizeWithCells="1">
                  <from>
                    <xdr:col>1</xdr:col>
                    <xdr:colOff>66675</xdr:colOff>
                    <xdr:row>0</xdr:row>
                    <xdr:rowOff>38100</xdr:rowOff>
                  </from>
                  <to>
                    <xdr:col>1</xdr:col>
                    <xdr:colOff>857250</xdr:colOff>
                    <xdr:row>0</xdr:row>
                    <xdr:rowOff>342900</xdr:rowOff>
                  </to>
                </anchor>
              </controlPr>
            </control>
          </mc:Choice>
        </mc:AlternateContent>
        <mc:AlternateContent xmlns:mc="http://schemas.openxmlformats.org/markup-compatibility/2006">
          <mc:Choice Requires="x14">
            <control shapeId="40011" r:id="rId33" name="Button 75">
              <controlPr defaultSize="0" print="0" autoPict="0" macro="[0]!页签筛选_显示本行表">
                <anchor moveWithCells="1" sizeWithCells="1">
                  <from>
                    <xdr:col>2</xdr:col>
                    <xdr:colOff>66675</xdr:colOff>
                    <xdr:row>16</xdr:row>
                    <xdr:rowOff>38100</xdr:rowOff>
                  </from>
                  <to>
                    <xdr:col>2</xdr:col>
                    <xdr:colOff>857250</xdr:colOff>
                    <xdr:row>16</xdr:row>
                    <xdr:rowOff>342900</xdr:rowOff>
                  </to>
                </anchor>
              </controlPr>
            </control>
          </mc:Choice>
        </mc:AlternateContent>
        <mc:AlternateContent xmlns:mc="http://schemas.openxmlformats.org/markup-compatibility/2006">
          <mc:Choice Requires="x14">
            <control shapeId="40012" r:id="rId34" name="Button 76">
              <controlPr defaultSize="0" print="0" autoPict="0" macro="[0]!页签筛选_导出本行表">
                <anchor moveWithCells="1" sizeWithCells="1">
                  <from>
                    <xdr:col>1</xdr:col>
                    <xdr:colOff>66675</xdr:colOff>
                    <xdr:row>16</xdr:row>
                    <xdr:rowOff>38100</xdr:rowOff>
                  </from>
                  <to>
                    <xdr:col>1</xdr:col>
                    <xdr:colOff>857250</xdr:colOff>
                    <xdr:row>16</xdr:row>
                    <xdr:rowOff>342900</xdr:rowOff>
                  </to>
                </anchor>
              </controlPr>
            </control>
          </mc:Choice>
        </mc:AlternateContent>
        <mc:AlternateContent xmlns:mc="http://schemas.openxmlformats.org/markup-compatibility/2006">
          <mc:Choice Requires="x14">
            <control shapeId="40013" r:id="rId35" name="Button 77">
              <controlPr defaultSize="0" print="0" autoPict="0" macro="[0]!页签筛选_导出本行表">
                <anchor moveWithCells="1" sizeWithCells="1">
                  <from>
                    <xdr:col>1</xdr:col>
                    <xdr:colOff>66675</xdr:colOff>
                    <xdr:row>19</xdr:row>
                    <xdr:rowOff>38100</xdr:rowOff>
                  </from>
                  <to>
                    <xdr:col>1</xdr:col>
                    <xdr:colOff>857250</xdr:colOff>
                    <xdr:row>19</xdr:row>
                    <xdr:rowOff>342900</xdr:rowOff>
                  </to>
                </anchor>
              </controlPr>
            </control>
          </mc:Choice>
        </mc:AlternateContent>
        <mc:AlternateContent xmlns:mc="http://schemas.openxmlformats.org/markup-compatibility/2006">
          <mc:Choice Requires="x14">
            <control shapeId="40014" r:id="rId36" name="Button 78">
              <controlPr defaultSize="0" print="0" autoPict="0" macro="[0]!页签筛选_显示本行表">
                <anchor moveWithCells="1" sizeWithCells="1">
                  <from>
                    <xdr:col>2</xdr:col>
                    <xdr:colOff>66675</xdr:colOff>
                    <xdr:row>19</xdr:row>
                    <xdr:rowOff>38100</xdr:rowOff>
                  </from>
                  <to>
                    <xdr:col>2</xdr:col>
                    <xdr:colOff>857250</xdr:colOff>
                    <xdr:row>19</xdr:row>
                    <xdr:rowOff>342900</xdr:rowOff>
                  </to>
                </anchor>
              </controlPr>
            </control>
          </mc:Choice>
        </mc:AlternateContent>
        <mc:AlternateContent xmlns:mc="http://schemas.openxmlformats.org/markup-compatibility/2006">
          <mc:Choice Requires="x14">
            <control shapeId="40019" r:id="rId37" name="Button 83">
              <controlPr defaultSize="0" print="0" autoPict="0" macro="[0]!页签筛选_导出本行表">
                <anchor moveWithCells="1" sizeWithCells="1">
                  <from>
                    <xdr:col>1</xdr:col>
                    <xdr:colOff>66675</xdr:colOff>
                    <xdr:row>9</xdr:row>
                    <xdr:rowOff>38100</xdr:rowOff>
                  </from>
                  <to>
                    <xdr:col>1</xdr:col>
                    <xdr:colOff>857250</xdr:colOff>
                    <xdr:row>9</xdr:row>
                    <xdr:rowOff>342900</xdr:rowOff>
                  </to>
                </anchor>
              </controlPr>
            </control>
          </mc:Choice>
        </mc:AlternateContent>
        <mc:AlternateContent xmlns:mc="http://schemas.openxmlformats.org/markup-compatibility/2006">
          <mc:Choice Requires="x14">
            <control shapeId="40020" r:id="rId38" name="Button 84">
              <controlPr defaultSize="0" print="0" autoPict="0" macro="[0]!页签筛选_显示本行表">
                <anchor moveWithCells="1" sizeWithCells="1">
                  <from>
                    <xdr:col>2</xdr:col>
                    <xdr:colOff>66675</xdr:colOff>
                    <xdr:row>9</xdr:row>
                    <xdr:rowOff>38100</xdr:rowOff>
                  </from>
                  <to>
                    <xdr:col>2</xdr:col>
                    <xdr:colOff>857250</xdr:colOff>
                    <xdr:row>9</xdr:row>
                    <xdr:rowOff>342900</xdr:rowOff>
                  </to>
                </anchor>
              </controlPr>
            </control>
          </mc:Choice>
        </mc:AlternateContent>
        <mc:AlternateContent xmlns:mc="http://schemas.openxmlformats.org/markup-compatibility/2006">
          <mc:Choice Requires="x14">
            <control shapeId="40031" r:id="rId39" name="Button 95">
              <controlPr defaultSize="0" print="0" autoPict="0" macro="[0]!页签筛选_导出本行表">
                <anchor moveWithCells="1" sizeWithCells="1">
                  <from>
                    <xdr:col>1</xdr:col>
                    <xdr:colOff>66675</xdr:colOff>
                    <xdr:row>15</xdr:row>
                    <xdr:rowOff>38100</xdr:rowOff>
                  </from>
                  <to>
                    <xdr:col>1</xdr:col>
                    <xdr:colOff>857250</xdr:colOff>
                    <xdr:row>15</xdr:row>
                    <xdr:rowOff>342900</xdr:rowOff>
                  </to>
                </anchor>
              </controlPr>
            </control>
          </mc:Choice>
        </mc:AlternateContent>
        <mc:AlternateContent xmlns:mc="http://schemas.openxmlformats.org/markup-compatibility/2006">
          <mc:Choice Requires="x14">
            <control shapeId="40032" r:id="rId40" name="Button 96">
              <controlPr defaultSize="0" print="0" autoPict="0" macro="[0]!页签筛选_显示本行表">
                <anchor moveWithCells="1" sizeWithCells="1">
                  <from>
                    <xdr:col>2</xdr:col>
                    <xdr:colOff>66675</xdr:colOff>
                    <xdr:row>15</xdr:row>
                    <xdr:rowOff>38100</xdr:rowOff>
                  </from>
                  <to>
                    <xdr:col>2</xdr:col>
                    <xdr:colOff>857250</xdr:colOff>
                    <xdr:row>15</xdr:row>
                    <xdr:rowOff>342900</xdr:rowOff>
                  </to>
                </anchor>
              </controlPr>
            </control>
          </mc:Choice>
        </mc:AlternateContent>
        <mc:AlternateContent xmlns:mc="http://schemas.openxmlformats.org/markup-compatibility/2006">
          <mc:Choice Requires="x14">
            <control shapeId="40035" r:id="rId41" name="Button 99">
              <controlPr defaultSize="0" print="0" autoPict="0" macro="[0]!页签筛选_显示本行表">
                <anchor moveWithCells="1" sizeWithCells="1">
                  <from>
                    <xdr:col>2</xdr:col>
                    <xdr:colOff>66675</xdr:colOff>
                    <xdr:row>14</xdr:row>
                    <xdr:rowOff>38100</xdr:rowOff>
                  </from>
                  <to>
                    <xdr:col>2</xdr:col>
                    <xdr:colOff>857250</xdr:colOff>
                    <xdr:row>14</xdr:row>
                    <xdr:rowOff>342900</xdr:rowOff>
                  </to>
                </anchor>
              </controlPr>
            </control>
          </mc:Choice>
        </mc:AlternateContent>
        <mc:AlternateContent xmlns:mc="http://schemas.openxmlformats.org/markup-compatibility/2006">
          <mc:Choice Requires="x14">
            <control shapeId="40036" r:id="rId42" name="Button 100">
              <controlPr defaultSize="0" print="0" autoPict="0" macro="[0]!页签筛选_导出本行表">
                <anchor moveWithCells="1" sizeWithCells="1">
                  <from>
                    <xdr:col>1</xdr:col>
                    <xdr:colOff>66675</xdr:colOff>
                    <xdr:row>14</xdr:row>
                    <xdr:rowOff>38100</xdr:rowOff>
                  </from>
                  <to>
                    <xdr:col>1</xdr:col>
                    <xdr:colOff>857250</xdr:colOff>
                    <xdr:row>14</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62E4B-3D1E-4D7A-B448-6F56E150CC58}">
  <sheetPr codeName="Sheet17"/>
  <dimension ref="A1:E97"/>
  <sheetViews>
    <sheetView workbookViewId="0">
      <selection activeCell="T30" sqref="T30"/>
    </sheetView>
  </sheetViews>
  <sheetFormatPr defaultRowHeight="16.5"/>
  <cols>
    <col min="1" max="1" width="8" style="151" customWidth="1"/>
    <col min="2" max="2" width="4.75" style="151" customWidth="1"/>
    <col min="3" max="3" width="7.375" style="151" customWidth="1"/>
    <col min="4" max="4" width="4.75" style="151" customWidth="1"/>
  </cols>
  <sheetData>
    <row r="1" spans="1:5">
      <c r="A1" s="151" t="s">
        <v>4850</v>
      </c>
      <c r="B1" s="151" t="s">
        <v>4851</v>
      </c>
      <c r="C1" s="151" t="s">
        <v>4852</v>
      </c>
      <c r="D1" s="151" t="s">
        <v>4853</v>
      </c>
      <c r="E1" s="154" t="s">
        <v>4020</v>
      </c>
    </row>
    <row r="2" spans="1:5">
      <c r="A2" s="151">
        <v>1</v>
      </c>
      <c r="B2" s="151">
        <v>1</v>
      </c>
      <c r="C2" s="155" t="s">
        <v>4855</v>
      </c>
      <c r="D2" s="13">
        <v>0.83</v>
      </c>
      <c r="E2">
        <v>61001</v>
      </c>
    </row>
    <row r="3" spans="1:5">
      <c r="A3" s="151">
        <v>1</v>
      </c>
      <c r="B3" s="151">
        <v>1</v>
      </c>
      <c r="C3" s="155" t="s">
        <v>4857</v>
      </c>
      <c r="D3" s="13">
        <v>0.83</v>
      </c>
      <c r="E3">
        <v>61002</v>
      </c>
    </row>
    <row r="4" spans="1:5">
      <c r="A4" s="151">
        <v>1</v>
      </c>
      <c r="B4" s="151">
        <v>1</v>
      </c>
      <c r="C4" s="155" t="s">
        <v>4864</v>
      </c>
      <c r="D4" s="13">
        <v>0.8</v>
      </c>
      <c r="E4">
        <v>61003</v>
      </c>
    </row>
    <row r="5" spans="1:5">
      <c r="A5" s="151">
        <v>1</v>
      </c>
      <c r="B5" s="151">
        <v>1</v>
      </c>
      <c r="C5" s="13" t="s">
        <v>4869</v>
      </c>
      <c r="D5" s="13">
        <v>0.82</v>
      </c>
      <c r="E5">
        <v>61004</v>
      </c>
    </row>
    <row r="6" spans="1:5">
      <c r="A6" s="151">
        <v>1</v>
      </c>
      <c r="B6" s="151">
        <v>1</v>
      </c>
      <c r="C6" t="s">
        <v>4876</v>
      </c>
      <c r="D6">
        <v>0.16</v>
      </c>
      <c r="E6">
        <v>61001</v>
      </c>
    </row>
    <row r="7" spans="1:5">
      <c r="A7" s="151">
        <v>1</v>
      </c>
      <c r="B7" s="151">
        <v>1</v>
      </c>
      <c r="C7" s="13" t="s">
        <v>4877</v>
      </c>
      <c r="D7" s="13">
        <v>0.82</v>
      </c>
      <c r="E7">
        <v>61002</v>
      </c>
    </row>
    <row r="8" spans="1:5">
      <c r="A8" s="151">
        <v>1</v>
      </c>
      <c r="B8" s="151">
        <v>1</v>
      </c>
      <c r="C8" s="13" t="s">
        <v>4865</v>
      </c>
      <c r="D8" s="13">
        <v>0.18</v>
      </c>
      <c r="E8">
        <v>61003</v>
      </c>
    </row>
    <row r="9" spans="1:5">
      <c r="A9" s="151">
        <v>1</v>
      </c>
      <c r="B9" s="151">
        <v>1</v>
      </c>
      <c r="C9" s="13" t="s">
        <v>4871</v>
      </c>
      <c r="D9" s="13">
        <v>0.33</v>
      </c>
      <c r="E9">
        <v>61004</v>
      </c>
    </row>
    <row r="10" spans="1:5">
      <c r="A10" s="151">
        <v>1</v>
      </c>
      <c r="B10" s="151">
        <v>1</v>
      </c>
      <c r="C10" t="s">
        <v>4878</v>
      </c>
      <c r="D10">
        <v>0.05</v>
      </c>
      <c r="E10">
        <v>61001</v>
      </c>
    </row>
    <row r="11" spans="1:5">
      <c r="A11" s="151">
        <v>1</v>
      </c>
      <c r="B11" s="151">
        <v>1</v>
      </c>
      <c r="C11" s="13" t="s">
        <v>4879</v>
      </c>
      <c r="D11" s="13">
        <v>0.27</v>
      </c>
      <c r="E11">
        <v>61002</v>
      </c>
    </row>
    <row r="12" spans="1:5">
      <c r="A12" s="151">
        <v>1</v>
      </c>
      <c r="B12" s="151">
        <v>1</v>
      </c>
      <c r="C12" s="155" t="s">
        <v>4859</v>
      </c>
      <c r="D12" s="13">
        <v>0.33</v>
      </c>
      <c r="E12">
        <v>61003</v>
      </c>
    </row>
    <row r="13" spans="1:5">
      <c r="A13" s="151">
        <v>1</v>
      </c>
      <c r="B13" s="151">
        <v>1</v>
      </c>
      <c r="C13" s="13" t="s">
        <v>4865</v>
      </c>
      <c r="D13" s="13">
        <v>0.5</v>
      </c>
      <c r="E13">
        <v>61004</v>
      </c>
    </row>
    <row r="14" spans="1:5">
      <c r="A14" s="151">
        <v>1</v>
      </c>
      <c r="B14" s="151">
        <v>1</v>
      </c>
      <c r="C14" t="s">
        <v>4880</v>
      </c>
      <c r="D14">
        <v>0.15</v>
      </c>
      <c r="E14">
        <v>61001</v>
      </c>
    </row>
    <row r="15" spans="1:5">
      <c r="A15" s="151">
        <v>1</v>
      </c>
      <c r="B15" s="151">
        <v>1</v>
      </c>
      <c r="C15" s="13" t="s">
        <v>4865</v>
      </c>
      <c r="D15" s="13">
        <v>0.33</v>
      </c>
      <c r="E15">
        <v>61002</v>
      </c>
    </row>
    <row r="16" spans="1:5">
      <c r="A16" s="151">
        <v>1</v>
      </c>
      <c r="B16" s="151">
        <v>1</v>
      </c>
      <c r="C16" s="13" t="s">
        <v>4871</v>
      </c>
      <c r="D16" s="13">
        <v>0.08</v>
      </c>
      <c r="E16">
        <v>61003</v>
      </c>
    </row>
    <row r="17" spans="1:5">
      <c r="A17" s="151">
        <v>1</v>
      </c>
      <c r="B17" s="151">
        <v>1</v>
      </c>
      <c r="C17" s="13" t="s">
        <v>4871</v>
      </c>
      <c r="D17" s="13">
        <v>0.6</v>
      </c>
      <c r="E17">
        <v>61004</v>
      </c>
    </row>
    <row r="18" spans="1:5">
      <c r="A18" s="151">
        <v>1</v>
      </c>
      <c r="B18" s="151">
        <v>1</v>
      </c>
      <c r="C18" s="155" t="s">
        <v>4855</v>
      </c>
      <c r="D18" s="13">
        <v>0.43</v>
      </c>
      <c r="E18">
        <v>61001</v>
      </c>
    </row>
    <row r="19" spans="1:5">
      <c r="A19" s="151">
        <v>1</v>
      </c>
      <c r="B19" s="151">
        <v>1</v>
      </c>
      <c r="C19" s="155" t="s">
        <v>4857</v>
      </c>
      <c r="D19" s="13">
        <v>0.43</v>
      </c>
      <c r="E19">
        <v>61002</v>
      </c>
    </row>
    <row r="20" spans="1:5">
      <c r="A20" s="151">
        <v>1</v>
      </c>
      <c r="B20" s="151">
        <v>1</v>
      </c>
      <c r="C20" s="155" t="s">
        <v>4864</v>
      </c>
      <c r="D20" s="13">
        <v>0.7</v>
      </c>
      <c r="E20">
        <v>61003</v>
      </c>
    </row>
    <row r="21" spans="1:5">
      <c r="A21" s="151">
        <v>1</v>
      </c>
      <c r="B21" s="151">
        <v>1</v>
      </c>
      <c r="C21" s="13" t="s">
        <v>4869</v>
      </c>
      <c r="D21" s="13">
        <v>0.7</v>
      </c>
      <c r="E21">
        <v>61004</v>
      </c>
    </row>
    <row r="22" spans="1:5">
      <c r="A22" s="151">
        <v>1</v>
      </c>
      <c r="B22" s="151">
        <v>1</v>
      </c>
      <c r="C22" s="155" t="s">
        <v>4858</v>
      </c>
      <c r="D22" s="13">
        <v>0.64</v>
      </c>
      <c r="E22">
        <v>61001</v>
      </c>
    </row>
    <row r="23" spans="1:5">
      <c r="A23" s="151">
        <v>1</v>
      </c>
      <c r="B23" s="151">
        <v>1</v>
      </c>
      <c r="C23" s="155" t="s">
        <v>4859</v>
      </c>
      <c r="D23" s="13">
        <v>0.53</v>
      </c>
      <c r="E23">
        <v>61002</v>
      </c>
    </row>
    <row r="24" spans="1:5">
      <c r="A24" s="151">
        <v>1</v>
      </c>
      <c r="B24" s="151">
        <v>1</v>
      </c>
      <c r="C24" s="13" t="s">
        <v>4865</v>
      </c>
      <c r="D24" s="13">
        <v>0.7</v>
      </c>
      <c r="E24">
        <v>61003</v>
      </c>
    </row>
    <row r="25" spans="1:5">
      <c r="A25" s="151">
        <v>1</v>
      </c>
      <c r="B25" s="151">
        <v>1</v>
      </c>
      <c r="C25" s="13" t="s">
        <v>4871</v>
      </c>
      <c r="D25" s="13">
        <v>0.82</v>
      </c>
      <c r="E25">
        <v>61004</v>
      </c>
    </row>
    <row r="26" spans="1:5">
      <c r="A26" s="151">
        <v>1</v>
      </c>
      <c r="B26" s="151">
        <v>1</v>
      </c>
      <c r="C26" s="155" t="s">
        <v>4860</v>
      </c>
      <c r="D26" s="13">
        <v>0.68</v>
      </c>
      <c r="E26">
        <v>61001</v>
      </c>
    </row>
    <row r="27" spans="1:5">
      <c r="A27" s="151">
        <v>1</v>
      </c>
      <c r="B27" s="151">
        <v>1</v>
      </c>
      <c r="C27" s="155" t="s">
        <v>4861</v>
      </c>
      <c r="D27" s="13">
        <v>0.54</v>
      </c>
      <c r="E27">
        <v>61002</v>
      </c>
    </row>
    <row r="28" spans="1:5">
      <c r="A28" s="151">
        <v>1</v>
      </c>
      <c r="B28" s="151">
        <v>1</v>
      </c>
      <c r="C28" s="155" t="s">
        <v>4866</v>
      </c>
      <c r="D28" s="13">
        <v>0.13</v>
      </c>
      <c r="E28">
        <v>61003</v>
      </c>
    </row>
    <row r="29" spans="1:5">
      <c r="A29" s="151">
        <v>1</v>
      </c>
      <c r="B29" s="151">
        <v>1</v>
      </c>
      <c r="C29" s="155" t="s">
        <v>4867</v>
      </c>
      <c r="D29" s="13">
        <v>0.84</v>
      </c>
      <c r="E29">
        <v>61004</v>
      </c>
    </row>
    <row r="30" spans="1:5">
      <c r="A30" s="151">
        <v>1</v>
      </c>
      <c r="B30" s="151">
        <v>1</v>
      </c>
      <c r="C30" s="155" t="s">
        <v>4862</v>
      </c>
      <c r="D30" s="13">
        <v>0.63</v>
      </c>
      <c r="E30">
        <v>61001</v>
      </c>
    </row>
    <row r="31" spans="1:5">
      <c r="A31" s="151">
        <v>1</v>
      </c>
      <c r="B31" s="151">
        <v>1</v>
      </c>
      <c r="C31" s="155" t="s">
        <v>4863</v>
      </c>
      <c r="D31" s="13">
        <v>0.33</v>
      </c>
      <c r="E31">
        <v>61002</v>
      </c>
    </row>
    <row r="32" spans="1:5">
      <c r="A32" s="151">
        <v>1</v>
      </c>
      <c r="B32" s="151">
        <v>1</v>
      </c>
      <c r="C32" s="13" t="s">
        <v>4865</v>
      </c>
      <c r="D32" s="13">
        <v>0.93</v>
      </c>
      <c r="E32">
        <v>61003</v>
      </c>
    </row>
    <row r="33" spans="1:5">
      <c r="A33" s="151">
        <v>1</v>
      </c>
      <c r="B33" s="151">
        <v>1</v>
      </c>
      <c r="C33" s="155" t="s">
        <v>4870</v>
      </c>
      <c r="D33" s="13">
        <v>0.82</v>
      </c>
      <c r="E33">
        <v>61004</v>
      </c>
    </row>
    <row r="34" spans="1:5">
      <c r="A34" s="151">
        <v>1</v>
      </c>
      <c r="B34" s="151">
        <v>1</v>
      </c>
      <c r="C34" t="s">
        <v>4880</v>
      </c>
      <c r="D34">
        <v>0.64</v>
      </c>
      <c r="E34">
        <v>61001</v>
      </c>
    </row>
    <row r="35" spans="1:5">
      <c r="A35" s="151">
        <v>1</v>
      </c>
      <c r="B35" s="151">
        <v>1</v>
      </c>
      <c r="C35" s="155" t="s">
        <v>4867</v>
      </c>
      <c r="D35" s="13">
        <v>0.14000000000000001</v>
      </c>
      <c r="E35">
        <v>61002</v>
      </c>
    </row>
    <row r="36" spans="1:5">
      <c r="A36" s="151">
        <v>1</v>
      </c>
      <c r="B36" s="151">
        <v>1</v>
      </c>
      <c r="C36" s="156" t="s">
        <v>4873</v>
      </c>
      <c r="D36">
        <v>0.34</v>
      </c>
      <c r="E36">
        <v>61003</v>
      </c>
    </row>
    <row r="37" spans="1:5">
      <c r="A37" s="151">
        <v>1</v>
      </c>
      <c r="B37" s="151">
        <v>1</v>
      </c>
      <c r="C37" t="s">
        <v>4874</v>
      </c>
      <c r="D37">
        <v>0.73</v>
      </c>
      <c r="E37">
        <v>61004</v>
      </c>
    </row>
    <row r="38" spans="1:5">
      <c r="A38" s="151">
        <v>1</v>
      </c>
      <c r="B38" s="151">
        <v>1</v>
      </c>
      <c r="C38" s="13" t="s">
        <v>4876</v>
      </c>
      <c r="D38" s="13">
        <v>0.73</v>
      </c>
      <c r="E38">
        <v>61001</v>
      </c>
    </row>
    <row r="39" spans="1:5">
      <c r="A39" s="151">
        <v>1</v>
      </c>
      <c r="B39" s="151">
        <v>1</v>
      </c>
      <c r="C39" s="13" t="s">
        <v>4877</v>
      </c>
      <c r="D39" s="13">
        <v>0.76</v>
      </c>
      <c r="E39">
        <v>61002</v>
      </c>
    </row>
    <row r="40" spans="1:5">
      <c r="A40" s="151">
        <v>1</v>
      </c>
      <c r="B40" s="151">
        <v>1</v>
      </c>
      <c r="C40" s="155" t="s">
        <v>4868</v>
      </c>
      <c r="D40" s="13">
        <v>0.14000000000000001</v>
      </c>
      <c r="E40">
        <v>61003</v>
      </c>
    </row>
    <row r="41" spans="1:5">
      <c r="A41" s="151">
        <v>1</v>
      </c>
      <c r="B41" s="151">
        <v>1</v>
      </c>
      <c r="C41" s="156" t="s">
        <v>4873</v>
      </c>
      <c r="D41">
        <v>0.78</v>
      </c>
      <c r="E41">
        <v>61004</v>
      </c>
    </row>
    <row r="42" spans="1:5">
      <c r="A42" s="151">
        <v>1</v>
      </c>
      <c r="B42" s="151">
        <v>1</v>
      </c>
      <c r="C42" t="s">
        <v>4878</v>
      </c>
      <c r="D42">
        <v>0.74</v>
      </c>
      <c r="E42">
        <v>61001</v>
      </c>
    </row>
    <row r="43" spans="1:5">
      <c r="A43" s="151">
        <v>1</v>
      </c>
      <c r="B43" s="151">
        <v>1</v>
      </c>
      <c r="C43" s="13" t="s">
        <v>4879</v>
      </c>
      <c r="D43" s="13">
        <v>0.83</v>
      </c>
      <c r="E43">
        <v>61002</v>
      </c>
    </row>
    <row r="44" spans="1:5">
      <c r="A44" s="151">
        <v>1</v>
      </c>
      <c r="B44" s="151">
        <v>1</v>
      </c>
      <c r="C44" s="13" t="s">
        <v>4865</v>
      </c>
      <c r="D44" s="13">
        <v>0.22</v>
      </c>
      <c r="E44">
        <v>61003</v>
      </c>
    </row>
    <row r="45" spans="1:5">
      <c r="A45" s="151">
        <v>1</v>
      </c>
      <c r="B45" s="151">
        <v>1</v>
      </c>
      <c r="C45" s="155" t="s">
        <v>4870</v>
      </c>
      <c r="D45" s="13">
        <v>0.7</v>
      </c>
      <c r="E45">
        <v>61004</v>
      </c>
    </row>
    <row r="46" spans="1:5">
      <c r="A46" s="151">
        <v>1</v>
      </c>
      <c r="B46" s="151">
        <v>1</v>
      </c>
      <c r="C46" t="s">
        <v>4880</v>
      </c>
      <c r="D46">
        <v>0.53</v>
      </c>
      <c r="E46">
        <v>61001</v>
      </c>
    </row>
    <row r="47" spans="1:5">
      <c r="A47" s="151">
        <v>1</v>
      </c>
      <c r="B47" s="151">
        <v>1</v>
      </c>
      <c r="C47" s="156" t="s">
        <v>4872</v>
      </c>
      <c r="D47">
        <v>0.54</v>
      </c>
      <c r="E47">
        <v>61002</v>
      </c>
    </row>
    <row r="48" spans="1:5">
      <c r="A48" s="151">
        <v>1</v>
      </c>
      <c r="B48" s="151">
        <v>1</v>
      </c>
      <c r="C48" s="156" t="s">
        <v>4873</v>
      </c>
      <c r="D48">
        <v>0.94</v>
      </c>
      <c r="E48">
        <v>61003</v>
      </c>
    </row>
    <row r="49" spans="1:5">
      <c r="A49" s="151">
        <v>1</v>
      </c>
      <c r="B49" s="151">
        <v>1</v>
      </c>
      <c r="C49" t="s">
        <v>4874</v>
      </c>
      <c r="D49">
        <v>0.53</v>
      </c>
      <c r="E49">
        <v>61004</v>
      </c>
    </row>
    <row r="50" spans="1:5">
      <c r="A50" s="151">
        <v>2</v>
      </c>
      <c r="B50" s="151">
        <v>1</v>
      </c>
      <c r="C50" s="155" t="s">
        <v>4297</v>
      </c>
      <c r="D50" s="155">
        <v>0.83</v>
      </c>
      <c r="E50">
        <v>61001</v>
      </c>
    </row>
    <row r="51" spans="1:5">
      <c r="A51" s="151">
        <v>2</v>
      </c>
      <c r="B51" s="151">
        <v>1</v>
      </c>
      <c r="C51" s="155" t="s">
        <v>4298</v>
      </c>
      <c r="D51" s="13">
        <v>0.11</v>
      </c>
      <c r="E51">
        <v>61002</v>
      </c>
    </row>
    <row r="52" spans="1:5">
      <c r="A52" s="151">
        <v>2</v>
      </c>
      <c r="B52" s="151">
        <v>1</v>
      </c>
      <c r="C52" s="13" t="s">
        <v>4303</v>
      </c>
      <c r="D52" s="13">
        <v>0.74</v>
      </c>
      <c r="E52">
        <v>61003</v>
      </c>
    </row>
    <row r="53" spans="1:5">
      <c r="A53" s="151">
        <v>2</v>
      </c>
      <c r="B53" s="151">
        <v>1</v>
      </c>
      <c r="C53" s="156" t="s">
        <v>4859</v>
      </c>
      <c r="D53">
        <v>0.23</v>
      </c>
      <c r="E53">
        <v>61004</v>
      </c>
    </row>
    <row r="54" spans="1:5">
      <c r="A54" s="151">
        <v>2</v>
      </c>
      <c r="B54" s="151">
        <v>1</v>
      </c>
      <c r="C54" s="13" t="s">
        <v>4875</v>
      </c>
      <c r="D54" s="13">
        <v>0.51</v>
      </c>
      <c r="E54">
        <v>61001</v>
      </c>
    </row>
    <row r="55" spans="1:5">
      <c r="A55" s="151">
        <v>2</v>
      </c>
      <c r="B55" s="151">
        <v>1</v>
      </c>
      <c r="C55" s="155" t="s">
        <v>4297</v>
      </c>
      <c r="D55" s="155">
        <v>0.18</v>
      </c>
      <c r="E55">
        <v>61002</v>
      </c>
    </row>
    <row r="56" spans="1:5">
      <c r="A56" s="151">
        <v>2</v>
      </c>
      <c r="B56" s="151">
        <v>1</v>
      </c>
      <c r="C56" s="155" t="s">
        <v>4298</v>
      </c>
      <c r="D56" s="13">
        <v>0.28000000000000003</v>
      </c>
      <c r="E56">
        <v>61003</v>
      </c>
    </row>
    <row r="57" spans="1:5">
      <c r="A57" s="151">
        <v>2</v>
      </c>
      <c r="B57" s="151">
        <v>1</v>
      </c>
      <c r="C57" s="155" t="s">
        <v>4857</v>
      </c>
      <c r="D57" s="13">
        <v>0.41</v>
      </c>
      <c r="E57">
        <v>61004</v>
      </c>
    </row>
    <row r="58" spans="1:5">
      <c r="A58" s="151">
        <v>2</v>
      </c>
      <c r="B58" s="151">
        <v>1</v>
      </c>
      <c r="C58" s="155" t="s">
        <v>4298</v>
      </c>
      <c r="D58" s="13">
        <v>0.6</v>
      </c>
      <c r="E58">
        <v>61001</v>
      </c>
    </row>
    <row r="59" spans="1:5">
      <c r="A59" s="151">
        <v>2</v>
      </c>
      <c r="B59" s="151">
        <v>1</v>
      </c>
      <c r="C59" s="157" t="s">
        <v>4301</v>
      </c>
      <c r="D59" s="157">
        <v>0.55000000000000004</v>
      </c>
      <c r="E59">
        <v>61002</v>
      </c>
    </row>
    <row r="60" spans="1:5">
      <c r="A60" s="151">
        <v>2</v>
      </c>
      <c r="B60" s="151">
        <v>1</v>
      </c>
      <c r="C60" s="158" t="s">
        <v>4667</v>
      </c>
      <c r="D60" s="158">
        <v>0.18</v>
      </c>
      <c r="E60">
        <v>61003</v>
      </c>
    </row>
    <row r="61" spans="1:5">
      <c r="A61" s="151">
        <v>2</v>
      </c>
      <c r="B61" s="151">
        <v>1</v>
      </c>
      <c r="C61" s="159" t="s">
        <v>4667</v>
      </c>
      <c r="D61" s="158">
        <v>0.33</v>
      </c>
      <c r="E61">
        <v>61004</v>
      </c>
    </row>
    <row r="62" spans="1:5">
      <c r="A62" s="151">
        <v>2</v>
      </c>
      <c r="B62" s="151">
        <v>1</v>
      </c>
      <c r="C62" s="155" t="s">
        <v>4299</v>
      </c>
      <c r="D62" s="13">
        <v>0.31</v>
      </c>
      <c r="E62">
        <v>61001</v>
      </c>
    </row>
    <row r="63" spans="1:5">
      <c r="A63" s="151">
        <v>2</v>
      </c>
      <c r="B63" s="151">
        <v>1</v>
      </c>
      <c r="C63" s="155" t="s">
        <v>4298</v>
      </c>
      <c r="D63" s="13">
        <v>0.72</v>
      </c>
      <c r="E63">
        <v>61002</v>
      </c>
    </row>
    <row r="64" spans="1:5">
      <c r="A64" s="151">
        <v>2</v>
      </c>
      <c r="B64" s="151">
        <v>1</v>
      </c>
      <c r="C64" s="13" t="s">
        <v>4303</v>
      </c>
      <c r="D64" s="13">
        <v>0.94</v>
      </c>
      <c r="E64">
        <v>61003</v>
      </c>
    </row>
    <row r="65" spans="1:5">
      <c r="A65" s="151">
        <v>2</v>
      </c>
      <c r="B65" s="151">
        <v>1</v>
      </c>
      <c r="C65" s="155" t="s">
        <v>4668</v>
      </c>
      <c r="D65" s="13">
        <v>0.67</v>
      </c>
      <c r="E65">
        <v>61004</v>
      </c>
    </row>
    <row r="66" spans="1:5">
      <c r="A66" s="151">
        <v>2</v>
      </c>
      <c r="B66" s="151">
        <v>1</v>
      </c>
      <c r="C66" s="155" t="s">
        <v>4297</v>
      </c>
      <c r="D66" s="155">
        <v>0.28000000000000003</v>
      </c>
      <c r="E66">
        <v>61001</v>
      </c>
    </row>
    <row r="67" spans="1:5">
      <c r="A67" s="151">
        <v>2</v>
      </c>
      <c r="B67" s="151">
        <v>1</v>
      </c>
      <c r="C67" s="13" t="s">
        <v>4303</v>
      </c>
      <c r="D67" s="13">
        <v>0.43</v>
      </c>
      <c r="E67">
        <v>61002</v>
      </c>
    </row>
    <row r="68" spans="1:5">
      <c r="A68" s="151">
        <v>2</v>
      </c>
      <c r="B68" s="151">
        <v>1</v>
      </c>
      <c r="C68" s="155" t="s">
        <v>4668</v>
      </c>
      <c r="D68" s="13">
        <v>0.39</v>
      </c>
      <c r="E68">
        <v>61003</v>
      </c>
    </row>
    <row r="69" spans="1:5">
      <c r="A69" s="151">
        <v>2</v>
      </c>
      <c r="B69" s="151">
        <v>1</v>
      </c>
      <c r="C69" s="159" t="s">
        <v>4854</v>
      </c>
      <c r="D69" s="158">
        <v>0.3</v>
      </c>
      <c r="E69">
        <v>61004</v>
      </c>
    </row>
    <row r="70" spans="1:5">
      <c r="A70" s="151">
        <v>2</v>
      </c>
      <c r="B70" s="151">
        <v>1</v>
      </c>
      <c r="C70" s="13" t="s">
        <v>4875</v>
      </c>
      <c r="D70" s="13">
        <v>0.4</v>
      </c>
      <c r="E70">
        <v>61001</v>
      </c>
    </row>
    <row r="71" spans="1:5">
      <c r="A71" s="151">
        <v>2</v>
      </c>
      <c r="B71" s="151">
        <v>1</v>
      </c>
      <c r="C71" s="155" t="s">
        <v>4297</v>
      </c>
      <c r="D71" s="155">
        <v>0.53</v>
      </c>
      <c r="E71">
        <v>61002</v>
      </c>
    </row>
    <row r="72" spans="1:5">
      <c r="A72" s="151">
        <v>2</v>
      </c>
      <c r="B72" s="151">
        <v>1</v>
      </c>
      <c r="C72" s="155" t="s">
        <v>4668</v>
      </c>
      <c r="D72" s="13">
        <v>0.11</v>
      </c>
      <c r="E72">
        <v>61003</v>
      </c>
    </row>
    <row r="73" spans="1:5">
      <c r="A73" s="151">
        <v>2</v>
      </c>
      <c r="B73" s="151">
        <v>1</v>
      </c>
      <c r="C73" s="159" t="s">
        <v>4854</v>
      </c>
      <c r="D73" s="158">
        <v>0.7</v>
      </c>
      <c r="E73">
        <v>61004</v>
      </c>
    </row>
    <row r="74" spans="1:5">
      <c r="A74" s="151">
        <v>2</v>
      </c>
      <c r="B74" s="151">
        <v>1</v>
      </c>
      <c r="C74" s="158" t="s">
        <v>4667</v>
      </c>
      <c r="D74" s="158">
        <v>0.43</v>
      </c>
      <c r="E74">
        <v>61001</v>
      </c>
    </row>
    <row r="75" spans="1:5">
      <c r="A75" s="151">
        <v>2</v>
      </c>
      <c r="B75" s="151">
        <v>1</v>
      </c>
      <c r="C75" s="159" t="s">
        <v>4667</v>
      </c>
      <c r="D75" s="159">
        <v>0.56999999999999995</v>
      </c>
      <c r="E75">
        <v>61002</v>
      </c>
    </row>
    <row r="76" spans="1:5">
      <c r="A76" s="151">
        <v>2</v>
      </c>
      <c r="B76" s="151">
        <v>1</v>
      </c>
      <c r="C76" s="159" t="s">
        <v>4669</v>
      </c>
      <c r="D76" s="158">
        <v>0.96</v>
      </c>
      <c r="E76">
        <v>61003</v>
      </c>
    </row>
    <row r="77" spans="1:5">
      <c r="A77" s="151">
        <v>2</v>
      </c>
      <c r="B77" s="151">
        <v>1</v>
      </c>
      <c r="C77" s="155" t="s">
        <v>4857</v>
      </c>
      <c r="D77" s="13">
        <v>0.2</v>
      </c>
      <c r="E77">
        <v>61004</v>
      </c>
    </row>
    <row r="78" spans="1:5">
      <c r="A78" s="151">
        <v>2</v>
      </c>
      <c r="B78" s="151">
        <v>1</v>
      </c>
      <c r="C78" s="155" t="s">
        <v>4298</v>
      </c>
      <c r="D78" s="13">
        <v>0.91</v>
      </c>
      <c r="E78">
        <v>61001</v>
      </c>
    </row>
    <row r="79" spans="1:5">
      <c r="A79" s="151">
        <v>2</v>
      </c>
      <c r="B79" s="151">
        <v>1</v>
      </c>
      <c r="C79" s="155" t="s">
        <v>4668</v>
      </c>
      <c r="D79" s="13">
        <v>0.72</v>
      </c>
      <c r="E79">
        <v>61002</v>
      </c>
    </row>
    <row r="80" spans="1:5">
      <c r="A80" s="151">
        <v>2</v>
      </c>
      <c r="B80" s="151">
        <v>1</v>
      </c>
      <c r="C80" s="155" t="s">
        <v>4857</v>
      </c>
      <c r="D80" s="13">
        <v>0.5</v>
      </c>
      <c r="E80">
        <v>61003</v>
      </c>
    </row>
    <row r="81" spans="1:5">
      <c r="A81" s="151">
        <v>2</v>
      </c>
      <c r="B81" s="151">
        <v>1</v>
      </c>
      <c r="C81" s="156" t="s">
        <v>4860</v>
      </c>
      <c r="D81">
        <v>0.59</v>
      </c>
      <c r="E81">
        <v>61004</v>
      </c>
    </row>
    <row r="82" spans="1:5">
      <c r="A82" s="151">
        <v>2</v>
      </c>
      <c r="B82" s="151">
        <v>1</v>
      </c>
      <c r="C82" s="155" t="s">
        <v>4303</v>
      </c>
      <c r="D82" s="155">
        <v>0.62</v>
      </c>
      <c r="E82">
        <v>61001</v>
      </c>
    </row>
    <row r="83" spans="1:5">
      <c r="A83" s="151">
        <v>2</v>
      </c>
      <c r="B83" s="151">
        <v>1</v>
      </c>
      <c r="C83" s="159" t="s">
        <v>4669</v>
      </c>
      <c r="D83" s="158">
        <v>0.24</v>
      </c>
      <c r="E83">
        <v>61002</v>
      </c>
    </row>
    <row r="84" spans="1:5">
      <c r="A84" s="151">
        <v>2</v>
      </c>
      <c r="B84" s="151">
        <v>1</v>
      </c>
      <c r="C84" s="155" t="s">
        <v>4856</v>
      </c>
      <c r="D84" s="13">
        <v>0.2</v>
      </c>
      <c r="E84">
        <v>61003</v>
      </c>
    </row>
    <row r="85" spans="1:5">
      <c r="A85" s="151">
        <v>2</v>
      </c>
      <c r="B85" s="151">
        <v>1</v>
      </c>
      <c r="C85" s="155" t="s">
        <v>4857</v>
      </c>
      <c r="D85" s="13">
        <v>0.7</v>
      </c>
      <c r="E85">
        <v>61004</v>
      </c>
    </row>
    <row r="86" spans="1:5">
      <c r="A86" s="151">
        <v>2</v>
      </c>
      <c r="B86" s="151">
        <v>1</v>
      </c>
      <c r="C86" s="155" t="s">
        <v>4297</v>
      </c>
      <c r="D86" s="155">
        <v>0.66</v>
      </c>
      <c r="E86">
        <v>61001</v>
      </c>
    </row>
    <row r="87" spans="1:5">
      <c r="A87" s="151">
        <v>2</v>
      </c>
      <c r="B87" s="151">
        <v>1</v>
      </c>
      <c r="C87" s="159" t="s">
        <v>4855</v>
      </c>
      <c r="D87" s="158">
        <v>0.2</v>
      </c>
      <c r="E87">
        <v>61002</v>
      </c>
    </row>
    <row r="88" spans="1:5">
      <c r="A88" s="151">
        <v>2</v>
      </c>
      <c r="B88" s="151">
        <v>1</v>
      </c>
      <c r="C88" s="159" t="s">
        <v>4855</v>
      </c>
      <c r="D88" s="158">
        <v>0.5</v>
      </c>
      <c r="E88">
        <v>61003</v>
      </c>
    </row>
    <row r="89" spans="1:5">
      <c r="A89" s="151">
        <v>2</v>
      </c>
      <c r="B89" s="151">
        <v>1</v>
      </c>
      <c r="C89" s="155" t="s">
        <v>4857</v>
      </c>
      <c r="D89" s="13">
        <v>0.79</v>
      </c>
      <c r="E89">
        <v>61004</v>
      </c>
    </row>
    <row r="90" spans="1:5">
      <c r="A90" s="151">
        <v>2</v>
      </c>
      <c r="B90" s="151">
        <v>1</v>
      </c>
      <c r="C90" s="157" t="s">
        <v>4299</v>
      </c>
      <c r="D90" s="157">
        <v>0.6</v>
      </c>
      <c r="E90">
        <v>61001</v>
      </c>
    </row>
    <row r="91" spans="1:5">
      <c r="A91" s="151">
        <v>2</v>
      </c>
      <c r="B91" s="151">
        <v>1</v>
      </c>
      <c r="C91" s="159" t="s">
        <v>4667</v>
      </c>
      <c r="D91" s="159">
        <v>0.89</v>
      </c>
      <c r="E91">
        <v>61002</v>
      </c>
    </row>
    <row r="92" spans="1:5">
      <c r="A92" s="151">
        <v>2</v>
      </c>
      <c r="B92" s="151">
        <v>1</v>
      </c>
      <c r="C92" s="159" t="s">
        <v>4855</v>
      </c>
      <c r="D92" s="158">
        <v>0.8</v>
      </c>
      <c r="E92">
        <v>61003</v>
      </c>
    </row>
    <row r="93" spans="1:5">
      <c r="A93" s="151">
        <v>2</v>
      </c>
      <c r="B93" s="151">
        <v>1</v>
      </c>
      <c r="C93" s="155" t="s">
        <v>4858</v>
      </c>
      <c r="D93" s="13">
        <v>0.1</v>
      </c>
      <c r="E93">
        <v>61004</v>
      </c>
    </row>
    <row r="94" spans="1:5">
      <c r="A94" s="151">
        <v>2</v>
      </c>
      <c r="B94" s="151">
        <v>1</v>
      </c>
      <c r="C94" s="155" t="s">
        <v>4299</v>
      </c>
      <c r="D94" s="155">
        <v>0.14000000000000001</v>
      </c>
      <c r="E94">
        <v>61001</v>
      </c>
    </row>
    <row r="95" spans="1:5">
      <c r="A95" s="151">
        <v>2</v>
      </c>
      <c r="B95" s="151">
        <v>1</v>
      </c>
      <c r="C95" s="157" t="s">
        <v>4299</v>
      </c>
      <c r="D95" s="157">
        <v>0.73</v>
      </c>
      <c r="E95">
        <v>61002</v>
      </c>
    </row>
    <row r="96" spans="1:5">
      <c r="A96" s="151">
        <v>2</v>
      </c>
      <c r="B96" s="151">
        <v>1</v>
      </c>
      <c r="C96" s="155" t="s">
        <v>4856</v>
      </c>
      <c r="D96" s="13">
        <v>0.8</v>
      </c>
      <c r="E96">
        <v>61003</v>
      </c>
    </row>
    <row r="97" spans="1:5">
      <c r="A97" s="151">
        <v>2</v>
      </c>
      <c r="B97" s="151">
        <v>1</v>
      </c>
      <c r="C97" s="155" t="s">
        <v>4858</v>
      </c>
      <c r="D97" s="13">
        <v>0.2</v>
      </c>
      <c r="E97">
        <v>61004</v>
      </c>
    </row>
  </sheetData>
  <phoneticPr fontId="7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9"/>
  <dimension ref="A1:L20"/>
  <sheetViews>
    <sheetView workbookViewId="0">
      <selection activeCell="C22" sqref="C22"/>
    </sheetView>
  </sheetViews>
  <sheetFormatPr defaultColWidth="9" defaultRowHeight="16.5"/>
  <cols>
    <col min="1" max="1" width="25.625" customWidth="1"/>
    <col min="2" max="2" width="16.5" customWidth="1"/>
    <col min="3" max="3" width="15.875" customWidth="1"/>
    <col min="4" max="4" width="15" customWidth="1"/>
    <col min="5" max="5" width="15.25" customWidth="1"/>
    <col min="6" max="6" width="10.25" customWidth="1"/>
    <col min="7" max="10" width="10.375" customWidth="1"/>
    <col min="11" max="11" width="11.625" customWidth="1"/>
    <col min="12" max="12" width="25.625" customWidth="1"/>
  </cols>
  <sheetData>
    <row r="1" spans="1:12" s="88" customFormat="1">
      <c r="A1" s="89" t="s">
        <v>56</v>
      </c>
      <c r="B1" s="89" t="s">
        <v>57</v>
      </c>
      <c r="C1" s="89" t="s">
        <v>58</v>
      </c>
      <c r="D1" s="89" t="s">
        <v>59</v>
      </c>
      <c r="E1" s="89" t="s">
        <v>60</v>
      </c>
      <c r="F1" s="89" t="s">
        <v>61</v>
      </c>
      <c r="G1" s="89" t="s">
        <v>62</v>
      </c>
      <c r="H1" s="89" t="s">
        <v>63</v>
      </c>
      <c r="I1" s="89" t="s">
        <v>64</v>
      </c>
      <c r="J1" s="89" t="s">
        <v>65</v>
      </c>
      <c r="K1" s="89" t="s">
        <v>66</v>
      </c>
      <c r="L1" s="88" t="s">
        <v>67</v>
      </c>
    </row>
    <row r="2" spans="1:12">
      <c r="A2" s="5" t="s">
        <v>29</v>
      </c>
      <c r="B2" s="5" t="s">
        <v>68</v>
      </c>
      <c r="C2" s="5" t="s">
        <v>69</v>
      </c>
      <c r="D2" s="5" t="s">
        <v>70</v>
      </c>
      <c r="E2" s="5"/>
      <c r="F2" s="5"/>
      <c r="G2" s="5"/>
      <c r="H2" s="5"/>
      <c r="I2" s="5"/>
      <c r="J2" s="5"/>
      <c r="K2" s="5"/>
      <c r="L2" t="s">
        <v>68</v>
      </c>
    </row>
    <row r="3" spans="1:12">
      <c r="A3" s="5" t="s">
        <v>9</v>
      </c>
      <c r="B3" s="5" t="s">
        <v>71</v>
      </c>
      <c r="C3" s="5" t="s">
        <v>72</v>
      </c>
      <c r="D3" s="5" t="s">
        <v>73</v>
      </c>
      <c r="E3" s="5" t="s">
        <v>74</v>
      </c>
      <c r="F3" s="5"/>
      <c r="G3" s="5"/>
      <c r="H3" s="5"/>
      <c r="I3" s="5"/>
      <c r="J3" s="5"/>
      <c r="K3" s="5"/>
      <c r="L3" t="s">
        <v>71</v>
      </c>
    </row>
    <row r="4" spans="1:12">
      <c r="A4" s="5" t="s">
        <v>21</v>
      </c>
      <c r="B4" s="5" t="s">
        <v>75</v>
      </c>
      <c r="C4" s="5" t="s">
        <v>76</v>
      </c>
      <c r="D4" s="5"/>
      <c r="E4" s="5"/>
      <c r="F4" s="5"/>
      <c r="G4" s="5"/>
      <c r="H4" s="5"/>
      <c r="I4" s="5"/>
      <c r="J4" s="5"/>
      <c r="K4" s="5"/>
      <c r="L4" t="s">
        <v>75</v>
      </c>
    </row>
    <row r="5" spans="1:12">
      <c r="A5" s="5" t="s">
        <v>77</v>
      </c>
      <c r="B5" s="5" t="s">
        <v>78</v>
      </c>
      <c r="C5" s="5" t="s">
        <v>79</v>
      </c>
      <c r="D5" s="5"/>
      <c r="E5" s="5"/>
      <c r="F5" s="5" t="s">
        <v>80</v>
      </c>
      <c r="G5" s="5"/>
      <c r="H5" s="5"/>
      <c r="I5" s="5"/>
      <c r="J5" s="5"/>
      <c r="K5" s="5"/>
      <c r="L5" t="s">
        <v>78</v>
      </c>
    </row>
    <row r="6" spans="1:12">
      <c r="A6" s="5" t="s">
        <v>81</v>
      </c>
      <c r="B6" s="5" t="s">
        <v>75</v>
      </c>
      <c r="C6" s="233" t="s">
        <v>6200</v>
      </c>
      <c r="D6" s="5" t="s">
        <v>82</v>
      </c>
      <c r="E6" s="5" t="s">
        <v>83</v>
      </c>
      <c r="F6" s="5"/>
      <c r="G6" s="5"/>
      <c r="H6" s="5"/>
      <c r="I6" s="5"/>
      <c r="J6" s="5"/>
      <c r="K6" s="5"/>
      <c r="L6" t="s">
        <v>75</v>
      </c>
    </row>
    <row r="7" spans="1:12">
      <c r="A7" s="5" t="s">
        <v>84</v>
      </c>
      <c r="B7" s="5" t="s">
        <v>85</v>
      </c>
      <c r="C7" s="5" t="s">
        <v>86</v>
      </c>
      <c r="D7" s="5"/>
      <c r="E7" s="5"/>
      <c r="F7" s="5" t="s">
        <v>80</v>
      </c>
      <c r="G7" s="5"/>
      <c r="H7" s="5"/>
      <c r="I7" s="5"/>
      <c r="J7" s="5"/>
      <c r="K7" s="5"/>
      <c r="L7" t="s">
        <v>85</v>
      </c>
    </row>
    <row r="8" spans="1:12">
      <c r="A8" s="5" t="s">
        <v>87</v>
      </c>
      <c r="B8" s="5" t="s">
        <v>85</v>
      </c>
      <c r="C8" s="5" t="s">
        <v>88</v>
      </c>
      <c r="D8" s="5" t="s">
        <v>89</v>
      </c>
      <c r="E8" s="5" t="s">
        <v>90</v>
      </c>
      <c r="F8" s="5" t="s">
        <v>91</v>
      </c>
      <c r="G8" s="5"/>
      <c r="H8" s="5"/>
      <c r="I8" s="5"/>
      <c r="J8" s="5"/>
      <c r="K8" s="5"/>
      <c r="L8" t="s">
        <v>92</v>
      </c>
    </row>
    <row r="9" spans="1:12">
      <c r="A9" s="5" t="s">
        <v>93</v>
      </c>
      <c r="B9" s="5" t="s">
        <v>94</v>
      </c>
      <c r="C9" s="5" t="s">
        <v>95</v>
      </c>
      <c r="D9" s="5"/>
      <c r="E9" s="5"/>
      <c r="F9" s="5"/>
      <c r="G9" s="5"/>
      <c r="H9" s="5"/>
      <c r="I9" s="5"/>
      <c r="J9" s="5"/>
      <c r="K9" s="5"/>
      <c r="L9" t="s">
        <v>94</v>
      </c>
    </row>
    <row r="10" spans="1:12">
      <c r="A10" s="5" t="s">
        <v>96</v>
      </c>
      <c r="B10" s="5" t="s">
        <v>97</v>
      </c>
      <c r="C10" s="233" t="s">
        <v>6200</v>
      </c>
      <c r="D10" s="5" t="s">
        <v>98</v>
      </c>
      <c r="E10" s="5" t="s">
        <v>99</v>
      </c>
      <c r="F10" s="5"/>
      <c r="G10" s="5"/>
      <c r="H10" s="5"/>
      <c r="I10" s="5"/>
      <c r="J10" s="5"/>
      <c r="K10" s="5"/>
      <c r="L10" t="s">
        <v>97</v>
      </c>
    </row>
    <row r="11" spans="1:12">
      <c r="A11" s="5" t="s">
        <v>100</v>
      </c>
      <c r="B11" s="5" t="s">
        <v>101</v>
      </c>
      <c r="C11" s="5" t="s">
        <v>102</v>
      </c>
      <c r="D11" s="5" t="s">
        <v>103</v>
      </c>
      <c r="E11" s="5"/>
      <c r="F11" s="5"/>
      <c r="G11" s="5"/>
      <c r="H11" s="5"/>
      <c r="I11" s="5"/>
      <c r="J11" s="5"/>
      <c r="K11" s="5"/>
      <c r="L11" t="s">
        <v>101</v>
      </c>
    </row>
    <row r="12" spans="1:12">
      <c r="A12" s="5" t="s">
        <v>104</v>
      </c>
      <c r="B12" s="5" t="s">
        <v>105</v>
      </c>
      <c r="C12" s="5" t="s">
        <v>106</v>
      </c>
      <c r="D12" s="5" t="s">
        <v>79</v>
      </c>
      <c r="E12" s="5" t="s">
        <v>90</v>
      </c>
      <c r="F12" s="5"/>
      <c r="G12" s="5"/>
      <c r="H12" s="5"/>
      <c r="I12" s="5"/>
      <c r="J12" s="5"/>
      <c r="K12" s="5"/>
      <c r="L12" t="s">
        <v>107</v>
      </c>
    </row>
    <row r="13" spans="1:12">
      <c r="A13" s="5" t="s">
        <v>108</v>
      </c>
      <c r="B13" s="5" t="s">
        <v>109</v>
      </c>
      <c r="C13" s="5" t="s">
        <v>110</v>
      </c>
      <c r="D13" s="5" t="s">
        <v>111</v>
      </c>
      <c r="E13" s="5" t="s">
        <v>112</v>
      </c>
      <c r="F13" s="5"/>
      <c r="G13" s="5"/>
      <c r="H13" s="5"/>
      <c r="I13" s="5"/>
      <c r="J13" s="5"/>
      <c r="K13" s="5"/>
      <c r="L13" t="s">
        <v>109</v>
      </c>
    </row>
    <row r="14" spans="1:12">
      <c r="A14" s="5" t="s">
        <v>113</v>
      </c>
      <c r="B14" s="5" t="s">
        <v>114</v>
      </c>
      <c r="C14" s="5" t="s">
        <v>115</v>
      </c>
      <c r="D14" s="5"/>
      <c r="E14" s="5"/>
      <c r="F14" s="5"/>
      <c r="G14" s="5"/>
      <c r="H14" s="5"/>
      <c r="I14" s="5"/>
      <c r="J14" s="5"/>
      <c r="K14" s="5"/>
      <c r="L14" t="s">
        <v>114</v>
      </c>
    </row>
    <row r="15" spans="1:12">
      <c r="A15" s="5" t="s">
        <v>116</v>
      </c>
      <c r="B15" s="5" t="s">
        <v>117</v>
      </c>
      <c r="C15" s="5" t="s">
        <v>118</v>
      </c>
      <c r="D15" s="5" t="s">
        <v>119</v>
      </c>
      <c r="E15" s="5"/>
      <c r="F15" s="5"/>
      <c r="G15" s="5"/>
      <c r="H15" s="5"/>
      <c r="I15" s="5"/>
      <c r="J15" s="5"/>
      <c r="K15" s="5"/>
      <c r="L15" t="s">
        <v>117</v>
      </c>
    </row>
    <row r="16" spans="1:12">
      <c r="A16" s="5" t="s">
        <v>120</v>
      </c>
      <c r="B16" s="5" t="s">
        <v>121</v>
      </c>
      <c r="C16" s="5" t="s">
        <v>75</v>
      </c>
      <c r="D16" s="5" t="s">
        <v>90</v>
      </c>
      <c r="E16" s="5" t="s">
        <v>91</v>
      </c>
      <c r="F16" s="5"/>
      <c r="G16" s="5"/>
      <c r="H16" s="5"/>
      <c r="I16" s="5"/>
      <c r="J16" s="5"/>
      <c r="K16" s="5"/>
      <c r="L16" t="s">
        <v>122</v>
      </c>
    </row>
    <row r="17" spans="1:12">
      <c r="A17" s="5" t="s">
        <v>123</v>
      </c>
      <c r="B17" s="5" t="s">
        <v>68</v>
      </c>
      <c r="C17" s="5" t="s">
        <v>124</v>
      </c>
      <c r="D17" s="5"/>
      <c r="E17" s="5"/>
      <c r="F17" s="5" t="s">
        <v>80</v>
      </c>
      <c r="G17" s="5"/>
      <c r="H17" s="5"/>
      <c r="I17" s="5"/>
      <c r="J17" s="5"/>
      <c r="K17" s="5"/>
      <c r="L17" t="s">
        <v>68</v>
      </c>
    </row>
    <row r="18" spans="1:12">
      <c r="A18" s="5" t="s">
        <v>125</v>
      </c>
      <c r="B18" s="5" t="s">
        <v>126</v>
      </c>
      <c r="C18" s="5" t="s">
        <v>124</v>
      </c>
      <c r="D18" s="5"/>
      <c r="E18" s="5"/>
      <c r="F18" s="5"/>
      <c r="G18" s="5"/>
      <c r="H18" s="5"/>
      <c r="I18" s="5"/>
      <c r="J18" s="5"/>
      <c r="K18" s="5"/>
      <c r="L18" t="s">
        <v>126</v>
      </c>
    </row>
    <row r="19" spans="1:12">
      <c r="A19" s="5" t="s">
        <v>127</v>
      </c>
      <c r="B19" s="5" t="s">
        <v>128</v>
      </c>
      <c r="C19" s="5" t="s">
        <v>75</v>
      </c>
      <c r="D19" s="5" t="s">
        <v>89</v>
      </c>
      <c r="E19" s="5" t="s">
        <v>82</v>
      </c>
      <c r="F19" s="5" t="s">
        <v>129</v>
      </c>
      <c r="G19" s="5" t="s">
        <v>91</v>
      </c>
      <c r="H19" s="5"/>
      <c r="I19" s="5"/>
      <c r="J19" s="5"/>
      <c r="K19" s="5"/>
      <c r="L19" t="s">
        <v>130</v>
      </c>
    </row>
    <row r="20" spans="1:12">
      <c r="A20" s="5" t="s">
        <v>131</v>
      </c>
      <c r="B20" s="5" t="s">
        <v>121</v>
      </c>
      <c r="C20" s="5" t="s">
        <v>75</v>
      </c>
      <c r="D20" s="5" t="s">
        <v>118</v>
      </c>
      <c r="E20" s="5" t="s">
        <v>90</v>
      </c>
      <c r="L20" t="s">
        <v>122</v>
      </c>
    </row>
  </sheetData>
  <phoneticPr fontId="7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P30"/>
  <sheetViews>
    <sheetView tabSelected="1" workbookViewId="0">
      <selection activeCell="C21" sqref="C21"/>
    </sheetView>
  </sheetViews>
  <sheetFormatPr defaultColWidth="9" defaultRowHeight="16.5"/>
  <cols>
    <col min="1" max="1" width="38" customWidth="1"/>
    <col min="2" max="2" width="9.625" customWidth="1"/>
    <col min="3" max="3" width="15.5" customWidth="1"/>
    <col min="4" max="4" width="23.875" customWidth="1"/>
    <col min="5" max="5" width="24.125" customWidth="1"/>
    <col min="6" max="6" width="4.625" customWidth="1"/>
    <col min="7" max="16" width="9" customWidth="1"/>
  </cols>
  <sheetData>
    <row r="1" spans="1:16" s="12" customFormat="1" ht="33">
      <c r="A1" s="77" t="s">
        <v>132</v>
      </c>
      <c r="B1" s="77"/>
      <c r="C1" s="78"/>
      <c r="D1" s="78" t="s">
        <v>133</v>
      </c>
      <c r="E1" s="78" t="s">
        <v>134</v>
      </c>
      <c r="F1" s="77" t="s">
        <v>135</v>
      </c>
      <c r="G1" s="78" t="s">
        <v>136</v>
      </c>
      <c r="H1" s="78" t="s">
        <v>137</v>
      </c>
      <c r="I1" s="78" t="s">
        <v>138</v>
      </c>
      <c r="J1" s="78" t="s">
        <v>139</v>
      </c>
      <c r="K1" s="78" t="s">
        <v>140</v>
      </c>
      <c r="L1" s="78" t="s">
        <v>141</v>
      </c>
      <c r="M1" s="78" t="s">
        <v>142</v>
      </c>
      <c r="N1" s="78" t="s">
        <v>143</v>
      </c>
      <c r="O1" s="78" t="s">
        <v>144</v>
      </c>
      <c r="P1" s="78" t="s">
        <v>145</v>
      </c>
    </row>
    <row r="2" spans="1:16">
      <c r="A2" t="s">
        <v>6223</v>
      </c>
      <c r="D2" t="s">
        <v>3778</v>
      </c>
      <c r="E2" t="s">
        <v>3779</v>
      </c>
      <c r="F2">
        <v>1</v>
      </c>
      <c r="G2" s="232">
        <v>71010</v>
      </c>
      <c r="H2" s="231"/>
    </row>
    <row r="3" spans="1:16">
      <c r="D3" t="s">
        <v>3780</v>
      </c>
      <c r="E3" t="s">
        <v>3781</v>
      </c>
      <c r="F3">
        <v>1</v>
      </c>
      <c r="G3">
        <v>71110</v>
      </c>
    </row>
    <row r="4" spans="1:16" ht="33">
      <c r="A4" s="77" t="s">
        <v>147</v>
      </c>
      <c r="D4" t="s">
        <v>3782</v>
      </c>
      <c r="E4" t="s">
        <v>3779</v>
      </c>
      <c r="F4">
        <v>1</v>
      </c>
    </row>
    <row r="5" spans="1:16">
      <c r="A5" t="s">
        <v>6207</v>
      </c>
      <c r="D5" t="s">
        <v>3783</v>
      </c>
      <c r="E5" t="s">
        <v>3784</v>
      </c>
      <c r="F5">
        <v>1</v>
      </c>
    </row>
    <row r="6" spans="1:16">
      <c r="D6" t="s">
        <v>3785</v>
      </c>
      <c r="E6" t="s">
        <v>3779</v>
      </c>
      <c r="F6">
        <v>1</v>
      </c>
    </row>
    <row r="7" spans="1:16">
      <c r="A7" s="77" t="s">
        <v>148</v>
      </c>
      <c r="D7" t="s">
        <v>3786</v>
      </c>
      <c r="E7" t="s">
        <v>3787</v>
      </c>
      <c r="F7">
        <v>1</v>
      </c>
    </row>
    <row r="8" spans="1:16">
      <c r="A8" t="s">
        <v>149</v>
      </c>
      <c r="D8" s="79" t="s">
        <v>3788</v>
      </c>
      <c r="E8" s="80" t="s">
        <v>3789</v>
      </c>
      <c r="F8" s="81">
        <v>1</v>
      </c>
    </row>
    <row r="9" spans="1:16">
      <c r="A9" t="s">
        <v>150</v>
      </c>
      <c r="D9" s="82" t="s">
        <v>3790</v>
      </c>
      <c r="E9" s="83" t="s">
        <v>3787</v>
      </c>
      <c r="F9" s="84">
        <v>2</v>
      </c>
    </row>
    <row r="10" spans="1:16">
      <c r="D10" s="85" t="s">
        <v>3791</v>
      </c>
      <c r="E10" s="86" t="s">
        <v>3792</v>
      </c>
      <c r="F10" s="87">
        <v>2</v>
      </c>
    </row>
    <row r="11" spans="1:16">
      <c r="A11" s="77" t="s">
        <v>151</v>
      </c>
      <c r="D11" s="79" t="s">
        <v>3793</v>
      </c>
      <c r="E11" s="80" t="s">
        <v>3794</v>
      </c>
      <c r="F11" s="81">
        <v>1</v>
      </c>
    </row>
    <row r="12" spans="1:16">
      <c r="A12" t="s">
        <v>152</v>
      </c>
      <c r="D12" s="85" t="s">
        <v>3795</v>
      </c>
      <c r="E12" s="86" t="s">
        <v>3796</v>
      </c>
      <c r="F12" s="87">
        <v>2</v>
      </c>
    </row>
    <row r="13" spans="1:16">
      <c r="D13" s="79" t="s">
        <v>3797</v>
      </c>
      <c r="E13" s="80" t="s">
        <v>3798</v>
      </c>
      <c r="F13" s="81">
        <v>1</v>
      </c>
    </row>
    <row r="14" spans="1:16">
      <c r="A14" s="77" t="s">
        <v>6224</v>
      </c>
      <c r="D14" s="85" t="s">
        <v>3799</v>
      </c>
      <c r="E14" s="86" t="s">
        <v>3800</v>
      </c>
      <c r="F14" s="87">
        <v>2</v>
      </c>
    </row>
    <row r="15" spans="1:16">
      <c r="A15" s="239" t="s">
        <v>6222</v>
      </c>
      <c r="D15" s="79" t="s">
        <v>3801</v>
      </c>
      <c r="E15" s="80" t="s">
        <v>3802</v>
      </c>
      <c r="F15" s="81">
        <v>1</v>
      </c>
    </row>
    <row r="16" spans="1:16">
      <c r="D16" s="85" t="s">
        <v>3803</v>
      </c>
      <c r="E16" s="86" t="s">
        <v>3804</v>
      </c>
      <c r="F16" s="87">
        <v>2</v>
      </c>
    </row>
    <row r="17" spans="4:6">
      <c r="D17" s="79" t="s">
        <v>3805</v>
      </c>
      <c r="E17" s="80" t="s">
        <v>3806</v>
      </c>
      <c r="F17" s="81">
        <v>1</v>
      </c>
    </row>
    <row r="18" spans="4:6">
      <c r="D18" s="85" t="s">
        <v>3807</v>
      </c>
      <c r="E18" s="86" t="s">
        <v>3808</v>
      </c>
      <c r="F18" s="87">
        <v>2</v>
      </c>
    </row>
    <row r="19" spans="4:6">
      <c r="D19" t="s">
        <v>3809</v>
      </c>
      <c r="E19" t="s">
        <v>3779</v>
      </c>
      <c r="F19">
        <v>1</v>
      </c>
    </row>
    <row r="20" spans="4:6">
      <c r="D20" t="s">
        <v>3810</v>
      </c>
      <c r="E20" t="s">
        <v>3808</v>
      </c>
      <c r="F20">
        <v>2</v>
      </c>
    </row>
    <row r="21" spans="4:6">
      <c r="D21" t="s">
        <v>3811</v>
      </c>
      <c r="E21" t="s">
        <v>3779</v>
      </c>
      <c r="F21">
        <v>1</v>
      </c>
    </row>
    <row r="22" spans="4:6">
      <c r="D22" t="s">
        <v>3812</v>
      </c>
      <c r="E22" t="s">
        <v>3813</v>
      </c>
      <c r="F22">
        <v>1</v>
      </c>
    </row>
    <row r="23" spans="4:6">
      <c r="D23" t="s">
        <v>3814</v>
      </c>
      <c r="E23" t="s">
        <v>3815</v>
      </c>
      <c r="F23">
        <v>2</v>
      </c>
    </row>
    <row r="24" spans="4:6">
      <c r="D24" t="s">
        <v>3816</v>
      </c>
      <c r="E24" t="s">
        <v>3817</v>
      </c>
      <c r="F24">
        <v>2</v>
      </c>
    </row>
    <row r="25" spans="4:6">
      <c r="D25" t="s">
        <v>3818</v>
      </c>
      <c r="E25" t="s">
        <v>3819</v>
      </c>
      <c r="F25">
        <v>2</v>
      </c>
    </row>
    <row r="26" spans="4:6">
      <c r="D26" t="s">
        <v>3820</v>
      </c>
      <c r="E26" t="s">
        <v>3821</v>
      </c>
      <c r="F26">
        <v>1</v>
      </c>
    </row>
    <row r="27" spans="4:6">
      <c r="D27" t="s">
        <v>3822</v>
      </c>
      <c r="E27" t="s">
        <v>3787</v>
      </c>
      <c r="F27">
        <v>1</v>
      </c>
    </row>
    <row r="28" spans="4:6">
      <c r="D28" t="s">
        <v>3823</v>
      </c>
      <c r="E28" t="s">
        <v>3779</v>
      </c>
      <c r="F28">
        <v>1</v>
      </c>
    </row>
    <row r="29" spans="4:6">
      <c r="D29" t="s">
        <v>3824</v>
      </c>
      <c r="E29" t="s">
        <v>3825</v>
      </c>
      <c r="F29">
        <v>2</v>
      </c>
    </row>
    <row r="30" spans="4:6">
      <c r="D30" t="s">
        <v>3826</v>
      </c>
      <c r="E30" t="s">
        <v>3827</v>
      </c>
      <c r="F30">
        <v>1</v>
      </c>
    </row>
  </sheetData>
  <phoneticPr fontId="7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Pict="0" macro="[0]!卡牌数据_选择数据源">
                <anchor moveWithCells="1" sizeWithCells="1">
                  <from>
                    <xdr:col>0</xdr:col>
                    <xdr:colOff>1733550</xdr:colOff>
                    <xdr:row>0</xdr:row>
                    <xdr:rowOff>66675</xdr:rowOff>
                  </from>
                  <to>
                    <xdr:col>0</xdr:col>
                    <xdr:colOff>2809875</xdr:colOff>
                    <xdr:row>1</xdr:row>
                    <xdr:rowOff>9525</xdr:rowOff>
                  </to>
                </anchor>
              </controlPr>
            </control>
          </mc:Choice>
        </mc:AlternateContent>
        <mc:AlternateContent xmlns:mc="http://schemas.openxmlformats.org/markup-compatibility/2006">
          <mc:Choice Requires="x14">
            <control shapeId="25603" r:id="rId5" name="Button 3">
              <controlPr defaultSize="0" print="0" autoPict="0" macro="[0]!卡牌数据_相关id生成">
                <anchor moveWithCells="1" sizeWithCells="1">
                  <from>
                    <xdr:col>2</xdr:col>
                    <xdr:colOff>123825</xdr:colOff>
                    <xdr:row>1</xdr:row>
                    <xdr:rowOff>38100</xdr:rowOff>
                  </from>
                  <to>
                    <xdr:col>2</xdr:col>
                    <xdr:colOff>1038225</xdr:colOff>
                    <xdr:row>2</xdr:row>
                    <xdr:rowOff>152400</xdr:rowOff>
                  </to>
                </anchor>
              </controlPr>
            </control>
          </mc:Choice>
        </mc:AlternateContent>
        <mc:AlternateContent xmlns:mc="http://schemas.openxmlformats.org/markup-compatibility/2006">
          <mc:Choice Requires="x14">
            <control shapeId="25604" r:id="rId6" name="Button 4">
              <controlPr defaultSize="0" print="0" autoPict="0" macro="[0]!卡牌数据_数据更新">
                <anchor moveWithCells="1" sizeWithCells="1">
                  <from>
                    <xdr:col>2</xdr:col>
                    <xdr:colOff>133350</xdr:colOff>
                    <xdr:row>6</xdr:row>
                    <xdr:rowOff>76200</xdr:rowOff>
                  </from>
                  <to>
                    <xdr:col>2</xdr:col>
                    <xdr:colOff>1047750</xdr:colOff>
                    <xdr:row>7</xdr:row>
                    <xdr:rowOff>180975</xdr:rowOff>
                  </to>
                </anchor>
              </controlPr>
            </control>
          </mc:Choice>
        </mc:AlternateContent>
        <mc:AlternateContent xmlns:mc="http://schemas.openxmlformats.org/markup-compatibility/2006">
          <mc:Choice Requires="x14">
            <control shapeId="25605" r:id="rId7" name="Button 5">
              <controlPr defaultSize="0" print="0" autoPict="0" macro="[0]!卡牌数据_二级id生成">
                <anchor moveWithCells="1" sizeWithCells="1">
                  <from>
                    <xdr:col>2</xdr:col>
                    <xdr:colOff>114300</xdr:colOff>
                    <xdr:row>3</xdr:row>
                    <xdr:rowOff>219075</xdr:rowOff>
                  </from>
                  <to>
                    <xdr:col>2</xdr:col>
                    <xdr:colOff>1057275</xdr:colOff>
                    <xdr:row>4</xdr:row>
                    <xdr:rowOff>123825</xdr:rowOff>
                  </to>
                </anchor>
              </controlPr>
            </control>
          </mc:Choice>
        </mc:AlternateContent>
        <mc:AlternateContent xmlns:mc="http://schemas.openxmlformats.org/markup-compatibility/2006">
          <mc:Choice Requires="x14">
            <control shapeId="25610" r:id="rId8" name="Button 10">
              <controlPr defaultSize="0" print="0" autoPict="0" macro="[0]!卡牌数据_选择更新目录">
                <anchor moveWithCells="1" sizeWithCells="1">
                  <from>
                    <xdr:col>0</xdr:col>
                    <xdr:colOff>1733550</xdr:colOff>
                    <xdr:row>3</xdr:row>
                    <xdr:rowOff>57150</xdr:rowOff>
                  </from>
                  <to>
                    <xdr:col>0</xdr:col>
                    <xdr:colOff>2809875</xdr:colOff>
                    <xdr:row>4</xdr:row>
                    <xdr:rowOff>0</xdr:rowOff>
                  </to>
                </anchor>
              </controlPr>
            </control>
          </mc:Choice>
        </mc:AlternateContent>
        <mc:AlternateContent xmlns:mc="http://schemas.openxmlformats.org/markup-compatibility/2006">
          <mc:Choice Requires="x14">
            <control shapeId="25611" r:id="rId9" name="Button 11">
              <controlPr defaultSize="0" print="0" autoPict="0" macro="[0]!卡牌数据_数据更新">
                <anchor moveWithCells="1" sizeWithCells="1">
                  <from>
                    <xdr:col>0</xdr:col>
                    <xdr:colOff>771525</xdr:colOff>
                    <xdr:row>6</xdr:row>
                    <xdr:rowOff>38100</xdr:rowOff>
                  </from>
                  <to>
                    <xdr:col>0</xdr:col>
                    <xdr:colOff>1847850</xdr:colOff>
                    <xdr:row>7</xdr:row>
                    <xdr:rowOff>190500</xdr:rowOff>
                  </to>
                </anchor>
              </controlPr>
            </control>
          </mc:Choice>
        </mc:AlternateContent>
        <mc:AlternateContent xmlns:mc="http://schemas.openxmlformats.org/markup-compatibility/2006">
          <mc:Choice Requires="x14">
            <control shapeId="25612" r:id="rId10" name="Button 12">
              <controlPr defaultSize="0" print="0" autoPict="0" macro="[0]!卡牌数据_捞文本">
                <anchor moveWithCells="1" sizeWithCells="1">
                  <from>
                    <xdr:col>2</xdr:col>
                    <xdr:colOff>114300</xdr:colOff>
                    <xdr:row>12</xdr:row>
                    <xdr:rowOff>66675</xdr:rowOff>
                  </from>
                  <to>
                    <xdr:col>2</xdr:col>
                    <xdr:colOff>1028700</xdr:colOff>
                    <xdr:row>13</xdr:row>
                    <xdr:rowOff>228600</xdr:rowOff>
                  </to>
                </anchor>
              </controlPr>
            </control>
          </mc:Choice>
        </mc:AlternateContent>
        <mc:AlternateContent xmlns:mc="http://schemas.openxmlformats.org/markup-compatibility/2006">
          <mc:Choice Requires="x14">
            <control shapeId="25613" r:id="rId11" name="Button 13">
              <controlPr defaultSize="0" print="0" autoPict="0" macro="[0]!卡牌数据_捞文本">
                <anchor moveWithCells="1" sizeWithCells="1">
                  <from>
                    <xdr:col>0</xdr:col>
                    <xdr:colOff>2047875</xdr:colOff>
                    <xdr:row>6</xdr:row>
                    <xdr:rowOff>38100</xdr:rowOff>
                  </from>
                  <to>
                    <xdr:col>1</xdr:col>
                    <xdr:colOff>228600</xdr:colOff>
                    <xdr:row>7</xdr:row>
                    <xdr:rowOff>190500</xdr:rowOff>
                  </to>
                </anchor>
              </controlPr>
            </control>
          </mc:Choice>
        </mc:AlternateContent>
        <mc:AlternateContent xmlns:mc="http://schemas.openxmlformats.org/markup-compatibility/2006">
          <mc:Choice Requires="x14">
            <control shapeId="25614" r:id="rId12" name="Button 14">
              <controlPr defaultSize="0" print="0" autoPict="0" macro="[0]!python_数据迁移">
                <anchor moveWithCells="1" sizeWithCells="1">
                  <from>
                    <xdr:col>2</xdr:col>
                    <xdr:colOff>152400</xdr:colOff>
                    <xdr:row>9</xdr:row>
                    <xdr:rowOff>19050</xdr:rowOff>
                  </from>
                  <to>
                    <xdr:col>2</xdr:col>
                    <xdr:colOff>1038225</xdr:colOff>
                    <xdr:row>10</xdr:row>
                    <xdr:rowOff>161925</xdr:rowOff>
                  </to>
                </anchor>
              </controlPr>
            </control>
          </mc:Choice>
        </mc:AlternateContent>
        <mc:AlternateContent xmlns:mc="http://schemas.openxmlformats.org/markup-compatibility/2006">
          <mc:Choice Requires="x14">
            <control shapeId="25615" r:id="rId13" name="Button 15">
              <controlPr defaultSize="0" print="0" autoFill="0" autoPict="0" macro="[0]!python_主版本unpro修改">
                <anchor moveWithCells="1" sizeWithCells="1">
                  <from>
                    <xdr:col>0</xdr:col>
                    <xdr:colOff>1552575</xdr:colOff>
                    <xdr:row>13</xdr:row>
                    <xdr:rowOff>19050</xdr:rowOff>
                  </from>
                  <to>
                    <xdr:col>0</xdr:col>
                    <xdr:colOff>2657475</xdr:colOff>
                    <xdr:row>14</xdr:row>
                    <xdr:rowOff>190500</xdr:rowOff>
                  </to>
                </anchor>
              </controlPr>
            </control>
          </mc:Choice>
        </mc:AlternateContent>
        <mc:AlternateContent xmlns:mc="http://schemas.openxmlformats.org/markup-compatibility/2006">
          <mc:Choice Requires="x14">
            <control shapeId="25617" r:id="rId14" name="Button 17">
              <controlPr defaultSize="0" print="0" autoPict="0" macro="[0]!python_海外数据迁移">
                <anchor moveWithCells="1" sizeWithCells="1">
                  <from>
                    <xdr:col>2</xdr:col>
                    <xdr:colOff>123825</xdr:colOff>
                    <xdr:row>15</xdr:row>
                    <xdr:rowOff>57150</xdr:rowOff>
                  </from>
                  <to>
                    <xdr:col>2</xdr:col>
                    <xdr:colOff>1009650</xdr:colOff>
                    <xdr:row>16</xdr:row>
                    <xdr:rowOff>200025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20"/>
  <sheetViews>
    <sheetView workbookViewId="0">
      <selection activeCell="A2" sqref="A2"/>
    </sheetView>
  </sheetViews>
  <sheetFormatPr defaultColWidth="9" defaultRowHeight="16.5"/>
  <cols>
    <col min="1" max="1" width="41.625" customWidth="1"/>
    <col min="2" max="2" width="2.375" style="75" customWidth="1"/>
    <col min="3" max="3" width="8" customWidth="1"/>
    <col min="4" max="4" width="9.625" customWidth="1"/>
    <col min="5" max="5" width="2.375" style="75" customWidth="1"/>
    <col min="7" max="8" width="17.75" customWidth="1"/>
  </cols>
  <sheetData>
    <row r="1" spans="1:8" s="12" customFormat="1" ht="33">
      <c r="A1" s="30" t="s">
        <v>147</v>
      </c>
      <c r="B1" s="76"/>
      <c r="C1" s="12" t="s">
        <v>153</v>
      </c>
      <c r="D1" s="30" t="s">
        <v>154</v>
      </c>
      <c r="E1" s="76"/>
    </row>
    <row r="2" spans="1:8">
      <c r="A2" t="s">
        <v>6207</v>
      </c>
      <c r="C2" s="4" t="s">
        <v>155</v>
      </c>
      <c r="D2" t="s">
        <v>149</v>
      </c>
    </row>
    <row r="3" spans="1:8">
      <c r="C3" t="s">
        <v>156</v>
      </c>
      <c r="D3" t="s">
        <v>150</v>
      </c>
    </row>
    <row r="4" spans="1:8" ht="33">
      <c r="A4" s="30" t="s">
        <v>157</v>
      </c>
    </row>
    <row r="5" spans="1:8">
      <c r="A5" t="s">
        <v>6206</v>
      </c>
    </row>
    <row r="16" spans="1:8">
      <c r="G16" s="5"/>
      <c r="H16" s="9"/>
    </row>
    <row r="20" spans="9:9">
      <c r="I20" s="5"/>
    </row>
  </sheetData>
  <phoneticPr fontId="7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卡牌本地化_选择翻译文件">
                <anchor moveWithCells="1" sizeWithCells="1">
                  <from>
                    <xdr:col>0</xdr:col>
                    <xdr:colOff>1657350</xdr:colOff>
                    <xdr:row>3</xdr:row>
                    <xdr:rowOff>57150</xdr:rowOff>
                  </from>
                  <to>
                    <xdr:col>0</xdr:col>
                    <xdr:colOff>2562225</xdr:colOff>
                    <xdr:row>3</xdr:row>
                    <xdr:rowOff>371475</xdr:rowOff>
                  </to>
                </anchor>
              </controlPr>
            </control>
          </mc:Choice>
        </mc:AlternateContent>
        <mc:AlternateContent xmlns:mc="http://schemas.openxmlformats.org/markup-compatibility/2006">
          <mc:Choice Requires="x14">
            <control shapeId="11267" r:id="rId4" name="Button 3">
              <controlPr defaultSize="0" print="0" autoPict="0" macro="[0]!卡牌本地化_数据更新">
                <anchor moveWithCells="1" sizeWithCells="1">
                  <from>
                    <xdr:col>6</xdr:col>
                    <xdr:colOff>590550</xdr:colOff>
                    <xdr:row>0</xdr:row>
                    <xdr:rowOff>57150</xdr:rowOff>
                  </from>
                  <to>
                    <xdr:col>6</xdr:col>
                    <xdr:colOff>1533525</xdr:colOff>
                    <xdr:row>0</xdr:row>
                    <xdr:rowOff>381000</xdr:rowOff>
                  </to>
                </anchor>
              </controlPr>
            </control>
          </mc:Choice>
        </mc:AlternateContent>
        <mc:AlternateContent xmlns:mc="http://schemas.openxmlformats.org/markup-compatibility/2006">
          <mc:Choice Requires="x14">
            <control shapeId="11268" r:id="rId5" name="Button 4">
              <controlPr defaultSize="0" print="0" autoPict="0" macro="[0]!卡牌本地化_选择更新目录">
                <anchor moveWithCells="1" sizeWithCells="1">
                  <from>
                    <xdr:col>0</xdr:col>
                    <xdr:colOff>1733550</xdr:colOff>
                    <xdr:row>0</xdr:row>
                    <xdr:rowOff>57150</xdr:rowOff>
                  </from>
                  <to>
                    <xdr:col>0</xdr:col>
                    <xdr:colOff>2657475</xdr:colOff>
                    <xdr:row>0</xdr:row>
                    <xdr:rowOff>381000</xdr:rowOff>
                  </to>
                </anchor>
              </controlPr>
            </control>
          </mc:Choice>
        </mc:AlternateContent>
        <mc:AlternateContent xmlns:mc="http://schemas.openxmlformats.org/markup-compatibility/2006">
          <mc:Choice Requires="x14">
            <control shapeId="11269" r:id="rId6" name="Button 5">
              <controlPr defaultSize="0" print="0" autoPict="0" macro="[0]!卡牌本地化_东南亚更新">
                <anchor moveWithCells="1" sizeWithCells="1">
                  <from>
                    <xdr:col>7</xdr:col>
                    <xdr:colOff>590550</xdr:colOff>
                    <xdr:row>0</xdr:row>
                    <xdr:rowOff>57150</xdr:rowOff>
                  </from>
                  <to>
                    <xdr:col>7</xdr:col>
                    <xdr:colOff>1533525</xdr:colOff>
                    <xdr:row>0</xdr:row>
                    <xdr:rowOff>381000</xdr:rowOff>
                  </to>
                </anchor>
              </controlPr>
            </control>
          </mc:Choice>
        </mc:AlternateContent>
        <mc:AlternateContent xmlns:mc="http://schemas.openxmlformats.org/markup-compatibility/2006">
          <mc:Choice Requires="x14">
            <control shapeId="11270" r:id="rId7" name="Button 6">
              <controlPr defaultSize="0" print="0" autoPict="0" macro="[0]!python_本地化解析">
                <anchor moveWithCells="1" sizeWithCells="1">
                  <from>
                    <xdr:col>8</xdr:col>
                    <xdr:colOff>390525</xdr:colOff>
                    <xdr:row>0</xdr:row>
                    <xdr:rowOff>47625</xdr:rowOff>
                  </from>
                  <to>
                    <xdr:col>9</xdr:col>
                    <xdr:colOff>590550</xdr:colOff>
                    <xdr:row>0</xdr:row>
                    <xdr:rowOff>400050</xdr:rowOff>
                  </to>
                </anchor>
              </controlPr>
            </control>
          </mc:Choice>
        </mc:AlternateContent>
        <mc:AlternateContent xmlns:mc="http://schemas.openxmlformats.org/markup-compatibility/2006">
          <mc:Choice Requires="x14">
            <control shapeId="11271" r:id="rId8" name="Button 7">
              <controlPr defaultSize="0" print="0" autoPict="0" macro="[0]!python_更新至主版本">
                <anchor moveWithCells="1" sizeWithCells="1">
                  <from>
                    <xdr:col>6</xdr:col>
                    <xdr:colOff>590550</xdr:colOff>
                    <xdr:row>2</xdr:row>
                    <xdr:rowOff>76200</xdr:rowOff>
                  </from>
                  <to>
                    <xdr:col>7</xdr:col>
                    <xdr:colOff>123825</xdr:colOff>
                    <xdr:row>3</xdr:row>
                    <xdr:rowOff>219075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M570"/>
  <sheetViews>
    <sheetView workbookViewId="0">
      <selection activeCell="G14" sqref="G14"/>
    </sheetView>
  </sheetViews>
  <sheetFormatPr defaultColWidth="9" defaultRowHeight="16.5"/>
  <cols>
    <col min="1" max="1" width="11.375" customWidth="1"/>
    <col min="2" max="2" width="27.25" customWidth="1"/>
    <col min="7" max="7" width="19.125" customWidth="1"/>
    <col min="11" max="11" width="6.5" customWidth="1"/>
    <col min="12" max="12" width="19" customWidth="1"/>
    <col min="13" max="13" width="19.125" customWidth="1"/>
  </cols>
  <sheetData>
    <row r="1" spans="1:2">
      <c r="A1" s="71" t="s">
        <v>158</v>
      </c>
      <c r="B1" s="4" t="s">
        <v>159</v>
      </c>
    </row>
    <row r="2" spans="1:2">
      <c r="A2" s="71" t="s">
        <v>160</v>
      </c>
      <c r="B2" t="s">
        <v>161</v>
      </c>
    </row>
    <row r="3" spans="1:2">
      <c r="A3" s="71" t="s">
        <v>162</v>
      </c>
      <c r="B3" t="s">
        <v>163</v>
      </c>
    </row>
    <row r="4" spans="1:2">
      <c r="A4" s="74" t="s">
        <v>164</v>
      </c>
      <c r="B4" s="71" t="s">
        <v>165</v>
      </c>
    </row>
    <row r="5" spans="1:2">
      <c r="A5">
        <v>43310</v>
      </c>
      <c r="B5" s="4" t="s">
        <v>166</v>
      </c>
    </row>
    <row r="6" spans="1:2">
      <c r="A6" s="4" t="s">
        <v>167</v>
      </c>
      <c r="B6" t="s">
        <v>168</v>
      </c>
    </row>
    <row r="565" spans="11:13">
      <c r="K565">
        <v>74020</v>
      </c>
      <c r="L565" t="s">
        <v>169</v>
      </c>
      <c r="M565" t="s">
        <v>170</v>
      </c>
    </row>
    <row r="566" spans="11:13">
      <c r="K566">
        <v>74030</v>
      </c>
      <c r="L566" t="s">
        <v>171</v>
      </c>
    </row>
    <row r="567" spans="11:13">
      <c r="K567">
        <v>74040</v>
      </c>
      <c r="L567" t="s">
        <v>172</v>
      </c>
      <c r="M567" t="s">
        <v>173</v>
      </c>
    </row>
    <row r="568" spans="11:13">
      <c r="K568">
        <v>78010</v>
      </c>
      <c r="L568" t="s">
        <v>174</v>
      </c>
    </row>
    <row r="569" spans="11:13">
      <c r="K569">
        <v>78020</v>
      </c>
      <c r="L569" t="s">
        <v>175</v>
      </c>
      <c r="M569" t="s">
        <v>170</v>
      </c>
    </row>
    <row r="570" spans="11:13">
      <c r="K570">
        <v>78030</v>
      </c>
      <c r="L570" t="s">
        <v>176</v>
      </c>
      <c r="M570" t="s">
        <v>173</v>
      </c>
    </row>
  </sheetData>
  <sortState xmlns:xlrd2="http://schemas.microsoft.com/office/spreadsheetml/2017/richdata2" ref="F5:G564">
    <sortCondition descending="1" ref="G5:G564"/>
  </sortState>
  <phoneticPr fontId="71" type="noConversion"/>
  <dataValidations count="1">
    <dataValidation type="list" allowBlank="1" showInputMessage="1" showErrorMessage="1" sqref="B3" xr:uid="{00000000-0002-0000-0500-000000000000}">
      <formula1>"是,否"</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4" r:id="rId3" name="Button 2">
              <controlPr defaultSize="0" print="0" autoPict="0" macro="[0]!资源迁移_选择来源项目">
                <anchor moveWithCells="1" sizeWithCells="1">
                  <from>
                    <xdr:col>2</xdr:col>
                    <xdr:colOff>171450</xdr:colOff>
                    <xdr:row>0</xdr:row>
                    <xdr:rowOff>47625</xdr:rowOff>
                  </from>
                  <to>
                    <xdr:col>3</xdr:col>
                    <xdr:colOff>390525</xdr:colOff>
                    <xdr:row>1</xdr:row>
                    <xdr:rowOff>171450</xdr:rowOff>
                  </to>
                </anchor>
              </controlPr>
            </control>
          </mc:Choice>
        </mc:AlternateContent>
        <mc:AlternateContent xmlns:mc="http://schemas.openxmlformats.org/markup-compatibility/2006">
          <mc:Choice Requires="x14">
            <control shapeId="105475" r:id="rId4" name="Button 3">
              <controlPr defaultSize="0" print="0" autoPict="0" macro="[0]!资源迁移_选择目标项目">
                <anchor moveWithCells="1" sizeWithCells="1">
                  <from>
                    <xdr:col>4</xdr:col>
                    <xdr:colOff>200025</xdr:colOff>
                    <xdr:row>0</xdr:row>
                    <xdr:rowOff>47625</xdr:rowOff>
                  </from>
                  <to>
                    <xdr:col>5</xdr:col>
                    <xdr:colOff>514350</xdr:colOff>
                    <xdr:row>1</xdr:row>
                    <xdr:rowOff>171450</xdr:rowOff>
                  </to>
                </anchor>
              </controlPr>
            </control>
          </mc:Choice>
        </mc:AlternateContent>
        <mc:AlternateContent xmlns:mc="http://schemas.openxmlformats.org/markup-compatibility/2006">
          <mc:Choice Requires="x14">
            <control shapeId="105476" r:id="rId5" name="Button 4">
              <controlPr defaultSize="0" print="0" autoPict="0" macro="[0]!资源迁移_操作文件">
                <anchor moveWithCells="1" sizeWithCells="1">
                  <from>
                    <xdr:col>2</xdr:col>
                    <xdr:colOff>161925</xdr:colOff>
                    <xdr:row>3</xdr:row>
                    <xdr:rowOff>57150</xdr:rowOff>
                  </from>
                  <to>
                    <xdr:col>3</xdr:col>
                    <xdr:colOff>419100</xdr:colOff>
                    <xdr:row>4</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R11"/>
  <sheetViews>
    <sheetView workbookViewId="0">
      <selection activeCell="F13" sqref="F13"/>
    </sheetView>
  </sheetViews>
  <sheetFormatPr defaultColWidth="9" defaultRowHeight="16.5"/>
  <cols>
    <col min="1" max="1" width="13.125" customWidth="1"/>
    <col min="2" max="2" width="35.875" customWidth="1"/>
    <col min="3" max="3" width="10" customWidth="1"/>
    <col min="6" max="6" width="15.625" customWidth="1"/>
    <col min="7" max="7" width="13.875" customWidth="1"/>
    <col min="10" max="10" width="11.375" customWidth="1"/>
    <col min="11" max="11" width="6.125" customWidth="1"/>
    <col min="12" max="12" width="11.375" customWidth="1"/>
    <col min="13" max="13" width="6.125" customWidth="1"/>
    <col min="15" max="15" width="4.5" customWidth="1"/>
    <col min="16" max="16" width="8" customWidth="1"/>
    <col min="17" max="17" width="6.125" customWidth="1"/>
    <col min="19" max="19" width="15" customWidth="1"/>
  </cols>
  <sheetData>
    <row r="1" spans="1:18">
      <c r="A1" s="71"/>
      <c r="B1" s="71"/>
      <c r="C1" s="72" t="s">
        <v>177</v>
      </c>
      <c r="D1" s="72" t="s">
        <v>178</v>
      </c>
      <c r="E1" s="72" t="s">
        <v>179</v>
      </c>
      <c r="F1" s="71" t="s">
        <v>180</v>
      </c>
      <c r="G1" s="71" t="s">
        <v>134</v>
      </c>
      <c r="H1" s="72" t="s">
        <v>181</v>
      </c>
      <c r="I1" s="72" t="s">
        <v>182</v>
      </c>
      <c r="J1" s="71" t="s">
        <v>183</v>
      </c>
      <c r="K1" s="71" t="s">
        <v>184</v>
      </c>
      <c r="L1" s="71" t="s">
        <v>185</v>
      </c>
      <c r="M1" s="71" t="s">
        <v>186</v>
      </c>
      <c r="N1" s="71" t="s">
        <v>187</v>
      </c>
      <c r="O1" s="71" t="s">
        <v>188</v>
      </c>
      <c r="P1" s="71" t="s">
        <v>189</v>
      </c>
      <c r="Q1" s="71" t="s">
        <v>190</v>
      </c>
      <c r="R1" s="72"/>
    </row>
    <row r="2" spans="1:18">
      <c r="C2" t="s">
        <v>191</v>
      </c>
      <c r="D2" t="s">
        <v>192</v>
      </c>
      <c r="E2" t="s">
        <v>193</v>
      </c>
      <c r="F2" s="73" t="s">
        <v>7</v>
      </c>
      <c r="G2" t="s">
        <v>194</v>
      </c>
      <c r="H2">
        <v>2</v>
      </c>
      <c r="I2">
        <v>4</v>
      </c>
      <c r="J2" t="s">
        <v>195</v>
      </c>
      <c r="K2">
        <v>1</v>
      </c>
      <c r="L2" t="s">
        <v>196</v>
      </c>
      <c r="M2">
        <v>1</v>
      </c>
      <c r="N2" t="s">
        <v>197</v>
      </c>
      <c r="O2">
        <v>1</v>
      </c>
      <c r="P2" t="s">
        <v>198</v>
      </c>
      <c r="Q2">
        <v>1</v>
      </c>
    </row>
    <row r="3" spans="1:18">
      <c r="C3" t="s">
        <v>199</v>
      </c>
      <c r="D3" t="s">
        <v>200</v>
      </c>
      <c r="E3" t="s">
        <v>201</v>
      </c>
      <c r="F3" s="73" t="s">
        <v>39</v>
      </c>
      <c r="G3" t="s">
        <v>202</v>
      </c>
      <c r="J3" t="s">
        <v>203</v>
      </c>
      <c r="K3">
        <v>2</v>
      </c>
      <c r="L3" t="s">
        <v>204</v>
      </c>
      <c r="M3">
        <v>2</v>
      </c>
      <c r="N3" t="s">
        <v>205</v>
      </c>
      <c r="O3">
        <v>2</v>
      </c>
      <c r="P3" t="s">
        <v>206</v>
      </c>
      <c r="Q3">
        <v>2</v>
      </c>
    </row>
    <row r="4" spans="1:18">
      <c r="F4" s="73" t="s">
        <v>41</v>
      </c>
      <c r="G4" t="s">
        <v>75</v>
      </c>
      <c r="J4" t="s">
        <v>207</v>
      </c>
      <c r="K4">
        <v>3</v>
      </c>
      <c r="L4" t="s">
        <v>208</v>
      </c>
      <c r="M4">
        <v>3</v>
      </c>
      <c r="N4" t="s">
        <v>209</v>
      </c>
      <c r="O4">
        <v>3</v>
      </c>
      <c r="P4" t="s">
        <v>210</v>
      </c>
      <c r="Q4">
        <v>3</v>
      </c>
    </row>
    <row r="5" spans="1:18">
      <c r="F5" s="73" t="s">
        <v>211</v>
      </c>
      <c r="G5" t="s">
        <v>212</v>
      </c>
      <c r="J5" t="s">
        <v>213</v>
      </c>
      <c r="K5">
        <v>4</v>
      </c>
      <c r="L5" t="s">
        <v>214</v>
      </c>
      <c r="M5">
        <v>4</v>
      </c>
      <c r="N5" t="s">
        <v>215</v>
      </c>
      <c r="O5">
        <v>4</v>
      </c>
      <c r="P5" t="s">
        <v>216</v>
      </c>
      <c r="Q5">
        <v>4</v>
      </c>
    </row>
    <row r="6" spans="1:18">
      <c r="J6" t="s">
        <v>217</v>
      </c>
      <c r="K6">
        <v>8</v>
      </c>
      <c r="L6" t="s">
        <v>218</v>
      </c>
      <c r="M6">
        <v>5</v>
      </c>
      <c r="N6" t="s">
        <v>219</v>
      </c>
      <c r="O6">
        <v>5</v>
      </c>
    </row>
    <row r="7" spans="1:18">
      <c r="J7" t="s">
        <v>220</v>
      </c>
      <c r="K7">
        <v>9</v>
      </c>
      <c r="L7" t="s">
        <v>203</v>
      </c>
      <c r="M7">
        <v>0</v>
      </c>
    </row>
    <row r="8" spans="1:18">
      <c r="J8" t="s">
        <v>221</v>
      </c>
      <c r="K8">
        <v>10</v>
      </c>
      <c r="L8" t="s">
        <v>222</v>
      </c>
      <c r="M8">
        <v>10</v>
      </c>
    </row>
    <row r="9" spans="1:18">
      <c r="L9" t="s">
        <v>220</v>
      </c>
      <c r="M9">
        <v>11</v>
      </c>
    </row>
    <row r="10" spans="1:18">
      <c r="L10" t="s">
        <v>221</v>
      </c>
      <c r="M10">
        <v>12</v>
      </c>
    </row>
    <row r="11" spans="1:18">
      <c r="L11" t="s">
        <v>223</v>
      </c>
      <c r="M11">
        <v>13</v>
      </c>
    </row>
  </sheetData>
  <phoneticPr fontId="71" type="noConversion"/>
  <dataValidations count="2">
    <dataValidation type="list" allowBlank="1" showInputMessage="1" showErrorMessage="1" sqref="A2" xr:uid="{00000000-0002-0000-0600-000000000000}">
      <formula1>"是,否"</formula1>
    </dataValidation>
    <dataValidation type="list" allowBlank="1" showInputMessage="1" showErrorMessage="1" sqref="R2" xr:uid="{00000000-0002-0000-0600-000001000000}">
      <formula1>"韩服,日服,欧美,台服,东南亚"</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AM4"/>
  <sheetViews>
    <sheetView workbookViewId="0">
      <pane xSplit="1" ySplit="3" topLeftCell="W4" activePane="bottomRight" state="frozen"/>
      <selection pane="topRight"/>
      <selection pane="bottomLeft"/>
      <selection pane="bottomRight" activeCell="AM3" sqref="AM3"/>
    </sheetView>
  </sheetViews>
  <sheetFormatPr defaultColWidth="9" defaultRowHeight="16.5"/>
  <cols>
    <col min="1" max="1" width="13.125" customWidth="1"/>
    <col min="2" max="2" width="7.5" customWidth="1"/>
    <col min="3" max="3" width="6.375" customWidth="1"/>
    <col min="4" max="4" width="9.625" customWidth="1"/>
    <col min="5" max="6" width="19.375" customWidth="1"/>
    <col min="7" max="7" width="7.5" customWidth="1"/>
    <col min="8" max="8" width="7" customWidth="1"/>
    <col min="9" max="9" width="7.125" customWidth="1"/>
    <col min="10" max="12" width="8" customWidth="1"/>
    <col min="13" max="13" width="14" customWidth="1"/>
    <col min="14" max="15" width="17.5" customWidth="1"/>
    <col min="16" max="17" width="27.375" customWidth="1"/>
    <col min="18" max="18" width="8" customWidth="1"/>
    <col min="19" max="19" width="6" customWidth="1"/>
    <col min="20" max="20" width="5.625" customWidth="1"/>
    <col min="21" max="21" width="6" customWidth="1"/>
    <col min="22" max="22" width="4.625" customWidth="1"/>
    <col min="23" max="24" width="15.25" customWidth="1"/>
    <col min="25" max="26" width="17.875" customWidth="1"/>
    <col min="27" max="27" width="7.125" customWidth="1"/>
    <col min="28" max="28" width="6.125" customWidth="1"/>
    <col min="29" max="29" width="31.625" customWidth="1"/>
    <col min="30" max="30" width="20.5" customWidth="1"/>
    <col min="31" max="31" width="4.625" customWidth="1"/>
    <col min="32" max="32" width="7.125" customWidth="1"/>
    <col min="33" max="33" width="10.375" customWidth="1"/>
    <col min="34" max="35" width="7.25" customWidth="1"/>
    <col min="36" max="36" width="6.125" customWidth="1"/>
    <col min="37" max="37" width="8.75" customWidth="1"/>
    <col min="38" max="38" width="6.875" customWidth="1"/>
  </cols>
  <sheetData>
    <row r="1" spans="1:39">
      <c r="A1" s="65"/>
      <c r="B1" s="66"/>
      <c r="C1" s="66"/>
      <c r="D1" s="66"/>
      <c r="E1" s="65"/>
      <c r="F1" s="65"/>
      <c r="G1" s="65"/>
      <c r="H1" s="65"/>
      <c r="I1" s="65"/>
      <c r="J1" s="65"/>
      <c r="K1" s="65"/>
      <c r="L1" s="65"/>
      <c r="M1" s="65"/>
      <c r="N1" s="65"/>
      <c r="O1" s="65"/>
      <c r="P1" s="65"/>
      <c r="Q1" s="65"/>
      <c r="R1" s="65"/>
      <c r="S1" s="65"/>
      <c r="T1" s="69"/>
      <c r="U1" s="65"/>
      <c r="V1" s="65"/>
      <c r="W1" s="70"/>
      <c r="X1" s="70"/>
      <c r="Y1" s="65"/>
      <c r="Z1" s="65"/>
      <c r="AA1" s="65"/>
      <c r="AB1" s="65"/>
      <c r="AC1" s="65"/>
      <c r="AD1" s="65"/>
      <c r="AE1" s="65"/>
      <c r="AF1" s="65"/>
      <c r="AG1" s="65"/>
      <c r="AH1" s="70"/>
      <c r="AI1" s="70"/>
      <c r="AJ1" s="65"/>
      <c r="AK1" s="69"/>
      <c r="AL1" s="69"/>
    </row>
    <row r="2" spans="1:39" s="1" customFormat="1" ht="49.5">
      <c r="A2" s="65"/>
      <c r="B2" s="67" t="s">
        <v>224</v>
      </c>
      <c r="C2" s="67" t="s">
        <v>225</v>
      </c>
      <c r="D2" s="67" t="s">
        <v>226</v>
      </c>
      <c r="E2" s="65" t="s">
        <v>227</v>
      </c>
      <c r="F2" s="65" t="s">
        <v>228</v>
      </c>
      <c r="G2" s="65" t="s">
        <v>229</v>
      </c>
      <c r="H2" s="65" t="s">
        <v>230</v>
      </c>
      <c r="I2" s="65" t="s">
        <v>231</v>
      </c>
      <c r="J2" s="65" t="s">
        <v>232</v>
      </c>
      <c r="K2" s="65" t="s">
        <v>233</v>
      </c>
      <c r="L2" s="65" t="s">
        <v>234</v>
      </c>
      <c r="M2" s="65"/>
      <c r="N2" s="65" t="s">
        <v>235</v>
      </c>
      <c r="O2" s="65" t="s">
        <v>236</v>
      </c>
      <c r="P2" s="65" t="s">
        <v>237</v>
      </c>
      <c r="Q2" s="65" t="s">
        <v>238</v>
      </c>
      <c r="R2" s="65" t="s">
        <v>239</v>
      </c>
      <c r="S2" s="65" t="s">
        <v>240</v>
      </c>
      <c r="T2" s="69" t="s">
        <v>241</v>
      </c>
      <c r="U2" s="65" t="s">
        <v>242</v>
      </c>
      <c r="V2" s="65" t="s">
        <v>189</v>
      </c>
      <c r="W2" s="70" t="s">
        <v>243</v>
      </c>
      <c r="X2" s="70" t="s">
        <v>244</v>
      </c>
      <c r="Y2" s="65" t="s">
        <v>245</v>
      </c>
      <c r="Z2" s="65" t="s">
        <v>246</v>
      </c>
      <c r="AA2" s="65" t="s">
        <v>247</v>
      </c>
      <c r="AB2" s="65" t="s">
        <v>248</v>
      </c>
      <c r="AC2" s="65" t="s">
        <v>249</v>
      </c>
      <c r="AD2" s="65" t="s">
        <v>250</v>
      </c>
      <c r="AE2" s="65" t="s">
        <v>251</v>
      </c>
      <c r="AF2" s="65" t="s">
        <v>252</v>
      </c>
      <c r="AG2" s="65" t="s">
        <v>253</v>
      </c>
      <c r="AH2" s="70" t="s">
        <v>254</v>
      </c>
      <c r="AI2" s="70" t="s">
        <v>255</v>
      </c>
      <c r="AJ2" s="65" t="s">
        <v>256</v>
      </c>
      <c r="AK2" s="69" t="s">
        <v>257</v>
      </c>
      <c r="AL2" s="69" t="s">
        <v>258</v>
      </c>
      <c r="AM2" s="69" t="s">
        <v>259</v>
      </c>
    </row>
    <row r="3" spans="1:39" s="1" customFormat="1">
      <c r="A3" s="65" t="s">
        <v>260</v>
      </c>
      <c r="B3" s="68" t="s">
        <v>261</v>
      </c>
      <c r="C3" s="68" t="s">
        <v>261</v>
      </c>
      <c r="D3" s="68" t="s">
        <v>261</v>
      </c>
      <c r="E3" s="65" t="s">
        <v>227</v>
      </c>
      <c r="F3" s="65" t="s">
        <v>228</v>
      </c>
      <c r="G3" s="65" t="s">
        <v>229</v>
      </c>
      <c r="H3" s="66"/>
      <c r="I3" s="66"/>
      <c r="J3" s="65"/>
      <c r="K3" s="65"/>
      <c r="L3" s="66"/>
      <c r="M3" s="65" t="s">
        <v>262</v>
      </c>
      <c r="N3" s="66"/>
      <c r="O3" s="66"/>
      <c r="P3" s="66"/>
      <c r="Q3" s="66"/>
      <c r="R3" s="66"/>
      <c r="S3" s="66"/>
      <c r="T3" s="66"/>
      <c r="U3" s="66"/>
      <c r="V3" s="66"/>
      <c r="W3" s="66"/>
      <c r="X3" s="66"/>
      <c r="Y3" s="66"/>
      <c r="Z3" s="66"/>
      <c r="AA3" s="66"/>
      <c r="AB3" s="66"/>
      <c r="AC3" s="66"/>
      <c r="AD3" s="66"/>
      <c r="AE3" s="66"/>
      <c r="AF3" s="65"/>
      <c r="AG3" s="65"/>
      <c r="AH3" s="70"/>
      <c r="AI3" s="70"/>
      <c r="AJ3" s="65"/>
      <c r="AK3" s="69"/>
      <c r="AL3" s="69"/>
      <c r="AM3" s="69"/>
    </row>
    <row r="4" spans="1:39">
      <c r="C4">
        <v>1083</v>
      </c>
      <c r="E4">
        <v>123546</v>
      </c>
    </row>
  </sheetData>
  <phoneticPr fontId="71" type="noConversion"/>
  <conditionalFormatting sqref="B2">
    <cfRule type="duplicateValues" dxfId="1037"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Pict="0" macro="[0]!礼包_数据检查">
                <anchor moveWithCells="1" sizeWithCells="1">
                  <from>
                    <xdr:col>14</xdr:col>
                    <xdr:colOff>133350</xdr:colOff>
                    <xdr:row>1</xdr:row>
                    <xdr:rowOff>66675</xdr:rowOff>
                  </from>
                  <to>
                    <xdr:col>14</xdr:col>
                    <xdr:colOff>1133475</xdr:colOff>
                    <xdr:row>1</xdr:row>
                    <xdr:rowOff>409575</xdr:rowOff>
                  </to>
                </anchor>
              </controlPr>
            </control>
          </mc:Choice>
        </mc:AlternateContent>
        <mc:AlternateContent xmlns:mc="http://schemas.openxmlformats.org/markup-compatibility/2006">
          <mc:Choice Requires="x14">
            <control shapeId="12291" r:id="rId4" name="Button 3">
              <controlPr defaultSize="0" print="0" autoPict="0" macro="[0]!礼包_数据更新">
                <anchor moveWithCells="1" sizeWithCells="1">
                  <from>
                    <xdr:col>15</xdr:col>
                    <xdr:colOff>219075</xdr:colOff>
                    <xdr:row>1</xdr:row>
                    <xdr:rowOff>66675</xdr:rowOff>
                  </from>
                  <to>
                    <xdr:col>15</xdr:col>
                    <xdr:colOff>1219200</xdr:colOff>
                    <xdr:row>1</xdr:row>
                    <xdr:rowOff>409575</xdr:rowOff>
                  </to>
                </anchor>
              </controlPr>
            </control>
          </mc:Choice>
        </mc:AlternateContent>
        <mc:AlternateContent xmlns:mc="http://schemas.openxmlformats.org/markup-compatibility/2006">
          <mc:Choice Requires="x14">
            <control shapeId="12309" r:id="rId5" name="Button 21">
              <controlPr defaultSize="0" print="0" autoPict="0" macro="[0]!礼包_生成商品码">
                <anchor moveWithCells="1" sizeWithCells="1">
                  <from>
                    <xdr:col>13</xdr:col>
                    <xdr:colOff>66675</xdr:colOff>
                    <xdr:row>1</xdr:row>
                    <xdr:rowOff>95250</xdr:rowOff>
                  </from>
                  <to>
                    <xdr:col>13</xdr:col>
                    <xdr:colOff>923925</xdr:colOff>
                    <xdr:row>1</xdr:row>
                    <xdr:rowOff>381000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dimension ref="A1:AM38"/>
  <sheetViews>
    <sheetView workbookViewId="0">
      <pane xSplit="3" ySplit="2" topLeftCell="Z3" activePane="bottomRight" state="frozen"/>
      <selection pane="topRight"/>
      <selection pane="bottomLeft"/>
      <selection pane="bottomRight" activeCell="AM2" sqref="AM2"/>
    </sheetView>
  </sheetViews>
  <sheetFormatPr defaultColWidth="9" defaultRowHeight="16.5"/>
  <cols>
    <col min="1" max="1" width="13.125" customWidth="1"/>
    <col min="2" max="4" width="9" customWidth="1"/>
    <col min="5" max="6" width="24.25" customWidth="1"/>
    <col min="7" max="8" width="7.5" customWidth="1"/>
    <col min="9" max="11" width="7.125" customWidth="1"/>
    <col min="12" max="12" width="7.875" customWidth="1"/>
    <col min="13" max="13" width="10.25" customWidth="1"/>
    <col min="14" max="15" width="13.125" customWidth="1"/>
    <col min="16" max="16" width="17.125" customWidth="1"/>
    <col min="17" max="17" width="16.5" customWidth="1"/>
    <col min="18" max="19" width="15.25" customWidth="1"/>
    <col min="20" max="20" width="33.25" customWidth="1"/>
    <col min="21" max="21" width="44.625" customWidth="1"/>
    <col min="22" max="22" width="24.375" customWidth="1"/>
    <col min="23" max="23" width="8.75" customWidth="1"/>
    <col min="24" max="24" width="11.375" customWidth="1"/>
    <col min="25" max="25" width="12.875" customWidth="1"/>
    <col min="26" max="26" width="19.25" customWidth="1"/>
    <col min="27" max="27" width="9.5" customWidth="1"/>
    <col min="28" max="28" width="9" customWidth="1"/>
    <col min="29" max="29" width="6.875" customWidth="1"/>
    <col min="30" max="30" width="5.75" customWidth="1"/>
    <col min="31" max="31" width="5" customWidth="1"/>
    <col min="32" max="32" width="4.75" customWidth="1"/>
    <col min="33" max="33" width="12.625" customWidth="1"/>
    <col min="34" max="35" width="8.125" customWidth="1"/>
    <col min="36" max="36" width="5" customWidth="1"/>
    <col min="37" max="38" width="7.125" customWidth="1"/>
  </cols>
  <sheetData>
    <row r="1" spans="1:39" s="36" customFormat="1" ht="115.5">
      <c r="A1" s="36" t="s">
        <v>263</v>
      </c>
      <c r="F1" s="36" t="s">
        <v>264</v>
      </c>
      <c r="G1" s="36" t="s">
        <v>229</v>
      </c>
      <c r="J1" s="36" t="s">
        <v>265</v>
      </c>
      <c r="K1" s="36" t="s">
        <v>265</v>
      </c>
      <c r="L1" s="36" t="s">
        <v>264</v>
      </c>
      <c r="M1" s="36" t="s">
        <v>264</v>
      </c>
      <c r="P1" s="46"/>
      <c r="Q1" s="46"/>
      <c r="R1" s="36" t="s">
        <v>266</v>
      </c>
      <c r="S1" s="36" t="s">
        <v>266</v>
      </c>
      <c r="U1" s="36" t="s">
        <v>267</v>
      </c>
      <c r="V1" s="36" t="s">
        <v>268</v>
      </c>
      <c r="W1" s="36" t="s">
        <v>269</v>
      </c>
      <c r="Y1" s="36" t="s">
        <v>270</v>
      </c>
      <c r="Z1" s="36" t="s">
        <v>271</v>
      </c>
      <c r="AA1" s="63" t="s">
        <v>272</v>
      </c>
      <c r="AB1" s="36" t="s">
        <v>273</v>
      </c>
      <c r="AC1" s="36" t="s">
        <v>274</v>
      </c>
      <c r="AE1" s="36" t="s">
        <v>275</v>
      </c>
      <c r="AH1" s="46"/>
      <c r="AI1" s="46"/>
      <c r="AK1" s="63"/>
      <c r="AL1" s="63"/>
    </row>
    <row r="2" spans="1:39" s="37" customFormat="1" ht="21" customHeight="1">
      <c r="B2" s="40" t="s">
        <v>224</v>
      </c>
      <c r="C2" s="40" t="s">
        <v>225</v>
      </c>
      <c r="D2" s="40" t="s">
        <v>276</v>
      </c>
      <c r="E2" s="40" t="s">
        <v>227</v>
      </c>
      <c r="F2" s="40" t="s">
        <v>228</v>
      </c>
      <c r="G2" s="41" t="s">
        <v>229</v>
      </c>
      <c r="H2" s="41"/>
      <c r="I2" s="40"/>
      <c r="J2" s="40" t="s">
        <v>277</v>
      </c>
      <c r="K2" s="47" t="s">
        <v>278</v>
      </c>
      <c r="L2" s="40" t="s">
        <v>279</v>
      </c>
      <c r="M2" s="47" t="s">
        <v>280</v>
      </c>
      <c r="N2" s="40" t="s">
        <v>281</v>
      </c>
      <c r="O2" s="40" t="s">
        <v>282</v>
      </c>
      <c r="P2" s="48" t="s">
        <v>243</v>
      </c>
      <c r="Q2" s="48" t="s">
        <v>244</v>
      </c>
      <c r="R2" s="40" t="s">
        <v>245</v>
      </c>
      <c r="S2" s="40" t="s">
        <v>246</v>
      </c>
      <c r="T2" s="40" t="s">
        <v>283</v>
      </c>
      <c r="U2" s="40" t="s">
        <v>249</v>
      </c>
      <c r="V2" s="40" t="s">
        <v>250</v>
      </c>
      <c r="W2" s="40" t="s">
        <v>239</v>
      </c>
      <c r="X2" s="40" t="s">
        <v>247</v>
      </c>
      <c r="Y2" s="40" t="s">
        <v>183</v>
      </c>
      <c r="Z2" s="40" t="s">
        <v>240</v>
      </c>
      <c r="AA2" s="64" t="s">
        <v>284</v>
      </c>
      <c r="AB2" s="40" t="s">
        <v>242</v>
      </c>
      <c r="AC2" s="40" t="s">
        <v>189</v>
      </c>
      <c r="AD2" s="40" t="s">
        <v>248</v>
      </c>
      <c r="AE2" s="40" t="s">
        <v>251</v>
      </c>
      <c r="AF2" s="40" t="s">
        <v>285</v>
      </c>
      <c r="AG2" s="40" t="s">
        <v>253</v>
      </c>
      <c r="AH2" s="48" t="s">
        <v>254</v>
      </c>
      <c r="AI2" s="48" t="s">
        <v>255</v>
      </c>
      <c r="AJ2" s="40" t="s">
        <v>286</v>
      </c>
      <c r="AK2" s="64" t="s">
        <v>257</v>
      </c>
      <c r="AL2" s="64" t="s">
        <v>287</v>
      </c>
      <c r="AM2" s="37" t="s">
        <v>259</v>
      </c>
    </row>
    <row r="3" spans="1:39" s="38" customFormat="1" ht="49.5">
      <c r="A3" s="42" t="s">
        <v>288</v>
      </c>
      <c r="B3" s="42" t="s">
        <v>289</v>
      </c>
      <c r="C3" s="42" t="s">
        <v>290</v>
      </c>
      <c r="D3" s="42" t="s">
        <v>291</v>
      </c>
      <c r="E3" s="43" t="s">
        <v>292</v>
      </c>
      <c r="F3" s="43" t="s">
        <v>293</v>
      </c>
      <c r="G3" s="43" t="s">
        <v>294</v>
      </c>
      <c r="H3" s="43" t="s">
        <v>295</v>
      </c>
      <c r="I3" s="43" t="s">
        <v>296</v>
      </c>
      <c r="J3" s="43" t="s">
        <v>297</v>
      </c>
      <c r="K3" s="43" t="s">
        <v>298</v>
      </c>
      <c r="L3" s="43" t="s">
        <v>299</v>
      </c>
      <c r="M3" s="43" t="s">
        <v>300</v>
      </c>
      <c r="N3" s="43" t="s">
        <v>301</v>
      </c>
      <c r="O3" s="43" t="s">
        <v>302</v>
      </c>
      <c r="P3" s="43" t="s">
        <v>243</v>
      </c>
      <c r="Q3" s="43" t="s">
        <v>244</v>
      </c>
      <c r="R3" s="43" t="s">
        <v>245</v>
      </c>
      <c r="S3" s="43" t="s">
        <v>246</v>
      </c>
      <c r="T3" s="43" t="s">
        <v>303</v>
      </c>
      <c r="U3" s="43" t="s">
        <v>304</v>
      </c>
      <c r="V3" s="43" t="s">
        <v>305</v>
      </c>
      <c r="W3" s="43" t="s">
        <v>306</v>
      </c>
      <c r="X3" s="43" t="s">
        <v>307</v>
      </c>
      <c r="Y3" s="43" t="s">
        <v>234</v>
      </c>
      <c r="Z3" s="43" t="s">
        <v>240</v>
      </c>
      <c r="AA3" s="43" t="s">
        <v>241</v>
      </c>
      <c r="AB3" s="43" t="s">
        <v>242</v>
      </c>
      <c r="AC3" s="43" t="s">
        <v>189</v>
      </c>
      <c r="AD3" s="43" t="s">
        <v>248</v>
      </c>
      <c r="AE3" s="43" t="s">
        <v>251</v>
      </c>
      <c r="AF3" s="43" t="s">
        <v>252</v>
      </c>
      <c r="AG3" s="43" t="s">
        <v>253</v>
      </c>
      <c r="AH3" s="43" t="s">
        <v>254</v>
      </c>
      <c r="AI3" s="43" t="s">
        <v>255</v>
      </c>
      <c r="AJ3" s="43" t="s">
        <v>256</v>
      </c>
      <c r="AK3" s="43" t="s">
        <v>257</v>
      </c>
      <c r="AL3" s="43" t="s">
        <v>258</v>
      </c>
      <c r="AM3" s="43" t="s">
        <v>259</v>
      </c>
    </row>
    <row r="4" spans="1:39" ht="33">
      <c r="A4" s="44" t="s">
        <v>308</v>
      </c>
      <c r="B4" s="44">
        <v>130033</v>
      </c>
      <c r="C4" s="44">
        <v>62</v>
      </c>
      <c r="D4" s="44"/>
      <c r="E4" s="36" t="s">
        <v>309</v>
      </c>
      <c r="F4" s="44"/>
      <c r="G4" s="44">
        <v>60</v>
      </c>
      <c r="H4" s="44">
        <v>60</v>
      </c>
      <c r="I4" s="44">
        <v>6</v>
      </c>
      <c r="J4" s="44">
        <v>1100</v>
      </c>
      <c r="K4" s="44">
        <v>1200</v>
      </c>
      <c r="L4" s="44"/>
      <c r="M4" s="44"/>
      <c r="N4" s="45" t="s">
        <v>310</v>
      </c>
      <c r="O4" s="49" t="s">
        <v>311</v>
      </c>
      <c r="P4" s="50">
        <v>44133.375</v>
      </c>
      <c r="Q4" s="50">
        <v>44143.999305555597</v>
      </c>
      <c r="R4" s="57"/>
      <c r="S4" s="57"/>
      <c r="T4" s="44"/>
      <c r="U4" s="58" t="s">
        <v>312</v>
      </c>
      <c r="W4" s="44" t="s">
        <v>313</v>
      </c>
      <c r="X4" s="45">
        <v>1023</v>
      </c>
      <c r="Y4" s="44">
        <v>3</v>
      </c>
      <c r="Z4" s="44"/>
      <c r="AA4" s="45"/>
      <c r="AB4" s="45"/>
      <c r="AC4" s="45"/>
      <c r="AD4" s="45"/>
      <c r="AE4" s="45"/>
      <c r="AF4" s="45"/>
      <c r="AG4" s="45"/>
      <c r="AH4" s="45"/>
      <c r="AI4" s="45"/>
      <c r="AJ4" s="45"/>
      <c r="AK4" s="39"/>
      <c r="AL4" s="39"/>
    </row>
    <row r="5" spans="1:39">
      <c r="A5" s="44" t="s">
        <v>218</v>
      </c>
      <c r="B5" s="44">
        <v>115001</v>
      </c>
      <c r="C5" s="44"/>
      <c r="D5" s="44"/>
      <c r="E5" s="36"/>
      <c r="F5" s="44"/>
      <c r="G5" s="44">
        <v>300</v>
      </c>
      <c r="H5" s="44">
        <v>300</v>
      </c>
      <c r="I5" s="44">
        <v>30</v>
      </c>
      <c r="J5" s="44">
        <v>5500</v>
      </c>
      <c r="K5" s="44">
        <v>5900</v>
      </c>
      <c r="L5" s="44"/>
      <c r="M5" s="44"/>
      <c r="N5" s="45" t="s">
        <v>314</v>
      </c>
      <c r="O5" s="49" t="s">
        <v>315</v>
      </c>
      <c r="P5" s="50">
        <v>44133.375</v>
      </c>
      <c r="Q5" s="50">
        <v>44143.999305555597</v>
      </c>
      <c r="R5" s="57"/>
      <c r="S5" s="57"/>
      <c r="T5" s="44"/>
      <c r="U5" s="44" t="s">
        <v>316</v>
      </c>
      <c r="V5" s="59" t="s">
        <v>317</v>
      </c>
      <c r="W5" s="44" t="s">
        <v>318</v>
      </c>
      <c r="X5" s="44"/>
      <c r="Y5" s="45"/>
      <c r="Z5" s="45"/>
      <c r="AA5" s="45"/>
      <c r="AB5" s="45"/>
      <c r="AC5" s="45"/>
      <c r="AD5" s="45"/>
      <c r="AE5" s="45">
        <v>7</v>
      </c>
      <c r="AF5" s="45"/>
      <c r="AG5" s="45"/>
      <c r="AH5" s="45"/>
      <c r="AI5" s="45"/>
      <c r="AJ5" s="45"/>
      <c r="AK5" s="39"/>
      <c r="AL5" s="39"/>
      <c r="AM5">
        <v>22</v>
      </c>
    </row>
    <row r="6" spans="1:39" ht="33">
      <c r="A6" s="281" t="s">
        <v>195</v>
      </c>
      <c r="B6" s="44">
        <v>111187</v>
      </c>
      <c r="C6" s="44">
        <v>209</v>
      </c>
      <c r="D6" s="44"/>
      <c r="E6" s="36" t="s">
        <v>319</v>
      </c>
      <c r="F6" s="44"/>
      <c r="G6" s="44">
        <v>660</v>
      </c>
      <c r="H6" s="44">
        <v>660</v>
      </c>
      <c r="I6" s="44">
        <v>66</v>
      </c>
      <c r="J6" s="44">
        <v>12100</v>
      </c>
      <c r="K6" s="44">
        <v>12000</v>
      </c>
      <c r="L6" s="44"/>
      <c r="M6" s="44"/>
      <c r="N6" s="45" t="s">
        <v>320</v>
      </c>
      <c r="O6" s="51" t="s">
        <v>321</v>
      </c>
      <c r="P6" s="50">
        <v>44133.375</v>
      </c>
      <c r="Q6" s="50">
        <v>44143.999305555597</v>
      </c>
      <c r="R6" s="45"/>
      <c r="S6" s="45"/>
      <c r="T6" s="51" t="s">
        <v>322</v>
      </c>
      <c r="U6" s="58" t="s">
        <v>323</v>
      </c>
      <c r="W6" s="44" t="s">
        <v>324</v>
      </c>
      <c r="X6" s="44">
        <v>1138</v>
      </c>
      <c r="Y6" s="45">
        <v>1</v>
      </c>
      <c r="Z6" s="45">
        <v>1</v>
      </c>
      <c r="AA6" s="45">
        <v>1</v>
      </c>
      <c r="AB6" s="45">
        <v>1</v>
      </c>
      <c r="AC6" s="45"/>
      <c r="AD6" s="45"/>
      <c r="AE6" s="45"/>
      <c r="AF6" s="45"/>
      <c r="AG6" s="45"/>
      <c r="AH6" s="45"/>
      <c r="AI6" s="45"/>
      <c r="AJ6" s="45"/>
      <c r="AK6" s="39"/>
      <c r="AL6" s="39"/>
    </row>
    <row r="7" spans="1:39" ht="33">
      <c r="A7" s="281"/>
      <c r="B7" s="44">
        <v>111188</v>
      </c>
      <c r="C7" s="44">
        <v>208</v>
      </c>
      <c r="D7" s="44"/>
      <c r="E7" s="36" t="s">
        <v>325</v>
      </c>
      <c r="F7" s="44"/>
      <c r="G7" s="44">
        <v>1800</v>
      </c>
      <c r="H7" s="44">
        <v>1800</v>
      </c>
      <c r="I7" s="44">
        <v>180</v>
      </c>
      <c r="J7" s="44">
        <v>33000</v>
      </c>
      <c r="K7" s="44">
        <v>33000</v>
      </c>
      <c r="L7" s="44"/>
      <c r="M7" s="44"/>
      <c r="N7" s="45" t="s">
        <v>326</v>
      </c>
      <c r="O7" s="51" t="s">
        <v>327</v>
      </c>
      <c r="P7" s="50">
        <v>44133.375</v>
      </c>
      <c r="Q7" s="50">
        <v>44143.999305555597</v>
      </c>
      <c r="R7" s="45"/>
      <c r="S7" s="45"/>
      <c r="T7" s="51" t="s">
        <v>328</v>
      </c>
      <c r="U7" s="58" t="s">
        <v>329</v>
      </c>
      <c r="W7" s="44" t="s">
        <v>313</v>
      </c>
      <c r="X7" s="44">
        <v>1139</v>
      </c>
      <c r="Y7" s="45">
        <v>1</v>
      </c>
      <c r="Z7" s="45">
        <v>1</v>
      </c>
      <c r="AA7" s="45">
        <v>1</v>
      </c>
      <c r="AB7" s="45">
        <v>2</v>
      </c>
      <c r="AC7" s="45"/>
      <c r="AD7" s="45"/>
      <c r="AE7" s="45"/>
      <c r="AF7" s="45"/>
      <c r="AG7" s="45"/>
      <c r="AH7" s="45"/>
      <c r="AI7" s="45"/>
      <c r="AJ7" s="45"/>
      <c r="AK7" s="39"/>
      <c r="AL7" s="39"/>
    </row>
    <row r="8" spans="1:39" ht="33">
      <c r="A8" s="281"/>
      <c r="B8" s="44">
        <v>111189</v>
      </c>
      <c r="C8" s="44">
        <v>155</v>
      </c>
      <c r="D8" s="44"/>
      <c r="E8" s="36" t="s">
        <v>330</v>
      </c>
      <c r="F8" s="44"/>
      <c r="G8" s="44">
        <v>660</v>
      </c>
      <c r="H8" s="44">
        <v>660</v>
      </c>
      <c r="I8" s="44">
        <v>66</v>
      </c>
      <c r="J8" s="44">
        <v>12100</v>
      </c>
      <c r="K8" s="44">
        <v>12000</v>
      </c>
      <c r="L8" s="44"/>
      <c r="M8" s="44"/>
      <c r="N8" s="45" t="s">
        <v>331</v>
      </c>
      <c r="O8" s="52" t="s">
        <v>332</v>
      </c>
      <c r="P8" s="50">
        <v>44133.375</v>
      </c>
      <c r="Q8" s="50">
        <v>44143.999305555597</v>
      </c>
      <c r="R8" s="45"/>
      <c r="S8" s="45"/>
      <c r="T8" s="60" t="s">
        <v>333</v>
      </c>
      <c r="U8" s="61" t="s">
        <v>334</v>
      </c>
      <c r="W8" s="44" t="s">
        <v>335</v>
      </c>
      <c r="X8" s="44">
        <v>1058</v>
      </c>
      <c r="Y8" s="45">
        <v>1</v>
      </c>
      <c r="Z8" s="45">
        <v>1</v>
      </c>
      <c r="AA8" s="45">
        <v>1</v>
      </c>
      <c r="AB8" s="45">
        <v>3</v>
      </c>
      <c r="AC8" s="45"/>
      <c r="AD8" s="45"/>
      <c r="AE8" s="45"/>
      <c r="AF8" s="45"/>
      <c r="AG8" s="45"/>
      <c r="AH8" s="45"/>
      <c r="AI8" s="45"/>
      <c r="AJ8" s="45"/>
      <c r="AK8" s="39"/>
      <c r="AL8" s="39"/>
    </row>
    <row r="9" spans="1:39" ht="25.5">
      <c r="A9" s="44" t="s">
        <v>195</v>
      </c>
      <c r="B9" s="44">
        <v>111186</v>
      </c>
      <c r="C9" s="44"/>
      <c r="D9" s="44"/>
      <c r="E9" s="45"/>
      <c r="F9" s="36"/>
      <c r="G9" s="45">
        <v>180</v>
      </c>
      <c r="H9" s="45">
        <v>180</v>
      </c>
      <c r="I9" s="45">
        <v>18</v>
      </c>
      <c r="J9" s="45">
        <v>17600</v>
      </c>
      <c r="K9" s="45">
        <v>19000</v>
      </c>
      <c r="L9" s="45">
        <v>3300</v>
      </c>
      <c r="M9" s="45">
        <v>3900</v>
      </c>
      <c r="N9" s="45" t="s">
        <v>336</v>
      </c>
      <c r="O9" s="53" t="s">
        <v>337</v>
      </c>
      <c r="P9" s="50">
        <v>44133.375</v>
      </c>
      <c r="Q9" s="50">
        <v>44143.999305555597</v>
      </c>
      <c r="R9" s="50">
        <v>44133.375</v>
      </c>
      <c r="S9" s="50">
        <v>44143.999305555597</v>
      </c>
      <c r="T9" s="53" t="s">
        <v>338</v>
      </c>
      <c r="U9" s="45" t="s">
        <v>339</v>
      </c>
      <c r="W9" s="45" t="s">
        <v>340</v>
      </c>
      <c r="X9" s="45"/>
      <c r="Y9" s="45">
        <v>1</v>
      </c>
      <c r="Z9" s="45">
        <v>1</v>
      </c>
      <c r="AA9" s="45">
        <v>1</v>
      </c>
      <c r="AB9" s="45">
        <v>4</v>
      </c>
      <c r="AC9" s="45"/>
      <c r="AD9" s="45"/>
      <c r="AE9" s="45"/>
      <c r="AF9" s="45"/>
      <c r="AG9" s="45"/>
      <c r="AH9" s="45"/>
      <c r="AI9" s="45"/>
      <c r="AJ9" s="45"/>
      <c r="AK9" s="39"/>
      <c r="AL9" s="39"/>
    </row>
    <row r="10" spans="1:39" ht="66">
      <c r="A10" s="281" t="s">
        <v>341</v>
      </c>
      <c r="B10" s="44">
        <v>111002</v>
      </c>
      <c r="C10" s="44"/>
      <c r="F10" s="39"/>
      <c r="G10" s="45">
        <v>240</v>
      </c>
      <c r="H10" s="45">
        <v>240</v>
      </c>
      <c r="I10" s="45">
        <v>24</v>
      </c>
      <c r="J10" s="45">
        <v>5500</v>
      </c>
      <c r="K10" s="45">
        <v>5900</v>
      </c>
      <c r="L10" s="45">
        <v>4400</v>
      </c>
      <c r="M10" s="45">
        <v>4900</v>
      </c>
      <c r="N10" s="45" t="s">
        <v>342</v>
      </c>
      <c r="O10" s="53" t="s">
        <v>343</v>
      </c>
      <c r="P10" s="54"/>
      <c r="Q10" s="54"/>
      <c r="R10" s="54" t="s">
        <v>344</v>
      </c>
      <c r="S10" s="54" t="s">
        <v>345</v>
      </c>
      <c r="T10" s="45"/>
      <c r="U10" s="60" t="s">
        <v>346</v>
      </c>
      <c r="W10" s="45" t="s">
        <v>347</v>
      </c>
      <c r="X10" s="45"/>
      <c r="Y10" s="45">
        <v>1</v>
      </c>
      <c r="Z10" s="44"/>
      <c r="AA10" s="45"/>
      <c r="AB10" s="45"/>
      <c r="AC10" s="45"/>
      <c r="AD10" s="45"/>
      <c r="AE10" s="45"/>
      <c r="AF10" s="45"/>
      <c r="AG10" s="45"/>
      <c r="AH10" s="45"/>
      <c r="AI10" s="45"/>
      <c r="AJ10" s="45"/>
      <c r="AK10" s="39"/>
      <c r="AL10" s="39"/>
    </row>
    <row r="11" spans="1:39" ht="66">
      <c r="A11" s="281"/>
      <c r="B11" s="44">
        <v>111003</v>
      </c>
      <c r="C11" s="44"/>
      <c r="D11" s="44"/>
      <c r="E11" s="36"/>
      <c r="F11" s="39"/>
      <c r="G11" s="45">
        <v>660</v>
      </c>
      <c r="H11" s="45">
        <v>660</v>
      </c>
      <c r="I11" s="45">
        <v>66</v>
      </c>
      <c r="J11" s="45">
        <v>16500</v>
      </c>
      <c r="K11" s="45">
        <v>17000</v>
      </c>
      <c r="L11" s="45">
        <v>12100</v>
      </c>
      <c r="M11" s="45">
        <v>12000</v>
      </c>
      <c r="N11" s="45" t="s">
        <v>348</v>
      </c>
      <c r="O11" s="53" t="s">
        <v>349</v>
      </c>
      <c r="P11" s="54"/>
      <c r="Q11" s="54"/>
      <c r="R11" s="54" t="s">
        <v>344</v>
      </c>
      <c r="S11" s="54" t="s">
        <v>345</v>
      </c>
      <c r="T11" s="45"/>
      <c r="U11" s="45" t="s">
        <v>350</v>
      </c>
      <c r="W11" s="45" t="s">
        <v>347</v>
      </c>
      <c r="X11" s="45"/>
      <c r="Y11" s="45">
        <v>1</v>
      </c>
      <c r="Z11" s="44"/>
      <c r="AA11" s="45"/>
      <c r="AB11" s="45"/>
      <c r="AC11" s="45"/>
      <c r="AD11" s="45"/>
      <c r="AE11" s="45"/>
      <c r="AF11" s="45"/>
      <c r="AG11" s="45"/>
      <c r="AH11" s="45"/>
      <c r="AI11" s="45"/>
      <c r="AJ11" s="45"/>
      <c r="AK11" s="39"/>
      <c r="AL11" s="39"/>
    </row>
    <row r="12" spans="1:39" ht="66">
      <c r="A12" s="281"/>
      <c r="B12" s="44">
        <v>111005</v>
      </c>
      <c r="C12" s="1"/>
      <c r="D12" s="44"/>
      <c r="E12" s="36"/>
      <c r="F12" s="1"/>
      <c r="G12" s="45">
        <v>240</v>
      </c>
      <c r="H12" s="45">
        <v>240</v>
      </c>
      <c r="I12" s="45">
        <v>24</v>
      </c>
      <c r="J12" s="45">
        <v>5500</v>
      </c>
      <c r="K12" s="45">
        <v>5900</v>
      </c>
      <c r="L12" s="45">
        <v>4400</v>
      </c>
      <c r="M12" s="45">
        <v>4900</v>
      </c>
      <c r="N12" s="45" t="s">
        <v>351</v>
      </c>
      <c r="O12" s="53" t="s">
        <v>352</v>
      </c>
      <c r="P12" s="54"/>
      <c r="Q12" s="54"/>
      <c r="R12" s="54" t="s">
        <v>353</v>
      </c>
      <c r="S12" s="54" t="s">
        <v>354</v>
      </c>
      <c r="T12" s="45"/>
      <c r="U12" s="45" t="s">
        <v>355</v>
      </c>
      <c r="W12" s="45" t="s">
        <v>347</v>
      </c>
      <c r="X12" s="45"/>
      <c r="Y12" s="45">
        <v>1</v>
      </c>
      <c r="Z12" s="44"/>
      <c r="AA12" s="45"/>
      <c r="AB12" s="45"/>
      <c r="AC12" s="45"/>
      <c r="AD12" s="45"/>
      <c r="AE12" s="45"/>
      <c r="AF12" s="45"/>
      <c r="AG12" s="45"/>
      <c r="AH12" s="45"/>
      <c r="AI12" s="45"/>
      <c r="AJ12" s="45"/>
      <c r="AK12" s="39"/>
      <c r="AL12" s="39"/>
    </row>
    <row r="13" spans="1:39" ht="66">
      <c r="A13" s="281"/>
      <c r="B13" s="44">
        <v>111006</v>
      </c>
      <c r="C13" s="1"/>
      <c r="D13" s="44"/>
      <c r="E13" s="36"/>
      <c r="F13" s="1"/>
      <c r="G13" s="45">
        <v>660</v>
      </c>
      <c r="H13" s="45">
        <v>660</v>
      </c>
      <c r="I13" s="45">
        <v>66</v>
      </c>
      <c r="J13" s="45">
        <v>16500</v>
      </c>
      <c r="K13" s="45">
        <v>17000</v>
      </c>
      <c r="L13" s="45">
        <v>12100</v>
      </c>
      <c r="M13" s="45">
        <v>12000</v>
      </c>
      <c r="N13" s="45" t="s">
        <v>356</v>
      </c>
      <c r="O13" s="53" t="s">
        <v>357</v>
      </c>
      <c r="P13" s="54"/>
      <c r="Q13" s="54"/>
      <c r="R13" s="54" t="s">
        <v>353</v>
      </c>
      <c r="S13" s="54" t="s">
        <v>354</v>
      </c>
      <c r="T13" s="45"/>
      <c r="U13" s="45" t="s">
        <v>358</v>
      </c>
      <c r="W13" s="45" t="s">
        <v>347</v>
      </c>
      <c r="X13" s="45"/>
      <c r="Y13" s="45">
        <v>1</v>
      </c>
      <c r="Z13" s="44"/>
      <c r="AA13" s="45"/>
      <c r="AB13" s="45"/>
      <c r="AC13" s="45"/>
      <c r="AD13" s="45"/>
      <c r="AE13" s="45"/>
      <c r="AF13" s="45"/>
      <c r="AG13" s="45"/>
      <c r="AH13" s="45"/>
      <c r="AI13" s="45"/>
      <c r="AJ13" s="45"/>
      <c r="AK13" s="39"/>
      <c r="AL13" s="39"/>
    </row>
    <row r="14" spans="1:39" ht="66">
      <c r="A14" s="281"/>
      <c r="B14" s="44">
        <v>111058</v>
      </c>
      <c r="C14" s="1"/>
      <c r="D14" s="44"/>
      <c r="E14" s="36"/>
      <c r="F14" s="1"/>
      <c r="G14" s="45">
        <v>240</v>
      </c>
      <c r="H14" s="45">
        <v>240</v>
      </c>
      <c r="I14" s="45">
        <v>24</v>
      </c>
      <c r="J14" s="45">
        <v>5500</v>
      </c>
      <c r="K14" s="45">
        <v>5900</v>
      </c>
      <c r="L14" s="45">
        <v>4400</v>
      </c>
      <c r="M14" s="45">
        <v>4900</v>
      </c>
      <c r="N14" s="45" t="s">
        <v>359</v>
      </c>
      <c r="O14" s="55" t="s">
        <v>360</v>
      </c>
      <c r="P14" s="54"/>
      <c r="Q14" s="54"/>
      <c r="R14" s="54" t="s">
        <v>353</v>
      </c>
      <c r="S14" s="54" t="s">
        <v>354</v>
      </c>
      <c r="T14" s="45"/>
      <c r="U14" s="45" t="s">
        <v>361</v>
      </c>
      <c r="W14" s="45" t="s">
        <v>347</v>
      </c>
      <c r="X14" s="45"/>
      <c r="Y14" s="45">
        <v>1</v>
      </c>
      <c r="Z14" s="44"/>
      <c r="AA14" s="45"/>
      <c r="AB14" s="45"/>
      <c r="AC14" s="45"/>
      <c r="AD14" s="45"/>
      <c r="AE14" s="45"/>
      <c r="AF14" s="45"/>
      <c r="AG14" s="45"/>
      <c r="AH14" s="45"/>
      <c r="AI14" s="45"/>
      <c r="AJ14" s="45"/>
      <c r="AK14" s="39"/>
      <c r="AL14" s="39"/>
    </row>
    <row r="15" spans="1:39" ht="66">
      <c r="A15" s="281"/>
      <c r="B15" s="44">
        <v>111004</v>
      </c>
      <c r="C15" s="1"/>
      <c r="D15" s="44"/>
      <c r="E15" s="36"/>
      <c r="F15" s="1"/>
      <c r="G15" s="45">
        <v>660</v>
      </c>
      <c r="H15" s="45">
        <v>660</v>
      </c>
      <c r="I15" s="45">
        <v>66</v>
      </c>
      <c r="J15" s="45">
        <v>16500</v>
      </c>
      <c r="K15" s="45">
        <v>17000</v>
      </c>
      <c r="L15" s="45">
        <v>12100</v>
      </c>
      <c r="M15" s="45">
        <v>12000</v>
      </c>
      <c r="N15" s="45" t="s">
        <v>362</v>
      </c>
      <c r="O15" s="55" t="s">
        <v>363</v>
      </c>
      <c r="P15" s="54"/>
      <c r="Q15" s="54"/>
      <c r="R15" s="54" t="s">
        <v>353</v>
      </c>
      <c r="S15" s="54" t="s">
        <v>354</v>
      </c>
      <c r="T15" s="45"/>
      <c r="U15" s="45" t="s">
        <v>364</v>
      </c>
      <c r="W15" s="45" t="s">
        <v>347</v>
      </c>
      <c r="X15" s="45"/>
      <c r="Y15" s="45">
        <v>1</v>
      </c>
      <c r="Z15" s="44"/>
      <c r="AA15" s="45"/>
      <c r="AB15" s="45"/>
      <c r="AC15" s="45"/>
      <c r="AD15" s="45"/>
      <c r="AE15" s="45"/>
      <c r="AF15" s="45"/>
      <c r="AG15" s="45"/>
      <c r="AH15" s="45"/>
      <c r="AI15" s="45"/>
      <c r="AJ15" s="45"/>
      <c r="AK15" s="39"/>
      <c r="AL15" s="39"/>
    </row>
    <row r="16" spans="1:39" s="39" customFormat="1">
      <c r="A16" s="44"/>
      <c r="G16" s="44"/>
      <c r="H16" s="44"/>
      <c r="P16" s="56"/>
      <c r="Q16" s="62"/>
      <c r="R16" s="56"/>
      <c r="S16" s="56"/>
      <c r="Y16" s="44"/>
      <c r="Z16" s="44"/>
      <c r="AD16" s="56"/>
      <c r="AH16" s="56"/>
      <c r="AI16" s="56"/>
    </row>
    <row r="17" spans="1:35" s="39" customFormat="1">
      <c r="A17" s="44"/>
      <c r="G17" s="44"/>
      <c r="H17" s="44"/>
      <c r="P17" s="56"/>
      <c r="Q17" s="62"/>
      <c r="R17" s="56"/>
      <c r="S17" s="56"/>
      <c r="Y17" s="44"/>
      <c r="Z17" s="44"/>
      <c r="AD17" s="56"/>
      <c r="AH17" s="56"/>
      <c r="AI17" s="56"/>
    </row>
    <row r="18" spans="1:35" s="39" customFormat="1">
      <c r="A18" s="44"/>
      <c r="G18" s="44"/>
      <c r="H18" s="44"/>
      <c r="P18" s="56"/>
      <c r="Q18" s="62"/>
      <c r="R18" s="56"/>
      <c r="S18" s="56"/>
      <c r="Y18" s="44"/>
      <c r="Z18" s="44"/>
      <c r="AD18" s="56"/>
      <c r="AH18" s="56"/>
      <c r="AI18" s="56"/>
    </row>
    <row r="19" spans="1:35" s="39" customFormat="1">
      <c r="A19" s="44"/>
      <c r="G19" s="44"/>
      <c r="H19" s="44"/>
      <c r="P19" s="56"/>
      <c r="Q19" s="62"/>
      <c r="R19" s="56"/>
      <c r="S19" s="56"/>
      <c r="Y19" s="44"/>
      <c r="Z19" s="44"/>
      <c r="AD19" s="56"/>
      <c r="AH19" s="56"/>
      <c r="AI19" s="56"/>
    </row>
    <row r="38" ht="16.5" customHeight="1"/>
  </sheetData>
  <mergeCells count="2">
    <mergeCell ref="A6:A8"/>
    <mergeCell ref="A10:A15"/>
  </mergeCells>
  <phoneticPr fontId="71" type="noConversion"/>
  <conditionalFormatting sqref="B1">
    <cfRule type="duplicateValues" dxfId="1036" priority="3"/>
  </conditionalFormatting>
  <conditionalFormatting sqref="B1:D2">
    <cfRule type="duplicateValues" dxfId="1035"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0114" r:id="rId3" name="Button 2">
              <controlPr defaultSize="0" print="0" autoPict="0" macro="[0]!礼包_数据检查">
                <anchor>
                  <from>
                    <xdr:col>1</xdr:col>
                    <xdr:colOff>171450</xdr:colOff>
                    <xdr:row>0</xdr:row>
                    <xdr:rowOff>180975</xdr:rowOff>
                  </from>
                  <to>
                    <xdr:col>2</xdr:col>
                    <xdr:colOff>438150</xdr:colOff>
                    <xdr:row>0</xdr:row>
                    <xdr:rowOff>504825</xdr:rowOff>
                  </to>
                </anchor>
              </controlPr>
            </control>
          </mc:Choice>
        </mc:AlternateContent>
        <mc:AlternateContent xmlns:mc="http://schemas.openxmlformats.org/markup-compatibility/2006">
          <mc:Choice Requires="x14">
            <control shapeId="90115" r:id="rId4" name="Button 3">
              <controlPr defaultSize="0" print="0" autoPict="0" macro="[0]!礼包_数据更新">
                <anchor>
                  <from>
                    <xdr:col>5</xdr:col>
                    <xdr:colOff>447675</xdr:colOff>
                    <xdr:row>0</xdr:row>
                    <xdr:rowOff>200025</xdr:rowOff>
                  </from>
                  <to>
                    <xdr:col>5</xdr:col>
                    <xdr:colOff>1343025</xdr:colOff>
                    <xdr:row>0</xdr:row>
                    <xdr:rowOff>542925</xdr:rowOff>
                  </to>
                </anchor>
              </controlPr>
            </control>
          </mc:Choice>
        </mc:AlternateContent>
        <mc:AlternateContent xmlns:mc="http://schemas.openxmlformats.org/markup-compatibility/2006">
          <mc:Choice Requires="x14">
            <control shapeId="90142" r:id="rId5" name="Button 30">
              <controlPr defaultSize="0" print="0" autoPict="0" macro="[0]!礼包_生成商品码">
                <anchor moveWithCells="1" sizeWithCells="1">
                  <from>
                    <xdr:col>4</xdr:col>
                    <xdr:colOff>447675</xdr:colOff>
                    <xdr:row>0</xdr:row>
                    <xdr:rowOff>266700</xdr:rowOff>
                  </from>
                  <to>
                    <xdr:col>4</xdr:col>
                    <xdr:colOff>1304925</xdr:colOff>
                    <xdr:row>0</xdr:row>
                    <xdr:rowOff>552450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dimension ref="A1:AM38"/>
  <sheetViews>
    <sheetView workbookViewId="0">
      <pane xSplit="3" ySplit="2" topLeftCell="V3" activePane="bottomRight" state="frozen"/>
      <selection pane="topRight"/>
      <selection pane="bottomLeft"/>
      <selection pane="bottomRight" activeCell="AM2" sqref="AM2"/>
    </sheetView>
  </sheetViews>
  <sheetFormatPr defaultColWidth="9" defaultRowHeight="16.5"/>
  <cols>
    <col min="1" max="1" width="13.125" customWidth="1"/>
    <col min="2" max="4" width="9" customWidth="1"/>
    <col min="5" max="6" width="24.25" customWidth="1"/>
    <col min="7" max="8" width="7.5" customWidth="1"/>
    <col min="9" max="11" width="7.125" customWidth="1"/>
    <col min="12" max="12" width="7.875" customWidth="1"/>
    <col min="13" max="13" width="10.25" customWidth="1"/>
    <col min="14" max="15" width="13.125" customWidth="1"/>
    <col min="16" max="16" width="17.125" customWidth="1"/>
    <col min="17" max="17" width="16.5" customWidth="1"/>
    <col min="18" max="19" width="15.25" customWidth="1"/>
    <col min="20" max="20" width="33.25" customWidth="1"/>
    <col min="21" max="21" width="44.625" customWidth="1"/>
    <col min="22" max="22" width="24.375" customWidth="1"/>
    <col min="23" max="23" width="8.75" customWidth="1"/>
    <col min="24" max="24" width="11.375" customWidth="1"/>
    <col min="25" max="25" width="12.875" customWidth="1"/>
    <col min="26" max="26" width="19.25" customWidth="1"/>
    <col min="27" max="27" width="9.5" customWidth="1"/>
    <col min="28" max="28" width="9" customWidth="1"/>
    <col min="29" max="29" width="6.875" customWidth="1"/>
    <col min="30" max="30" width="5.75" customWidth="1"/>
    <col min="31" max="31" width="5" customWidth="1"/>
    <col min="32" max="32" width="4.75" customWidth="1"/>
    <col min="33" max="33" width="12.625" customWidth="1"/>
    <col min="34" max="35" width="8.125" customWidth="1"/>
    <col min="36" max="36" width="5" customWidth="1"/>
    <col min="37" max="38" width="7.125" customWidth="1"/>
  </cols>
  <sheetData>
    <row r="1" spans="1:39" s="36" customFormat="1" ht="115.5">
      <c r="A1" s="36" t="s">
        <v>263</v>
      </c>
      <c r="F1" s="36" t="s">
        <v>264</v>
      </c>
      <c r="G1" s="36" t="s">
        <v>229</v>
      </c>
      <c r="J1" s="36" t="s">
        <v>265</v>
      </c>
      <c r="K1" s="36" t="s">
        <v>265</v>
      </c>
      <c r="L1" s="36" t="s">
        <v>264</v>
      </c>
      <c r="M1" s="36" t="s">
        <v>264</v>
      </c>
      <c r="P1" s="46"/>
      <c r="Q1" s="46"/>
      <c r="R1" s="36" t="s">
        <v>266</v>
      </c>
      <c r="S1" s="36" t="s">
        <v>266</v>
      </c>
      <c r="U1" s="36" t="s">
        <v>267</v>
      </c>
      <c r="V1" s="36" t="s">
        <v>268</v>
      </c>
      <c r="W1" s="36" t="s">
        <v>269</v>
      </c>
      <c r="Y1" s="36" t="s">
        <v>270</v>
      </c>
      <c r="Z1" s="36" t="s">
        <v>271</v>
      </c>
      <c r="AA1" s="63" t="s">
        <v>272</v>
      </c>
      <c r="AB1" s="36" t="s">
        <v>273</v>
      </c>
      <c r="AC1" s="36" t="s">
        <v>274</v>
      </c>
      <c r="AE1" s="36" t="s">
        <v>275</v>
      </c>
      <c r="AH1" s="46"/>
      <c r="AI1" s="46"/>
      <c r="AK1" s="63"/>
      <c r="AL1" s="63"/>
    </row>
    <row r="2" spans="1:39" s="37" customFormat="1" ht="21" customHeight="1">
      <c r="B2" s="40" t="s">
        <v>224</v>
      </c>
      <c r="C2" s="40" t="s">
        <v>225</v>
      </c>
      <c r="D2" s="40" t="s">
        <v>276</v>
      </c>
      <c r="E2" s="40" t="s">
        <v>227</v>
      </c>
      <c r="F2" s="40" t="s">
        <v>228</v>
      </c>
      <c r="G2" s="41" t="s">
        <v>229</v>
      </c>
      <c r="H2" s="41"/>
      <c r="I2" s="40"/>
      <c r="J2" s="40" t="s">
        <v>277</v>
      </c>
      <c r="K2" s="47" t="s">
        <v>278</v>
      </c>
      <c r="L2" s="40" t="s">
        <v>279</v>
      </c>
      <c r="M2" s="47" t="s">
        <v>280</v>
      </c>
      <c r="N2" s="40" t="s">
        <v>281</v>
      </c>
      <c r="O2" s="40" t="s">
        <v>282</v>
      </c>
      <c r="P2" s="48" t="s">
        <v>243</v>
      </c>
      <c r="Q2" s="48" t="s">
        <v>244</v>
      </c>
      <c r="R2" s="40" t="s">
        <v>245</v>
      </c>
      <c r="S2" s="40" t="s">
        <v>246</v>
      </c>
      <c r="T2" s="40" t="s">
        <v>283</v>
      </c>
      <c r="U2" s="40" t="s">
        <v>249</v>
      </c>
      <c r="V2" s="40" t="s">
        <v>250</v>
      </c>
      <c r="W2" s="40" t="s">
        <v>239</v>
      </c>
      <c r="X2" s="40" t="s">
        <v>247</v>
      </c>
      <c r="Y2" s="40" t="s">
        <v>183</v>
      </c>
      <c r="Z2" s="40" t="s">
        <v>240</v>
      </c>
      <c r="AA2" s="64" t="s">
        <v>284</v>
      </c>
      <c r="AB2" s="40" t="s">
        <v>242</v>
      </c>
      <c r="AC2" s="40" t="s">
        <v>189</v>
      </c>
      <c r="AD2" s="40" t="s">
        <v>248</v>
      </c>
      <c r="AE2" s="40" t="s">
        <v>251</v>
      </c>
      <c r="AF2" s="40" t="s">
        <v>285</v>
      </c>
      <c r="AG2" s="40" t="s">
        <v>253</v>
      </c>
      <c r="AH2" s="48" t="s">
        <v>254</v>
      </c>
      <c r="AI2" s="48" t="s">
        <v>255</v>
      </c>
      <c r="AJ2" s="40" t="s">
        <v>286</v>
      </c>
      <c r="AK2" s="64" t="s">
        <v>257</v>
      </c>
      <c r="AL2" s="64" t="s">
        <v>287</v>
      </c>
      <c r="AM2" s="37" t="s">
        <v>259</v>
      </c>
    </row>
    <row r="3" spans="1:39" s="38" customFormat="1" ht="49.5">
      <c r="A3" s="42" t="s">
        <v>288</v>
      </c>
      <c r="B3" s="42" t="s">
        <v>289</v>
      </c>
      <c r="C3" s="42" t="s">
        <v>290</v>
      </c>
      <c r="D3" s="42" t="s">
        <v>291</v>
      </c>
      <c r="E3" s="43" t="s">
        <v>292</v>
      </c>
      <c r="F3" s="43" t="s">
        <v>293</v>
      </c>
      <c r="G3" s="43" t="s">
        <v>294</v>
      </c>
      <c r="H3" s="43" t="s">
        <v>295</v>
      </c>
      <c r="I3" s="43" t="s">
        <v>296</v>
      </c>
      <c r="J3" s="43" t="s">
        <v>297</v>
      </c>
      <c r="K3" s="43" t="s">
        <v>298</v>
      </c>
      <c r="L3" s="43" t="s">
        <v>299</v>
      </c>
      <c r="M3" s="43" t="s">
        <v>300</v>
      </c>
      <c r="N3" s="43" t="s">
        <v>301</v>
      </c>
      <c r="O3" s="43" t="s">
        <v>302</v>
      </c>
      <c r="P3" s="43" t="s">
        <v>243</v>
      </c>
      <c r="Q3" s="43" t="s">
        <v>244</v>
      </c>
      <c r="R3" s="43" t="s">
        <v>245</v>
      </c>
      <c r="S3" s="43" t="s">
        <v>246</v>
      </c>
      <c r="T3" s="43" t="s">
        <v>303</v>
      </c>
      <c r="U3" s="43" t="s">
        <v>304</v>
      </c>
      <c r="V3" s="43" t="s">
        <v>305</v>
      </c>
      <c r="W3" s="43" t="s">
        <v>306</v>
      </c>
      <c r="X3" s="43" t="s">
        <v>307</v>
      </c>
      <c r="Y3" s="43" t="s">
        <v>234</v>
      </c>
      <c r="Z3" s="43" t="s">
        <v>240</v>
      </c>
      <c r="AA3" s="43" t="s">
        <v>241</v>
      </c>
      <c r="AB3" s="43" t="s">
        <v>242</v>
      </c>
      <c r="AC3" s="43" t="s">
        <v>189</v>
      </c>
      <c r="AD3" s="43" t="s">
        <v>248</v>
      </c>
      <c r="AE3" s="43" t="s">
        <v>251</v>
      </c>
      <c r="AF3" s="43" t="s">
        <v>252</v>
      </c>
      <c r="AG3" s="43" t="s">
        <v>253</v>
      </c>
      <c r="AH3" s="43" t="s">
        <v>254</v>
      </c>
      <c r="AI3" s="43" t="s">
        <v>255</v>
      </c>
      <c r="AJ3" s="43" t="s">
        <v>256</v>
      </c>
      <c r="AK3" s="43" t="s">
        <v>257</v>
      </c>
      <c r="AL3" s="43" t="s">
        <v>258</v>
      </c>
      <c r="AM3" s="43" t="s">
        <v>259</v>
      </c>
    </row>
    <row r="4" spans="1:39" ht="33">
      <c r="A4" s="44" t="s">
        <v>308</v>
      </c>
      <c r="B4" s="44">
        <v>130033</v>
      </c>
      <c r="C4" s="44"/>
      <c r="D4" s="44"/>
      <c r="E4" s="36" t="s">
        <v>309</v>
      </c>
      <c r="F4" s="44"/>
      <c r="G4" s="44">
        <v>60</v>
      </c>
      <c r="H4" s="44">
        <v>60</v>
      </c>
      <c r="I4" s="44">
        <v>6</v>
      </c>
      <c r="J4" s="44">
        <v>1100</v>
      </c>
      <c r="K4" s="44">
        <v>1200</v>
      </c>
      <c r="L4" s="44"/>
      <c r="M4" s="44"/>
      <c r="N4" s="45" t="s">
        <v>310</v>
      </c>
      <c r="O4" s="49" t="s">
        <v>311</v>
      </c>
      <c r="P4" s="50">
        <v>44133.375</v>
      </c>
      <c r="Q4" s="50">
        <v>44143.999305555597</v>
      </c>
      <c r="R4" s="57"/>
      <c r="S4" s="57"/>
      <c r="T4" s="44"/>
      <c r="U4" s="58" t="s">
        <v>312</v>
      </c>
      <c r="W4" s="44" t="s">
        <v>313</v>
      </c>
      <c r="X4" s="45">
        <v>1023</v>
      </c>
      <c r="Y4" s="44">
        <v>3</v>
      </c>
      <c r="Z4" s="44"/>
      <c r="AA4" s="45"/>
      <c r="AB4" s="45"/>
      <c r="AC4" s="45"/>
      <c r="AD4" s="45"/>
      <c r="AE4" s="45"/>
      <c r="AF4" s="45"/>
      <c r="AG4" s="45"/>
      <c r="AH4" s="45"/>
      <c r="AI4" s="45"/>
      <c r="AJ4" s="45"/>
      <c r="AK4" s="39"/>
      <c r="AL4" s="39"/>
    </row>
    <row r="5" spans="1:39">
      <c r="A5" s="44" t="s">
        <v>218</v>
      </c>
      <c r="B5" s="44">
        <v>115001</v>
      </c>
      <c r="C5" s="44"/>
      <c r="D5" s="44"/>
      <c r="E5" s="36"/>
      <c r="F5" s="44"/>
      <c r="G5" s="44">
        <v>300</v>
      </c>
      <c r="H5" s="44">
        <v>300</v>
      </c>
      <c r="I5" s="44">
        <v>30</v>
      </c>
      <c r="J5" s="44">
        <v>5500</v>
      </c>
      <c r="K5" s="44">
        <v>5900</v>
      </c>
      <c r="L5" s="44"/>
      <c r="M5" s="44"/>
      <c r="N5" s="45" t="s">
        <v>314</v>
      </c>
      <c r="O5" s="49" t="s">
        <v>315</v>
      </c>
      <c r="P5" s="50">
        <v>44133.375</v>
      </c>
      <c r="Q5" s="50">
        <v>44143.999305555597</v>
      </c>
      <c r="R5" s="57"/>
      <c r="S5" s="57"/>
      <c r="T5" s="44"/>
      <c r="U5" s="44" t="s">
        <v>316</v>
      </c>
      <c r="V5" s="59" t="s">
        <v>317</v>
      </c>
      <c r="W5" s="44" t="s">
        <v>318</v>
      </c>
      <c r="X5" s="44"/>
      <c r="Y5" s="45"/>
      <c r="Z5" s="45"/>
      <c r="AA5" s="45"/>
      <c r="AB5" s="45"/>
      <c r="AC5" s="45"/>
      <c r="AD5" s="45"/>
      <c r="AE5" s="45">
        <v>7</v>
      </c>
      <c r="AF5" s="45"/>
      <c r="AG5" s="45"/>
      <c r="AH5" s="45"/>
      <c r="AI5" s="45"/>
      <c r="AJ5" s="45"/>
      <c r="AK5" s="39"/>
      <c r="AL5" s="39"/>
    </row>
    <row r="6" spans="1:39" ht="33">
      <c r="A6" s="281" t="s">
        <v>195</v>
      </c>
      <c r="B6" s="44">
        <v>111187</v>
      </c>
      <c r="C6" s="44"/>
      <c r="D6" s="44"/>
      <c r="E6" s="36" t="s">
        <v>319</v>
      </c>
      <c r="F6" s="44"/>
      <c r="G6" s="44">
        <v>660</v>
      </c>
      <c r="H6" s="44">
        <v>660</v>
      </c>
      <c r="I6" s="44">
        <v>66</v>
      </c>
      <c r="J6" s="44">
        <v>12100</v>
      </c>
      <c r="K6" s="44">
        <v>12000</v>
      </c>
      <c r="L6" s="44"/>
      <c r="M6" s="44"/>
      <c r="N6" s="45" t="s">
        <v>320</v>
      </c>
      <c r="O6" s="51" t="s">
        <v>321</v>
      </c>
      <c r="P6" s="50">
        <v>44133.375</v>
      </c>
      <c r="Q6" s="50">
        <v>44143.999305555597</v>
      </c>
      <c r="R6" s="45"/>
      <c r="S6" s="45"/>
      <c r="T6" s="51" t="s">
        <v>322</v>
      </c>
      <c r="U6" s="58" t="s">
        <v>323</v>
      </c>
      <c r="W6" s="44" t="s">
        <v>324</v>
      </c>
      <c r="X6" s="44">
        <v>1138</v>
      </c>
      <c r="Y6" s="45">
        <v>1</v>
      </c>
      <c r="Z6" s="45">
        <v>1</v>
      </c>
      <c r="AA6" s="45">
        <v>1</v>
      </c>
      <c r="AB6" s="45">
        <v>1</v>
      </c>
      <c r="AC6" s="45"/>
      <c r="AD6" s="45"/>
      <c r="AE6" s="45"/>
      <c r="AF6" s="45"/>
      <c r="AG6" s="45"/>
      <c r="AH6" s="45"/>
      <c r="AI6" s="45"/>
      <c r="AJ6" s="45"/>
      <c r="AK6" s="39"/>
      <c r="AL6" s="39"/>
    </row>
    <row r="7" spans="1:39" ht="33">
      <c r="A7" s="281"/>
      <c r="B7" s="44">
        <v>111188</v>
      </c>
      <c r="C7" s="44"/>
      <c r="D7" s="44"/>
      <c r="E7" s="36" t="s">
        <v>325</v>
      </c>
      <c r="F7" s="44"/>
      <c r="G7" s="44">
        <v>1800</v>
      </c>
      <c r="H7" s="44">
        <v>1800</v>
      </c>
      <c r="I7" s="44">
        <v>180</v>
      </c>
      <c r="J7" s="44">
        <v>33000</v>
      </c>
      <c r="K7" s="44">
        <v>33000</v>
      </c>
      <c r="L7" s="44"/>
      <c r="M7" s="44"/>
      <c r="N7" s="45" t="s">
        <v>326</v>
      </c>
      <c r="O7" s="51" t="s">
        <v>327</v>
      </c>
      <c r="P7" s="50">
        <v>44133.375</v>
      </c>
      <c r="Q7" s="50">
        <v>44143.999305555597</v>
      </c>
      <c r="R7" s="45"/>
      <c r="S7" s="45"/>
      <c r="T7" s="51" t="s">
        <v>328</v>
      </c>
      <c r="U7" s="58" t="s">
        <v>329</v>
      </c>
      <c r="W7" s="44" t="s">
        <v>313</v>
      </c>
      <c r="X7" s="44">
        <v>1139</v>
      </c>
      <c r="Y7" s="45">
        <v>1</v>
      </c>
      <c r="Z7" s="45">
        <v>1</v>
      </c>
      <c r="AA7" s="45">
        <v>1</v>
      </c>
      <c r="AB7" s="45">
        <v>2</v>
      </c>
      <c r="AC7" s="45"/>
      <c r="AD7" s="45"/>
      <c r="AE7" s="45"/>
      <c r="AF7" s="45"/>
      <c r="AG7" s="45"/>
      <c r="AH7" s="45"/>
      <c r="AI7" s="45"/>
      <c r="AJ7" s="45"/>
      <c r="AK7" s="39"/>
      <c r="AL7" s="39"/>
    </row>
    <row r="8" spans="1:39" ht="33">
      <c r="A8" s="281"/>
      <c r="B8" s="44">
        <v>111189</v>
      </c>
      <c r="C8" s="44"/>
      <c r="D8" s="44"/>
      <c r="E8" s="36" t="s">
        <v>330</v>
      </c>
      <c r="F8" s="44"/>
      <c r="G8" s="44">
        <v>660</v>
      </c>
      <c r="H8" s="44">
        <v>660</v>
      </c>
      <c r="I8" s="44">
        <v>66</v>
      </c>
      <c r="J8" s="44">
        <v>12100</v>
      </c>
      <c r="K8" s="44">
        <v>12000</v>
      </c>
      <c r="L8" s="44"/>
      <c r="M8" s="44"/>
      <c r="N8" s="45" t="s">
        <v>331</v>
      </c>
      <c r="O8" s="52" t="s">
        <v>332</v>
      </c>
      <c r="P8" s="50">
        <v>44133.375</v>
      </c>
      <c r="Q8" s="50">
        <v>44143.999305555597</v>
      </c>
      <c r="R8" s="45"/>
      <c r="S8" s="45"/>
      <c r="T8" s="60" t="s">
        <v>333</v>
      </c>
      <c r="U8" s="61" t="s">
        <v>334</v>
      </c>
      <c r="W8" s="44" t="s">
        <v>335</v>
      </c>
      <c r="X8" s="44">
        <v>1058</v>
      </c>
      <c r="Y8" s="45">
        <v>1</v>
      </c>
      <c r="Z8" s="45">
        <v>1</v>
      </c>
      <c r="AA8" s="45">
        <v>1</v>
      </c>
      <c r="AB8" s="45">
        <v>3</v>
      </c>
      <c r="AC8" s="45"/>
      <c r="AD8" s="45"/>
      <c r="AE8" s="45"/>
      <c r="AF8" s="45"/>
      <c r="AG8" s="45"/>
      <c r="AH8" s="45"/>
      <c r="AI8" s="45"/>
      <c r="AJ8" s="45"/>
      <c r="AK8" s="39"/>
      <c r="AL8" s="39"/>
    </row>
    <row r="9" spans="1:39" ht="25.5">
      <c r="A9" s="44" t="s">
        <v>195</v>
      </c>
      <c r="B9" s="44">
        <v>111186</v>
      </c>
      <c r="C9" s="44"/>
      <c r="D9" s="44"/>
      <c r="E9" s="45"/>
      <c r="F9" s="36"/>
      <c r="G9" s="45">
        <v>180</v>
      </c>
      <c r="H9" s="45">
        <v>180</v>
      </c>
      <c r="I9" s="45">
        <v>18</v>
      </c>
      <c r="J9" s="45">
        <v>17600</v>
      </c>
      <c r="K9" s="45">
        <v>19000</v>
      </c>
      <c r="L9" s="45">
        <v>3300</v>
      </c>
      <c r="M9" s="45">
        <v>3900</v>
      </c>
      <c r="N9" s="45" t="s">
        <v>336</v>
      </c>
      <c r="O9" s="53" t="s">
        <v>337</v>
      </c>
      <c r="P9" s="50">
        <v>44133.375</v>
      </c>
      <c r="Q9" s="50">
        <v>44143.999305555597</v>
      </c>
      <c r="R9" s="50">
        <v>44133.375</v>
      </c>
      <c r="S9" s="50">
        <v>44143.999305555597</v>
      </c>
      <c r="T9" s="53" t="s">
        <v>338</v>
      </c>
      <c r="U9" s="45" t="s">
        <v>339</v>
      </c>
      <c r="W9" s="45" t="s">
        <v>340</v>
      </c>
      <c r="X9" s="45"/>
      <c r="Y9" s="45">
        <v>1</v>
      </c>
      <c r="Z9" s="45">
        <v>1</v>
      </c>
      <c r="AA9" s="45">
        <v>1</v>
      </c>
      <c r="AB9" s="45">
        <v>4</v>
      </c>
      <c r="AC9" s="45"/>
      <c r="AD9" s="45"/>
      <c r="AE9" s="45"/>
      <c r="AF9" s="45"/>
      <c r="AG9" s="45"/>
      <c r="AH9" s="45"/>
      <c r="AI9" s="45"/>
      <c r="AJ9" s="45"/>
      <c r="AK9" s="39"/>
      <c r="AL9" s="39"/>
    </row>
    <row r="10" spans="1:39" ht="66">
      <c r="A10" s="281" t="s">
        <v>341</v>
      </c>
      <c r="B10" s="44">
        <v>111002</v>
      </c>
      <c r="C10" s="44"/>
      <c r="F10" s="39"/>
      <c r="G10" s="45">
        <v>240</v>
      </c>
      <c r="H10" s="45">
        <v>240</v>
      </c>
      <c r="I10" s="45">
        <v>24</v>
      </c>
      <c r="J10" s="45">
        <v>5500</v>
      </c>
      <c r="K10" s="45">
        <v>5900</v>
      </c>
      <c r="L10" s="45">
        <v>4400</v>
      </c>
      <c r="M10" s="45">
        <v>4900</v>
      </c>
      <c r="N10" s="45" t="s">
        <v>342</v>
      </c>
      <c r="O10" s="53" t="s">
        <v>343</v>
      </c>
      <c r="P10" s="54"/>
      <c r="Q10" s="54"/>
      <c r="R10" s="54" t="s">
        <v>344</v>
      </c>
      <c r="S10" s="54" t="s">
        <v>345</v>
      </c>
      <c r="T10" s="45"/>
      <c r="U10" s="60" t="s">
        <v>346</v>
      </c>
      <c r="W10" s="45" t="s">
        <v>347</v>
      </c>
      <c r="X10" s="45"/>
      <c r="Y10" s="45">
        <v>1</v>
      </c>
      <c r="Z10" s="44"/>
      <c r="AA10" s="45"/>
      <c r="AB10" s="45"/>
      <c r="AC10" s="45"/>
      <c r="AD10" s="45"/>
      <c r="AE10" s="45"/>
      <c r="AF10" s="45"/>
      <c r="AG10" s="45"/>
      <c r="AH10" s="45"/>
      <c r="AI10" s="45"/>
      <c r="AJ10" s="45"/>
      <c r="AK10" s="39"/>
      <c r="AL10" s="39"/>
    </row>
    <row r="11" spans="1:39" ht="66">
      <c r="A11" s="281"/>
      <c r="B11" s="44">
        <v>111003</v>
      </c>
      <c r="C11" s="44"/>
      <c r="D11" s="44"/>
      <c r="E11" s="36"/>
      <c r="F11" s="39"/>
      <c r="G11" s="45">
        <v>660</v>
      </c>
      <c r="H11" s="45">
        <v>660</v>
      </c>
      <c r="I11" s="45">
        <v>66</v>
      </c>
      <c r="J11" s="45">
        <v>16500</v>
      </c>
      <c r="K11" s="45">
        <v>17000</v>
      </c>
      <c r="L11" s="45">
        <v>12100</v>
      </c>
      <c r="M11" s="45">
        <v>12000</v>
      </c>
      <c r="N11" s="45" t="s">
        <v>348</v>
      </c>
      <c r="O11" s="53" t="s">
        <v>349</v>
      </c>
      <c r="P11" s="54"/>
      <c r="Q11" s="54"/>
      <c r="R11" s="54" t="s">
        <v>344</v>
      </c>
      <c r="S11" s="54" t="s">
        <v>345</v>
      </c>
      <c r="T11" s="45"/>
      <c r="U11" s="45" t="s">
        <v>350</v>
      </c>
      <c r="W11" s="45" t="s">
        <v>347</v>
      </c>
      <c r="X11" s="45"/>
      <c r="Y11" s="45">
        <v>1</v>
      </c>
      <c r="Z11" s="44"/>
      <c r="AA11" s="45"/>
      <c r="AB11" s="45"/>
      <c r="AC11" s="45"/>
      <c r="AD11" s="45"/>
      <c r="AE11" s="45"/>
      <c r="AF11" s="45"/>
      <c r="AG11" s="45"/>
      <c r="AH11" s="45"/>
      <c r="AI11" s="45"/>
      <c r="AJ11" s="45"/>
      <c r="AK11" s="39"/>
      <c r="AL11" s="39"/>
    </row>
    <row r="12" spans="1:39" ht="66">
      <c r="A12" s="281"/>
      <c r="B12" s="44">
        <v>111005</v>
      </c>
      <c r="C12" s="1"/>
      <c r="D12" s="44"/>
      <c r="E12" s="36"/>
      <c r="F12" s="1"/>
      <c r="G12" s="45">
        <v>240</v>
      </c>
      <c r="H12" s="45">
        <v>240</v>
      </c>
      <c r="I12" s="45">
        <v>24</v>
      </c>
      <c r="J12" s="45">
        <v>5500</v>
      </c>
      <c r="K12" s="45">
        <v>5900</v>
      </c>
      <c r="L12" s="45">
        <v>4400</v>
      </c>
      <c r="M12" s="45">
        <v>4900</v>
      </c>
      <c r="N12" s="45" t="s">
        <v>351</v>
      </c>
      <c r="O12" s="53" t="s">
        <v>352</v>
      </c>
      <c r="P12" s="54"/>
      <c r="Q12" s="54"/>
      <c r="R12" s="54" t="s">
        <v>353</v>
      </c>
      <c r="S12" s="54" t="s">
        <v>354</v>
      </c>
      <c r="T12" s="45"/>
      <c r="U12" s="45" t="s">
        <v>355</v>
      </c>
      <c r="W12" s="45" t="s">
        <v>347</v>
      </c>
      <c r="X12" s="45"/>
      <c r="Y12" s="45">
        <v>1</v>
      </c>
      <c r="Z12" s="44"/>
      <c r="AA12" s="45"/>
      <c r="AB12" s="45"/>
      <c r="AC12" s="45"/>
      <c r="AD12" s="45"/>
      <c r="AE12" s="45"/>
      <c r="AF12" s="45"/>
      <c r="AG12" s="45"/>
      <c r="AH12" s="45"/>
      <c r="AI12" s="45"/>
      <c r="AJ12" s="45"/>
      <c r="AK12" s="39"/>
      <c r="AL12" s="39"/>
    </row>
    <row r="13" spans="1:39" ht="66">
      <c r="A13" s="281"/>
      <c r="B13" s="44">
        <v>111006</v>
      </c>
      <c r="C13" s="1"/>
      <c r="D13" s="44"/>
      <c r="E13" s="36"/>
      <c r="F13" s="1"/>
      <c r="G13" s="45">
        <v>660</v>
      </c>
      <c r="H13" s="45">
        <v>660</v>
      </c>
      <c r="I13" s="45">
        <v>66</v>
      </c>
      <c r="J13" s="45">
        <v>16500</v>
      </c>
      <c r="K13" s="45">
        <v>17000</v>
      </c>
      <c r="L13" s="45">
        <v>12100</v>
      </c>
      <c r="M13" s="45">
        <v>12000</v>
      </c>
      <c r="N13" s="45" t="s">
        <v>356</v>
      </c>
      <c r="O13" s="53" t="s">
        <v>357</v>
      </c>
      <c r="P13" s="54"/>
      <c r="Q13" s="54"/>
      <c r="R13" s="54" t="s">
        <v>353</v>
      </c>
      <c r="S13" s="54" t="s">
        <v>354</v>
      </c>
      <c r="T13" s="45"/>
      <c r="U13" s="45" t="s">
        <v>358</v>
      </c>
      <c r="W13" s="45" t="s">
        <v>347</v>
      </c>
      <c r="X13" s="45"/>
      <c r="Y13" s="45">
        <v>1</v>
      </c>
      <c r="Z13" s="44"/>
      <c r="AA13" s="45"/>
      <c r="AB13" s="45"/>
      <c r="AC13" s="45"/>
      <c r="AD13" s="45"/>
      <c r="AE13" s="45"/>
      <c r="AF13" s="45"/>
      <c r="AG13" s="45"/>
      <c r="AH13" s="45"/>
      <c r="AI13" s="45"/>
      <c r="AJ13" s="45"/>
      <c r="AK13" s="39"/>
      <c r="AL13" s="39"/>
    </row>
    <row r="14" spans="1:39" ht="66">
      <c r="A14" s="281"/>
      <c r="B14" s="44">
        <v>111058</v>
      </c>
      <c r="C14" s="1"/>
      <c r="D14" s="44"/>
      <c r="E14" s="36"/>
      <c r="F14" s="1"/>
      <c r="G14" s="45">
        <v>240</v>
      </c>
      <c r="H14" s="45">
        <v>240</v>
      </c>
      <c r="I14" s="45">
        <v>24</v>
      </c>
      <c r="J14" s="45">
        <v>5500</v>
      </c>
      <c r="K14" s="45">
        <v>5900</v>
      </c>
      <c r="L14" s="45">
        <v>4400</v>
      </c>
      <c r="M14" s="45">
        <v>4900</v>
      </c>
      <c r="N14" s="45" t="s">
        <v>359</v>
      </c>
      <c r="O14" s="55" t="s">
        <v>360</v>
      </c>
      <c r="P14" s="54"/>
      <c r="Q14" s="54"/>
      <c r="R14" s="54" t="s">
        <v>353</v>
      </c>
      <c r="S14" s="54" t="s">
        <v>354</v>
      </c>
      <c r="T14" s="45"/>
      <c r="U14" s="45" t="s">
        <v>361</v>
      </c>
      <c r="W14" s="45" t="s">
        <v>347</v>
      </c>
      <c r="X14" s="45"/>
      <c r="Y14" s="45">
        <v>1</v>
      </c>
      <c r="Z14" s="44"/>
      <c r="AA14" s="45"/>
      <c r="AB14" s="45"/>
      <c r="AC14" s="45"/>
      <c r="AD14" s="45"/>
      <c r="AE14" s="45"/>
      <c r="AF14" s="45"/>
      <c r="AG14" s="45"/>
      <c r="AH14" s="45"/>
      <c r="AI14" s="45"/>
      <c r="AJ14" s="45"/>
      <c r="AK14" s="39"/>
      <c r="AL14" s="39"/>
    </row>
    <row r="15" spans="1:39" ht="66">
      <c r="A15" s="281"/>
      <c r="B15" s="44">
        <v>111004</v>
      </c>
      <c r="C15" s="1"/>
      <c r="D15" s="44"/>
      <c r="E15" s="36"/>
      <c r="F15" s="1"/>
      <c r="G15" s="45">
        <v>660</v>
      </c>
      <c r="H15" s="45">
        <v>660</v>
      </c>
      <c r="I15" s="45">
        <v>66</v>
      </c>
      <c r="J15" s="45">
        <v>16500</v>
      </c>
      <c r="K15" s="45">
        <v>17000</v>
      </c>
      <c r="L15" s="45">
        <v>12100</v>
      </c>
      <c r="M15" s="45">
        <v>12000</v>
      </c>
      <c r="N15" s="45" t="s">
        <v>362</v>
      </c>
      <c r="O15" s="55" t="s">
        <v>363</v>
      </c>
      <c r="P15" s="54"/>
      <c r="Q15" s="54"/>
      <c r="R15" s="54" t="s">
        <v>353</v>
      </c>
      <c r="S15" s="54" t="s">
        <v>354</v>
      </c>
      <c r="T15" s="45"/>
      <c r="U15" s="45" t="s">
        <v>364</v>
      </c>
      <c r="W15" s="45" t="s">
        <v>347</v>
      </c>
      <c r="X15" s="45"/>
      <c r="Y15" s="45">
        <v>1</v>
      </c>
      <c r="Z15" s="44"/>
      <c r="AA15" s="45"/>
      <c r="AB15" s="45"/>
      <c r="AC15" s="45"/>
      <c r="AD15" s="45"/>
      <c r="AE15" s="45"/>
      <c r="AF15" s="45"/>
      <c r="AG15" s="45"/>
      <c r="AH15" s="45"/>
      <c r="AI15" s="45"/>
      <c r="AJ15" s="45"/>
      <c r="AK15" s="39"/>
      <c r="AL15" s="39"/>
    </row>
    <row r="16" spans="1:39" s="39" customFormat="1">
      <c r="A16" s="44"/>
      <c r="G16" s="44"/>
      <c r="H16" s="44"/>
      <c r="P16" s="56"/>
      <c r="Q16" s="62"/>
      <c r="R16" s="56"/>
      <c r="S16" s="56"/>
      <c r="Y16" s="44"/>
      <c r="Z16" s="44"/>
      <c r="AD16" s="56"/>
      <c r="AH16" s="56"/>
      <c r="AI16" s="56"/>
    </row>
    <row r="17" spans="1:35" s="39" customFormat="1">
      <c r="A17" s="44"/>
      <c r="G17" s="44"/>
      <c r="H17" s="44"/>
      <c r="P17" s="56"/>
      <c r="Q17" s="62"/>
      <c r="R17" s="56"/>
      <c r="S17" s="56"/>
      <c r="Y17" s="44"/>
      <c r="Z17" s="44"/>
      <c r="AD17" s="56"/>
      <c r="AH17" s="56"/>
      <c r="AI17" s="56"/>
    </row>
    <row r="18" spans="1:35" s="39" customFormat="1">
      <c r="A18" s="44"/>
      <c r="G18" s="44"/>
      <c r="H18" s="44"/>
      <c r="P18" s="56"/>
      <c r="Q18" s="62"/>
      <c r="R18" s="56"/>
      <c r="S18" s="56"/>
      <c r="Y18" s="44"/>
      <c r="Z18" s="44"/>
      <c r="AD18" s="56"/>
      <c r="AH18" s="56"/>
      <c r="AI18" s="56"/>
    </row>
    <row r="19" spans="1:35" s="39" customFormat="1">
      <c r="A19" s="44"/>
      <c r="G19" s="44"/>
      <c r="H19" s="44"/>
      <c r="P19" s="56"/>
      <c r="Q19" s="62"/>
      <c r="R19" s="56"/>
      <c r="S19" s="56"/>
      <c r="Y19" s="44"/>
      <c r="Z19" s="44"/>
      <c r="AD19" s="56"/>
      <c r="AH19" s="56"/>
      <c r="AI19" s="56"/>
    </row>
    <row r="38" ht="16.5" customHeight="1"/>
  </sheetData>
  <mergeCells count="2">
    <mergeCell ref="A6:A8"/>
    <mergeCell ref="A10:A15"/>
  </mergeCells>
  <phoneticPr fontId="71" type="noConversion"/>
  <conditionalFormatting sqref="B1">
    <cfRule type="duplicateValues" dxfId="1034" priority="2"/>
  </conditionalFormatting>
  <conditionalFormatting sqref="B1:D2">
    <cfRule type="duplicateValues" dxfId="1033"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print="0" autoPict="0" macro="[0]!礼包_数据检查">
                <anchor>
                  <from>
                    <xdr:col>1</xdr:col>
                    <xdr:colOff>171450</xdr:colOff>
                    <xdr:row>0</xdr:row>
                    <xdr:rowOff>180975</xdr:rowOff>
                  </from>
                  <to>
                    <xdr:col>2</xdr:col>
                    <xdr:colOff>438150</xdr:colOff>
                    <xdr:row>0</xdr:row>
                    <xdr:rowOff>504825</xdr:rowOff>
                  </to>
                </anchor>
              </controlPr>
            </control>
          </mc:Choice>
        </mc:AlternateContent>
        <mc:AlternateContent xmlns:mc="http://schemas.openxmlformats.org/markup-compatibility/2006">
          <mc:Choice Requires="x14">
            <control shapeId="120834" r:id="rId4" name="Button 2">
              <controlPr defaultSize="0" print="0" autoPict="0" macro="[0]!礼包_数据更新">
                <anchor>
                  <from>
                    <xdr:col>5</xdr:col>
                    <xdr:colOff>447675</xdr:colOff>
                    <xdr:row>0</xdr:row>
                    <xdr:rowOff>200025</xdr:rowOff>
                  </from>
                  <to>
                    <xdr:col>5</xdr:col>
                    <xdr:colOff>1343025</xdr:colOff>
                    <xdr:row>0</xdr:row>
                    <xdr:rowOff>542925</xdr:rowOff>
                  </to>
                </anchor>
              </controlPr>
            </control>
          </mc:Choice>
        </mc:AlternateContent>
        <mc:AlternateContent xmlns:mc="http://schemas.openxmlformats.org/markup-compatibility/2006">
          <mc:Choice Requires="x14">
            <control shapeId="120835" r:id="rId5" name="Button 3">
              <controlPr defaultSize="0" print="0" autoPict="0" macro="[0]!礼包_生成商品码">
                <anchor moveWithCells="1" sizeWithCells="1">
                  <from>
                    <xdr:col>4</xdr:col>
                    <xdr:colOff>447675</xdr:colOff>
                    <xdr:row>0</xdr:row>
                    <xdr:rowOff>266700</xdr:rowOff>
                  </from>
                  <to>
                    <xdr:col>4</xdr:col>
                    <xdr:colOff>1304925</xdr:colOff>
                    <xdr:row>0</xdr:row>
                    <xdr:rowOff>552450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5"/>
  <dimension ref="A1:AM38"/>
  <sheetViews>
    <sheetView workbookViewId="0">
      <pane xSplit="3" ySplit="2" topLeftCell="V3" activePane="bottomRight" state="frozen"/>
      <selection pane="topRight"/>
      <selection pane="bottomLeft"/>
      <selection pane="bottomRight" activeCell="AM2" sqref="AM2"/>
    </sheetView>
  </sheetViews>
  <sheetFormatPr defaultColWidth="9" defaultRowHeight="16.5"/>
  <cols>
    <col min="1" max="1" width="13.125" customWidth="1"/>
    <col min="2" max="4" width="9" customWidth="1"/>
    <col min="5" max="6" width="24.25" customWidth="1"/>
    <col min="7" max="8" width="7.5" customWidth="1"/>
    <col min="9" max="11" width="7.125" customWidth="1"/>
    <col min="12" max="12" width="7.875" customWidth="1"/>
    <col min="13" max="13" width="10.25" customWidth="1"/>
    <col min="14" max="15" width="13.125" customWidth="1"/>
    <col min="16" max="16" width="17.125" customWidth="1"/>
    <col min="17" max="17" width="16.5" customWidth="1"/>
    <col min="18" max="19" width="15.25" customWidth="1"/>
    <col min="20" max="20" width="33.25" customWidth="1"/>
    <col min="21" max="21" width="44.625" customWidth="1"/>
    <col min="22" max="22" width="24.375" customWidth="1"/>
    <col min="23" max="23" width="8.75" customWidth="1"/>
    <col min="24" max="24" width="11.375" customWidth="1"/>
    <col min="25" max="25" width="12.875" customWidth="1"/>
    <col min="26" max="26" width="19.25" customWidth="1"/>
    <col min="27" max="27" width="9.5" customWidth="1"/>
    <col min="28" max="28" width="9" customWidth="1"/>
    <col min="29" max="29" width="6.875" customWidth="1"/>
    <col min="30" max="30" width="5.75" customWidth="1"/>
    <col min="31" max="31" width="5" customWidth="1"/>
    <col min="32" max="32" width="4.75" customWidth="1"/>
    <col min="33" max="33" width="12.625" customWidth="1"/>
    <col min="34" max="35" width="8.125" customWidth="1"/>
    <col min="36" max="36" width="5" customWidth="1"/>
    <col min="37" max="38" width="7.125" customWidth="1"/>
  </cols>
  <sheetData>
    <row r="1" spans="1:39" s="36" customFormat="1" ht="115.5">
      <c r="A1" s="36" t="s">
        <v>263</v>
      </c>
      <c r="F1" s="36" t="s">
        <v>264</v>
      </c>
      <c r="G1" s="36" t="s">
        <v>229</v>
      </c>
      <c r="J1" s="36" t="s">
        <v>265</v>
      </c>
      <c r="K1" s="36" t="s">
        <v>265</v>
      </c>
      <c r="L1" s="36" t="s">
        <v>264</v>
      </c>
      <c r="M1" s="36" t="s">
        <v>264</v>
      </c>
      <c r="P1" s="46"/>
      <c r="Q1" s="46"/>
      <c r="R1" s="36" t="s">
        <v>266</v>
      </c>
      <c r="S1" s="36" t="s">
        <v>266</v>
      </c>
      <c r="U1" s="36" t="s">
        <v>267</v>
      </c>
      <c r="V1" s="36" t="s">
        <v>268</v>
      </c>
      <c r="W1" s="36" t="s">
        <v>269</v>
      </c>
      <c r="Y1" s="36" t="s">
        <v>270</v>
      </c>
      <c r="Z1" s="36" t="s">
        <v>271</v>
      </c>
      <c r="AA1" s="63" t="s">
        <v>272</v>
      </c>
      <c r="AB1" s="36" t="s">
        <v>273</v>
      </c>
      <c r="AC1" s="36" t="s">
        <v>274</v>
      </c>
      <c r="AE1" s="36" t="s">
        <v>275</v>
      </c>
      <c r="AH1" s="46"/>
      <c r="AI1" s="46"/>
      <c r="AK1" s="63"/>
      <c r="AL1" s="63"/>
    </row>
    <row r="2" spans="1:39" s="37" customFormat="1" ht="21" customHeight="1">
      <c r="B2" s="40" t="s">
        <v>224</v>
      </c>
      <c r="C2" s="40" t="s">
        <v>225</v>
      </c>
      <c r="D2" s="40" t="s">
        <v>276</v>
      </c>
      <c r="E2" s="40" t="s">
        <v>227</v>
      </c>
      <c r="F2" s="40" t="s">
        <v>228</v>
      </c>
      <c r="G2" s="41" t="s">
        <v>229</v>
      </c>
      <c r="H2" s="41"/>
      <c r="I2" s="40"/>
      <c r="J2" s="40" t="s">
        <v>277</v>
      </c>
      <c r="K2" s="47" t="s">
        <v>278</v>
      </c>
      <c r="L2" s="40" t="s">
        <v>279</v>
      </c>
      <c r="M2" s="47" t="s">
        <v>280</v>
      </c>
      <c r="N2" s="40" t="s">
        <v>281</v>
      </c>
      <c r="O2" s="40" t="s">
        <v>282</v>
      </c>
      <c r="P2" s="48" t="s">
        <v>243</v>
      </c>
      <c r="Q2" s="48" t="s">
        <v>244</v>
      </c>
      <c r="R2" s="40" t="s">
        <v>245</v>
      </c>
      <c r="S2" s="40" t="s">
        <v>246</v>
      </c>
      <c r="T2" s="40" t="s">
        <v>283</v>
      </c>
      <c r="U2" s="40" t="s">
        <v>249</v>
      </c>
      <c r="V2" s="40" t="s">
        <v>250</v>
      </c>
      <c r="W2" s="40" t="s">
        <v>239</v>
      </c>
      <c r="X2" s="40" t="s">
        <v>247</v>
      </c>
      <c r="Y2" s="40" t="s">
        <v>183</v>
      </c>
      <c r="Z2" s="40" t="s">
        <v>240</v>
      </c>
      <c r="AA2" s="64" t="s">
        <v>284</v>
      </c>
      <c r="AB2" s="40" t="s">
        <v>242</v>
      </c>
      <c r="AC2" s="40" t="s">
        <v>189</v>
      </c>
      <c r="AD2" s="40" t="s">
        <v>248</v>
      </c>
      <c r="AE2" s="40" t="s">
        <v>251</v>
      </c>
      <c r="AF2" s="40" t="s">
        <v>285</v>
      </c>
      <c r="AG2" s="40" t="s">
        <v>253</v>
      </c>
      <c r="AH2" s="48" t="s">
        <v>254</v>
      </c>
      <c r="AI2" s="48" t="s">
        <v>255</v>
      </c>
      <c r="AJ2" s="40" t="s">
        <v>286</v>
      </c>
      <c r="AK2" s="64" t="s">
        <v>257</v>
      </c>
      <c r="AL2" s="64" t="s">
        <v>287</v>
      </c>
      <c r="AM2" s="37" t="s">
        <v>259</v>
      </c>
    </row>
    <row r="3" spans="1:39" s="38" customFormat="1" ht="49.5">
      <c r="A3" s="42" t="s">
        <v>288</v>
      </c>
      <c r="B3" s="42" t="s">
        <v>289</v>
      </c>
      <c r="C3" s="42" t="s">
        <v>290</v>
      </c>
      <c r="D3" s="42" t="s">
        <v>291</v>
      </c>
      <c r="E3" s="43" t="s">
        <v>292</v>
      </c>
      <c r="F3" s="43" t="s">
        <v>293</v>
      </c>
      <c r="G3" s="43" t="s">
        <v>294</v>
      </c>
      <c r="H3" s="43" t="s">
        <v>295</v>
      </c>
      <c r="I3" s="43" t="s">
        <v>296</v>
      </c>
      <c r="J3" s="43" t="s">
        <v>297</v>
      </c>
      <c r="K3" s="43" t="s">
        <v>298</v>
      </c>
      <c r="L3" s="43" t="s">
        <v>299</v>
      </c>
      <c r="M3" s="43" t="s">
        <v>300</v>
      </c>
      <c r="N3" s="43" t="s">
        <v>301</v>
      </c>
      <c r="O3" s="43" t="s">
        <v>302</v>
      </c>
      <c r="P3" s="43" t="s">
        <v>243</v>
      </c>
      <c r="Q3" s="43" t="s">
        <v>244</v>
      </c>
      <c r="R3" s="43" t="s">
        <v>245</v>
      </c>
      <c r="S3" s="43" t="s">
        <v>246</v>
      </c>
      <c r="T3" s="43" t="s">
        <v>303</v>
      </c>
      <c r="U3" s="43" t="s">
        <v>304</v>
      </c>
      <c r="V3" s="43" t="s">
        <v>305</v>
      </c>
      <c r="W3" s="43" t="s">
        <v>306</v>
      </c>
      <c r="X3" s="43" t="s">
        <v>307</v>
      </c>
      <c r="Y3" s="43" t="s">
        <v>234</v>
      </c>
      <c r="Z3" s="43" t="s">
        <v>240</v>
      </c>
      <c r="AA3" s="43" t="s">
        <v>241</v>
      </c>
      <c r="AB3" s="43" t="s">
        <v>242</v>
      </c>
      <c r="AC3" s="43" t="s">
        <v>189</v>
      </c>
      <c r="AD3" s="43" t="s">
        <v>248</v>
      </c>
      <c r="AE3" s="43" t="s">
        <v>251</v>
      </c>
      <c r="AF3" s="43" t="s">
        <v>252</v>
      </c>
      <c r="AG3" s="43" t="s">
        <v>253</v>
      </c>
      <c r="AH3" s="43" t="s">
        <v>254</v>
      </c>
      <c r="AI3" s="43" t="s">
        <v>255</v>
      </c>
      <c r="AJ3" s="43" t="s">
        <v>256</v>
      </c>
      <c r="AK3" s="43" t="s">
        <v>257</v>
      </c>
      <c r="AL3" s="43" t="s">
        <v>258</v>
      </c>
      <c r="AM3" s="43" t="s">
        <v>259</v>
      </c>
    </row>
    <row r="4" spans="1:39" ht="33">
      <c r="A4" s="44" t="s">
        <v>308</v>
      </c>
      <c r="B4" s="44">
        <v>130033</v>
      </c>
      <c r="C4" s="44"/>
      <c r="D4" s="44"/>
      <c r="E4" s="36" t="s">
        <v>309</v>
      </c>
      <c r="F4" s="44"/>
      <c r="G4" s="44">
        <v>60</v>
      </c>
      <c r="H4" s="44">
        <v>60</v>
      </c>
      <c r="I4" s="44">
        <v>6</v>
      </c>
      <c r="J4" s="44">
        <v>1100</v>
      </c>
      <c r="K4" s="44">
        <v>1200</v>
      </c>
      <c r="L4" s="44"/>
      <c r="M4" s="44"/>
      <c r="N4" s="45" t="s">
        <v>310</v>
      </c>
      <c r="O4" s="49" t="s">
        <v>311</v>
      </c>
      <c r="P4" s="50">
        <v>44133.375</v>
      </c>
      <c r="Q4" s="50">
        <v>44143.999305555597</v>
      </c>
      <c r="R4" s="57"/>
      <c r="S4" s="57"/>
      <c r="T4" s="44"/>
      <c r="U4" s="58" t="s">
        <v>312</v>
      </c>
      <c r="W4" s="44" t="s">
        <v>313</v>
      </c>
      <c r="X4" s="45">
        <v>1023</v>
      </c>
      <c r="Y4" s="44">
        <v>3</v>
      </c>
      <c r="Z4" s="44"/>
      <c r="AA4" s="45"/>
      <c r="AB4" s="45"/>
      <c r="AC4" s="45"/>
      <c r="AD4" s="45"/>
      <c r="AE4" s="45"/>
      <c r="AF4" s="45"/>
      <c r="AG4" s="45"/>
      <c r="AH4" s="45"/>
      <c r="AI4" s="45"/>
      <c r="AJ4" s="45"/>
      <c r="AK4" s="39"/>
      <c r="AL4" s="39"/>
    </row>
    <row r="5" spans="1:39">
      <c r="A5" s="44" t="s">
        <v>218</v>
      </c>
      <c r="B5" s="44">
        <v>115001</v>
      </c>
      <c r="C5" s="44"/>
      <c r="D5" s="44"/>
      <c r="E5" s="36"/>
      <c r="F5" s="44"/>
      <c r="G5" s="44">
        <v>300</v>
      </c>
      <c r="H5" s="44">
        <v>300</v>
      </c>
      <c r="I5" s="44">
        <v>30</v>
      </c>
      <c r="J5" s="44">
        <v>5500</v>
      </c>
      <c r="K5" s="44">
        <v>5900</v>
      </c>
      <c r="L5" s="44"/>
      <c r="M5" s="44"/>
      <c r="N5" s="45" t="s">
        <v>314</v>
      </c>
      <c r="O5" s="49" t="s">
        <v>315</v>
      </c>
      <c r="P5" s="50">
        <v>44133.375</v>
      </c>
      <c r="Q5" s="50">
        <v>44143.999305555597</v>
      </c>
      <c r="R5" s="57"/>
      <c r="S5" s="57"/>
      <c r="T5" s="44"/>
      <c r="U5" s="44" t="s">
        <v>316</v>
      </c>
      <c r="V5" s="59" t="s">
        <v>317</v>
      </c>
      <c r="W5" s="44" t="s">
        <v>318</v>
      </c>
      <c r="X5" s="44"/>
      <c r="Y5" s="45"/>
      <c r="Z5" s="45"/>
      <c r="AA5" s="45"/>
      <c r="AB5" s="45"/>
      <c r="AC5" s="45"/>
      <c r="AD5" s="45"/>
      <c r="AE5" s="45">
        <v>7</v>
      </c>
      <c r="AF5" s="45"/>
      <c r="AG5" s="45"/>
      <c r="AH5" s="45"/>
      <c r="AI5" s="45"/>
      <c r="AJ5" s="45"/>
      <c r="AK5" s="39"/>
      <c r="AL5" s="39"/>
    </row>
    <row r="6" spans="1:39" ht="33">
      <c r="A6" s="281" t="s">
        <v>195</v>
      </c>
      <c r="B6" s="44">
        <v>111187</v>
      </c>
      <c r="C6" s="44"/>
      <c r="D6" s="44"/>
      <c r="E6" s="36" t="s">
        <v>319</v>
      </c>
      <c r="F6" s="44"/>
      <c r="G6" s="44">
        <v>660</v>
      </c>
      <c r="H6" s="44">
        <v>660</v>
      </c>
      <c r="I6" s="44">
        <v>66</v>
      </c>
      <c r="J6" s="44">
        <v>12100</v>
      </c>
      <c r="K6" s="44">
        <v>12000</v>
      </c>
      <c r="L6" s="44"/>
      <c r="M6" s="44"/>
      <c r="N6" s="45" t="s">
        <v>320</v>
      </c>
      <c r="O6" s="51" t="s">
        <v>321</v>
      </c>
      <c r="P6" s="50">
        <v>44133.375</v>
      </c>
      <c r="Q6" s="50">
        <v>44143.999305555597</v>
      </c>
      <c r="R6" s="45"/>
      <c r="S6" s="45"/>
      <c r="T6" s="51" t="s">
        <v>322</v>
      </c>
      <c r="U6" s="58" t="s">
        <v>323</v>
      </c>
      <c r="W6" s="44" t="s">
        <v>324</v>
      </c>
      <c r="X6" s="44">
        <v>1138</v>
      </c>
      <c r="Y6" s="45">
        <v>1</v>
      </c>
      <c r="Z6" s="45">
        <v>1</v>
      </c>
      <c r="AA6" s="45">
        <v>1</v>
      </c>
      <c r="AB6" s="45">
        <v>1</v>
      </c>
      <c r="AC6" s="45"/>
      <c r="AD6" s="45"/>
      <c r="AE6" s="45"/>
      <c r="AF6" s="45"/>
      <c r="AG6" s="45"/>
      <c r="AH6" s="45"/>
      <c r="AI6" s="45"/>
      <c r="AJ6" s="45"/>
      <c r="AK6" s="39"/>
      <c r="AL6" s="39"/>
    </row>
    <row r="7" spans="1:39" ht="33">
      <c r="A7" s="281"/>
      <c r="B7" s="44">
        <v>111188</v>
      </c>
      <c r="C7" s="44"/>
      <c r="D7" s="44"/>
      <c r="E7" s="36" t="s">
        <v>325</v>
      </c>
      <c r="F7" s="44"/>
      <c r="G7" s="44">
        <v>1800</v>
      </c>
      <c r="H7" s="44">
        <v>1800</v>
      </c>
      <c r="I7" s="44">
        <v>180</v>
      </c>
      <c r="J7" s="44">
        <v>33000</v>
      </c>
      <c r="K7" s="44">
        <v>33000</v>
      </c>
      <c r="L7" s="44"/>
      <c r="M7" s="44"/>
      <c r="N7" s="45" t="s">
        <v>326</v>
      </c>
      <c r="O7" s="51" t="s">
        <v>327</v>
      </c>
      <c r="P7" s="50">
        <v>44133.375</v>
      </c>
      <c r="Q7" s="50">
        <v>44143.999305555597</v>
      </c>
      <c r="R7" s="45"/>
      <c r="S7" s="45"/>
      <c r="T7" s="51" t="s">
        <v>328</v>
      </c>
      <c r="U7" s="58" t="s">
        <v>329</v>
      </c>
      <c r="W7" s="44" t="s">
        <v>313</v>
      </c>
      <c r="X7" s="44">
        <v>1139</v>
      </c>
      <c r="Y7" s="45">
        <v>1</v>
      </c>
      <c r="Z7" s="45">
        <v>1</v>
      </c>
      <c r="AA7" s="45">
        <v>1</v>
      </c>
      <c r="AB7" s="45">
        <v>2</v>
      </c>
      <c r="AC7" s="45"/>
      <c r="AD7" s="45"/>
      <c r="AE7" s="45"/>
      <c r="AF7" s="45"/>
      <c r="AG7" s="45"/>
      <c r="AH7" s="45"/>
      <c r="AI7" s="45"/>
      <c r="AJ7" s="45"/>
      <c r="AK7" s="39"/>
      <c r="AL7" s="39"/>
    </row>
    <row r="8" spans="1:39" ht="33">
      <c r="A8" s="281"/>
      <c r="B8" s="44">
        <v>111189</v>
      </c>
      <c r="C8" s="44"/>
      <c r="D8" s="44"/>
      <c r="E8" s="36" t="s">
        <v>330</v>
      </c>
      <c r="F8" s="44"/>
      <c r="G8" s="44">
        <v>660</v>
      </c>
      <c r="H8" s="44">
        <v>660</v>
      </c>
      <c r="I8" s="44">
        <v>66</v>
      </c>
      <c r="J8" s="44">
        <v>12100</v>
      </c>
      <c r="K8" s="44">
        <v>12000</v>
      </c>
      <c r="L8" s="44"/>
      <c r="M8" s="44"/>
      <c r="N8" s="45" t="s">
        <v>331</v>
      </c>
      <c r="O8" s="52" t="s">
        <v>332</v>
      </c>
      <c r="P8" s="50">
        <v>44133.375</v>
      </c>
      <c r="Q8" s="50">
        <v>44143.999305555597</v>
      </c>
      <c r="R8" s="45"/>
      <c r="S8" s="45"/>
      <c r="T8" s="60" t="s">
        <v>333</v>
      </c>
      <c r="U8" s="61" t="s">
        <v>334</v>
      </c>
      <c r="W8" s="44" t="s">
        <v>335</v>
      </c>
      <c r="X8" s="44">
        <v>1058</v>
      </c>
      <c r="Y8" s="45">
        <v>1</v>
      </c>
      <c r="Z8" s="45">
        <v>1</v>
      </c>
      <c r="AA8" s="45">
        <v>1</v>
      </c>
      <c r="AB8" s="45">
        <v>3</v>
      </c>
      <c r="AC8" s="45"/>
      <c r="AD8" s="45"/>
      <c r="AE8" s="45"/>
      <c r="AF8" s="45"/>
      <c r="AG8" s="45"/>
      <c r="AH8" s="45"/>
      <c r="AI8" s="45"/>
      <c r="AJ8" s="45"/>
      <c r="AK8" s="39"/>
      <c r="AL8" s="39"/>
    </row>
    <row r="9" spans="1:39" ht="25.5">
      <c r="A9" s="44" t="s">
        <v>195</v>
      </c>
      <c r="B9" s="44">
        <v>111186</v>
      </c>
      <c r="C9" s="44"/>
      <c r="D9" s="44"/>
      <c r="E9" s="45"/>
      <c r="F9" s="36"/>
      <c r="G9" s="45">
        <v>180</v>
      </c>
      <c r="H9" s="45">
        <v>180</v>
      </c>
      <c r="I9" s="45">
        <v>18</v>
      </c>
      <c r="J9" s="45">
        <v>17600</v>
      </c>
      <c r="K9" s="45">
        <v>19000</v>
      </c>
      <c r="L9" s="45">
        <v>3300</v>
      </c>
      <c r="M9" s="45">
        <v>3900</v>
      </c>
      <c r="N9" s="45" t="s">
        <v>336</v>
      </c>
      <c r="O9" s="53" t="s">
        <v>337</v>
      </c>
      <c r="P9" s="50">
        <v>44133.375</v>
      </c>
      <c r="Q9" s="50">
        <v>44143.999305555597</v>
      </c>
      <c r="R9" s="50">
        <v>44133.375</v>
      </c>
      <c r="S9" s="50">
        <v>44143.999305555597</v>
      </c>
      <c r="T9" s="53" t="s">
        <v>338</v>
      </c>
      <c r="U9" s="45" t="s">
        <v>339</v>
      </c>
      <c r="W9" s="45" t="s">
        <v>340</v>
      </c>
      <c r="X9" s="45"/>
      <c r="Y9" s="45">
        <v>1</v>
      </c>
      <c r="Z9" s="45">
        <v>1</v>
      </c>
      <c r="AA9" s="45">
        <v>1</v>
      </c>
      <c r="AB9" s="45">
        <v>4</v>
      </c>
      <c r="AC9" s="45"/>
      <c r="AD9" s="45"/>
      <c r="AE9" s="45"/>
      <c r="AF9" s="45"/>
      <c r="AG9" s="45"/>
      <c r="AH9" s="45"/>
      <c r="AI9" s="45"/>
      <c r="AJ9" s="45"/>
      <c r="AK9" s="39"/>
      <c r="AL9" s="39"/>
    </row>
    <row r="10" spans="1:39" ht="66">
      <c r="A10" s="281" t="s">
        <v>341</v>
      </c>
      <c r="B10" s="44">
        <v>111002</v>
      </c>
      <c r="C10" s="44"/>
      <c r="F10" s="39"/>
      <c r="G10" s="45">
        <v>240</v>
      </c>
      <c r="H10" s="45">
        <v>240</v>
      </c>
      <c r="I10" s="45">
        <v>24</v>
      </c>
      <c r="J10" s="45">
        <v>5500</v>
      </c>
      <c r="K10" s="45">
        <v>5900</v>
      </c>
      <c r="L10" s="45">
        <v>4400</v>
      </c>
      <c r="M10" s="45">
        <v>4900</v>
      </c>
      <c r="N10" s="45" t="s">
        <v>342</v>
      </c>
      <c r="O10" s="53" t="s">
        <v>343</v>
      </c>
      <c r="P10" s="54"/>
      <c r="Q10" s="54"/>
      <c r="R10" s="54" t="s">
        <v>344</v>
      </c>
      <c r="S10" s="54" t="s">
        <v>345</v>
      </c>
      <c r="T10" s="45"/>
      <c r="U10" s="60" t="s">
        <v>346</v>
      </c>
      <c r="W10" s="45" t="s">
        <v>347</v>
      </c>
      <c r="X10" s="45"/>
      <c r="Y10" s="45">
        <v>1</v>
      </c>
      <c r="Z10" s="44"/>
      <c r="AA10" s="45"/>
      <c r="AB10" s="45"/>
      <c r="AC10" s="45"/>
      <c r="AD10" s="45"/>
      <c r="AE10" s="45"/>
      <c r="AF10" s="45"/>
      <c r="AG10" s="45"/>
      <c r="AH10" s="45"/>
      <c r="AI10" s="45"/>
      <c r="AJ10" s="45"/>
      <c r="AK10" s="39"/>
      <c r="AL10" s="39"/>
    </row>
    <row r="11" spans="1:39" ht="66">
      <c r="A11" s="281"/>
      <c r="B11" s="44">
        <v>111003</v>
      </c>
      <c r="C11" s="44"/>
      <c r="D11" s="44"/>
      <c r="E11" s="36"/>
      <c r="F11" s="39"/>
      <c r="G11" s="45">
        <v>660</v>
      </c>
      <c r="H11" s="45">
        <v>660</v>
      </c>
      <c r="I11" s="45">
        <v>66</v>
      </c>
      <c r="J11" s="45">
        <v>16500</v>
      </c>
      <c r="K11" s="45">
        <v>17000</v>
      </c>
      <c r="L11" s="45">
        <v>12100</v>
      </c>
      <c r="M11" s="45">
        <v>12000</v>
      </c>
      <c r="N11" s="45" t="s">
        <v>348</v>
      </c>
      <c r="O11" s="53" t="s">
        <v>349</v>
      </c>
      <c r="P11" s="54"/>
      <c r="Q11" s="54"/>
      <c r="R11" s="54" t="s">
        <v>344</v>
      </c>
      <c r="S11" s="54" t="s">
        <v>345</v>
      </c>
      <c r="T11" s="45"/>
      <c r="U11" s="45" t="s">
        <v>350</v>
      </c>
      <c r="W11" s="45" t="s">
        <v>347</v>
      </c>
      <c r="X11" s="45"/>
      <c r="Y11" s="45">
        <v>1</v>
      </c>
      <c r="Z11" s="44"/>
      <c r="AA11" s="45"/>
      <c r="AB11" s="45"/>
      <c r="AC11" s="45"/>
      <c r="AD11" s="45"/>
      <c r="AE11" s="45"/>
      <c r="AF11" s="45"/>
      <c r="AG11" s="45"/>
      <c r="AH11" s="45"/>
      <c r="AI11" s="45"/>
      <c r="AJ11" s="45"/>
      <c r="AK11" s="39"/>
      <c r="AL11" s="39"/>
    </row>
    <row r="12" spans="1:39" ht="66">
      <c r="A12" s="281"/>
      <c r="B12" s="44">
        <v>111005</v>
      </c>
      <c r="C12" s="1"/>
      <c r="D12" s="44"/>
      <c r="E12" s="36"/>
      <c r="F12" s="1"/>
      <c r="G12" s="45">
        <v>240</v>
      </c>
      <c r="H12" s="45">
        <v>240</v>
      </c>
      <c r="I12" s="45">
        <v>24</v>
      </c>
      <c r="J12" s="45">
        <v>5500</v>
      </c>
      <c r="K12" s="45">
        <v>5900</v>
      </c>
      <c r="L12" s="45">
        <v>4400</v>
      </c>
      <c r="M12" s="45">
        <v>4900</v>
      </c>
      <c r="N12" s="45" t="s">
        <v>351</v>
      </c>
      <c r="O12" s="53" t="s">
        <v>352</v>
      </c>
      <c r="P12" s="54"/>
      <c r="Q12" s="54"/>
      <c r="R12" s="54" t="s">
        <v>353</v>
      </c>
      <c r="S12" s="54" t="s">
        <v>354</v>
      </c>
      <c r="T12" s="45"/>
      <c r="U12" s="45" t="s">
        <v>355</v>
      </c>
      <c r="W12" s="45" t="s">
        <v>347</v>
      </c>
      <c r="X12" s="45"/>
      <c r="Y12" s="45">
        <v>1</v>
      </c>
      <c r="Z12" s="44"/>
      <c r="AA12" s="45"/>
      <c r="AB12" s="45"/>
      <c r="AC12" s="45"/>
      <c r="AD12" s="45"/>
      <c r="AE12" s="45"/>
      <c r="AF12" s="45"/>
      <c r="AG12" s="45"/>
      <c r="AH12" s="45"/>
      <c r="AI12" s="45"/>
      <c r="AJ12" s="45"/>
      <c r="AK12" s="39"/>
      <c r="AL12" s="39"/>
    </row>
    <row r="13" spans="1:39" ht="66">
      <c r="A13" s="281"/>
      <c r="B13" s="44">
        <v>111006</v>
      </c>
      <c r="C13" s="1"/>
      <c r="D13" s="44"/>
      <c r="E13" s="36"/>
      <c r="F13" s="1"/>
      <c r="G13" s="45">
        <v>660</v>
      </c>
      <c r="H13" s="45">
        <v>660</v>
      </c>
      <c r="I13" s="45">
        <v>66</v>
      </c>
      <c r="J13" s="45">
        <v>16500</v>
      </c>
      <c r="K13" s="45">
        <v>17000</v>
      </c>
      <c r="L13" s="45">
        <v>12100</v>
      </c>
      <c r="M13" s="45">
        <v>12000</v>
      </c>
      <c r="N13" s="45" t="s">
        <v>356</v>
      </c>
      <c r="O13" s="53" t="s">
        <v>357</v>
      </c>
      <c r="P13" s="54"/>
      <c r="Q13" s="54"/>
      <c r="R13" s="54" t="s">
        <v>353</v>
      </c>
      <c r="S13" s="54" t="s">
        <v>354</v>
      </c>
      <c r="T13" s="45"/>
      <c r="U13" s="45" t="s">
        <v>358</v>
      </c>
      <c r="W13" s="45" t="s">
        <v>347</v>
      </c>
      <c r="X13" s="45"/>
      <c r="Y13" s="45">
        <v>1</v>
      </c>
      <c r="Z13" s="44"/>
      <c r="AA13" s="45"/>
      <c r="AB13" s="45"/>
      <c r="AC13" s="45"/>
      <c r="AD13" s="45"/>
      <c r="AE13" s="45"/>
      <c r="AF13" s="45"/>
      <c r="AG13" s="45"/>
      <c r="AH13" s="45"/>
      <c r="AI13" s="45"/>
      <c r="AJ13" s="45"/>
      <c r="AK13" s="39"/>
      <c r="AL13" s="39"/>
    </row>
    <row r="14" spans="1:39" ht="66">
      <c r="A14" s="281"/>
      <c r="B14" s="44">
        <v>111058</v>
      </c>
      <c r="C14" s="1"/>
      <c r="D14" s="44"/>
      <c r="E14" s="36"/>
      <c r="F14" s="1"/>
      <c r="G14" s="45">
        <v>240</v>
      </c>
      <c r="H14" s="45">
        <v>240</v>
      </c>
      <c r="I14" s="45">
        <v>24</v>
      </c>
      <c r="J14" s="45">
        <v>5500</v>
      </c>
      <c r="K14" s="45">
        <v>5900</v>
      </c>
      <c r="L14" s="45">
        <v>4400</v>
      </c>
      <c r="M14" s="45">
        <v>4900</v>
      </c>
      <c r="N14" s="45" t="s">
        <v>359</v>
      </c>
      <c r="O14" s="55" t="s">
        <v>360</v>
      </c>
      <c r="P14" s="54"/>
      <c r="Q14" s="54"/>
      <c r="R14" s="54" t="s">
        <v>353</v>
      </c>
      <c r="S14" s="54" t="s">
        <v>354</v>
      </c>
      <c r="T14" s="45"/>
      <c r="U14" s="45" t="s">
        <v>361</v>
      </c>
      <c r="W14" s="45" t="s">
        <v>347</v>
      </c>
      <c r="X14" s="45"/>
      <c r="Y14" s="45">
        <v>1</v>
      </c>
      <c r="Z14" s="44"/>
      <c r="AA14" s="45"/>
      <c r="AB14" s="45"/>
      <c r="AC14" s="45"/>
      <c r="AD14" s="45"/>
      <c r="AE14" s="45"/>
      <c r="AF14" s="45"/>
      <c r="AG14" s="45"/>
      <c r="AH14" s="45"/>
      <c r="AI14" s="45"/>
      <c r="AJ14" s="45"/>
      <c r="AK14" s="39"/>
      <c r="AL14" s="39"/>
    </row>
    <row r="15" spans="1:39" ht="66">
      <c r="A15" s="281"/>
      <c r="B15" s="44">
        <v>111004</v>
      </c>
      <c r="C15" s="1"/>
      <c r="D15" s="44"/>
      <c r="E15" s="36"/>
      <c r="F15" s="1"/>
      <c r="G15" s="45">
        <v>660</v>
      </c>
      <c r="H15" s="45">
        <v>660</v>
      </c>
      <c r="I15" s="45">
        <v>66</v>
      </c>
      <c r="J15" s="45">
        <v>16500</v>
      </c>
      <c r="K15" s="45">
        <v>17000</v>
      </c>
      <c r="L15" s="45">
        <v>12100</v>
      </c>
      <c r="M15" s="45">
        <v>12000</v>
      </c>
      <c r="N15" s="45" t="s">
        <v>362</v>
      </c>
      <c r="O15" s="55" t="s">
        <v>363</v>
      </c>
      <c r="P15" s="54"/>
      <c r="Q15" s="54"/>
      <c r="R15" s="54" t="s">
        <v>353</v>
      </c>
      <c r="S15" s="54" t="s">
        <v>354</v>
      </c>
      <c r="T15" s="45"/>
      <c r="U15" s="45" t="s">
        <v>364</v>
      </c>
      <c r="W15" s="45" t="s">
        <v>347</v>
      </c>
      <c r="X15" s="45"/>
      <c r="Y15" s="45">
        <v>1</v>
      </c>
      <c r="Z15" s="44"/>
      <c r="AA15" s="45"/>
      <c r="AB15" s="45"/>
      <c r="AC15" s="45"/>
      <c r="AD15" s="45"/>
      <c r="AE15" s="45"/>
      <c r="AF15" s="45"/>
      <c r="AG15" s="45"/>
      <c r="AH15" s="45"/>
      <c r="AI15" s="45"/>
      <c r="AJ15" s="45"/>
      <c r="AK15" s="39"/>
      <c r="AL15" s="39"/>
    </row>
    <row r="16" spans="1:39" s="39" customFormat="1">
      <c r="A16" s="44"/>
      <c r="G16" s="44"/>
      <c r="H16" s="44"/>
      <c r="P16" s="56"/>
      <c r="Q16" s="62"/>
      <c r="R16" s="56"/>
      <c r="S16" s="56"/>
      <c r="Y16" s="44"/>
      <c r="Z16" s="44"/>
      <c r="AD16" s="56"/>
      <c r="AH16" s="56"/>
      <c r="AI16" s="56"/>
    </row>
    <row r="17" spans="1:35" s="39" customFormat="1">
      <c r="A17" s="44"/>
      <c r="G17" s="44"/>
      <c r="H17" s="44"/>
      <c r="P17" s="56"/>
      <c r="Q17" s="62"/>
      <c r="R17" s="56"/>
      <c r="S17" s="56"/>
      <c r="Y17" s="44"/>
      <c r="Z17" s="44"/>
      <c r="AD17" s="56"/>
      <c r="AH17" s="56"/>
      <c r="AI17" s="56"/>
    </row>
    <row r="18" spans="1:35" s="39" customFormat="1">
      <c r="A18" s="44"/>
      <c r="G18" s="44"/>
      <c r="H18" s="44"/>
      <c r="P18" s="56"/>
      <c r="Q18" s="62"/>
      <c r="R18" s="56"/>
      <c r="S18" s="56"/>
      <c r="Y18" s="44"/>
      <c r="Z18" s="44"/>
      <c r="AD18" s="56"/>
      <c r="AH18" s="56"/>
      <c r="AI18" s="56"/>
    </row>
    <row r="19" spans="1:35" s="39" customFormat="1">
      <c r="A19" s="44"/>
      <c r="G19" s="44"/>
      <c r="H19" s="44"/>
      <c r="P19" s="56"/>
      <c r="Q19" s="62"/>
      <c r="R19" s="56"/>
      <c r="S19" s="56"/>
      <c r="Y19" s="44"/>
      <c r="Z19" s="44"/>
      <c r="AD19" s="56"/>
      <c r="AH19" s="56"/>
      <c r="AI19" s="56"/>
    </row>
    <row r="38" ht="16.5" customHeight="1"/>
  </sheetData>
  <mergeCells count="2">
    <mergeCell ref="A6:A8"/>
    <mergeCell ref="A10:A15"/>
  </mergeCells>
  <phoneticPr fontId="71" type="noConversion"/>
  <conditionalFormatting sqref="B1">
    <cfRule type="duplicateValues" dxfId="1032" priority="2"/>
  </conditionalFormatting>
  <conditionalFormatting sqref="B1:D2">
    <cfRule type="duplicateValues" dxfId="1031"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1857" r:id="rId3" name="Button 1">
              <controlPr defaultSize="0" print="0" autoPict="0" macro="[0]!礼包_数据检查">
                <anchor>
                  <from>
                    <xdr:col>1</xdr:col>
                    <xdr:colOff>171450</xdr:colOff>
                    <xdr:row>0</xdr:row>
                    <xdr:rowOff>180975</xdr:rowOff>
                  </from>
                  <to>
                    <xdr:col>2</xdr:col>
                    <xdr:colOff>438150</xdr:colOff>
                    <xdr:row>0</xdr:row>
                    <xdr:rowOff>504825</xdr:rowOff>
                  </to>
                </anchor>
              </controlPr>
            </control>
          </mc:Choice>
        </mc:AlternateContent>
        <mc:AlternateContent xmlns:mc="http://schemas.openxmlformats.org/markup-compatibility/2006">
          <mc:Choice Requires="x14">
            <control shapeId="121858" r:id="rId4" name="Button 2">
              <controlPr defaultSize="0" print="0" autoPict="0" macro="[0]!礼包_数据更新">
                <anchor>
                  <from>
                    <xdr:col>5</xdr:col>
                    <xdr:colOff>447675</xdr:colOff>
                    <xdr:row>0</xdr:row>
                    <xdr:rowOff>200025</xdr:rowOff>
                  </from>
                  <to>
                    <xdr:col>5</xdr:col>
                    <xdr:colOff>1343025</xdr:colOff>
                    <xdr:row>0</xdr:row>
                    <xdr:rowOff>542925</xdr:rowOff>
                  </to>
                </anchor>
              </controlPr>
            </control>
          </mc:Choice>
        </mc:AlternateContent>
        <mc:AlternateContent xmlns:mc="http://schemas.openxmlformats.org/markup-compatibility/2006">
          <mc:Choice Requires="x14">
            <control shapeId="121859" r:id="rId5" name="Button 3">
              <controlPr defaultSize="0" print="0" autoPict="0" macro="[0]!礼包_生成商品码">
                <anchor moveWithCells="1" sizeWithCells="1">
                  <from>
                    <xdr:col>4</xdr:col>
                    <xdr:colOff>447675</xdr:colOff>
                    <xdr:row>0</xdr:row>
                    <xdr:rowOff>266700</xdr:rowOff>
                  </from>
                  <to>
                    <xdr:col>4</xdr:col>
                    <xdr:colOff>1304925</xdr:colOff>
                    <xdr:row>0</xdr:row>
                    <xdr:rowOff>552450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dimension ref="A1:AM38"/>
  <sheetViews>
    <sheetView workbookViewId="0">
      <pane xSplit="3" ySplit="2" topLeftCell="V3" activePane="bottomRight" state="frozen"/>
      <selection pane="topRight"/>
      <selection pane="bottomLeft"/>
      <selection pane="bottomRight" activeCell="AM2" sqref="AM2"/>
    </sheetView>
  </sheetViews>
  <sheetFormatPr defaultColWidth="9" defaultRowHeight="16.5"/>
  <cols>
    <col min="1" max="1" width="13.125" customWidth="1"/>
    <col min="2" max="4" width="9" customWidth="1"/>
    <col min="5" max="6" width="24.25" customWidth="1"/>
    <col min="7" max="8" width="7.5" customWidth="1"/>
    <col min="9" max="11" width="7.125" customWidth="1"/>
    <col min="12" max="12" width="7.875" customWidth="1"/>
    <col min="13" max="13" width="10.25" customWidth="1"/>
    <col min="14" max="15" width="13.125" customWidth="1"/>
    <col min="16" max="16" width="17.125" customWidth="1"/>
    <col min="17" max="17" width="16.5" customWidth="1"/>
    <col min="18" max="19" width="15.25" customWidth="1"/>
    <col min="20" max="20" width="33.25" customWidth="1"/>
    <col min="21" max="21" width="44.625" customWidth="1"/>
    <col min="22" max="22" width="24.375" customWidth="1"/>
    <col min="23" max="23" width="8.75" customWidth="1"/>
    <col min="24" max="24" width="11.375" customWidth="1"/>
    <col min="25" max="25" width="12.875" customWidth="1"/>
    <col min="26" max="26" width="19.25" customWidth="1"/>
    <col min="27" max="27" width="9.5" customWidth="1"/>
    <col min="28" max="28" width="9" customWidth="1"/>
    <col min="29" max="29" width="6.875" customWidth="1"/>
    <col min="30" max="30" width="5.75" customWidth="1"/>
    <col min="31" max="31" width="5" customWidth="1"/>
    <col min="32" max="32" width="4.75" customWidth="1"/>
    <col min="33" max="33" width="12.625" customWidth="1"/>
    <col min="34" max="35" width="8.125" customWidth="1"/>
    <col min="36" max="36" width="5" customWidth="1"/>
    <col min="37" max="38" width="7.125" customWidth="1"/>
  </cols>
  <sheetData>
    <row r="1" spans="1:39" s="36" customFormat="1" ht="115.5">
      <c r="A1" s="36" t="s">
        <v>263</v>
      </c>
      <c r="F1" s="36" t="s">
        <v>264</v>
      </c>
      <c r="G1" s="36" t="s">
        <v>229</v>
      </c>
      <c r="J1" s="36" t="s">
        <v>265</v>
      </c>
      <c r="K1" s="36" t="s">
        <v>265</v>
      </c>
      <c r="L1" s="36" t="s">
        <v>264</v>
      </c>
      <c r="M1" s="36" t="s">
        <v>264</v>
      </c>
      <c r="P1" s="46"/>
      <c r="Q1" s="46"/>
      <c r="R1" s="36" t="s">
        <v>266</v>
      </c>
      <c r="S1" s="36" t="s">
        <v>266</v>
      </c>
      <c r="U1" s="36" t="s">
        <v>267</v>
      </c>
      <c r="V1" s="36" t="s">
        <v>268</v>
      </c>
      <c r="W1" s="36" t="s">
        <v>269</v>
      </c>
      <c r="Y1" s="36" t="s">
        <v>270</v>
      </c>
      <c r="Z1" s="36" t="s">
        <v>271</v>
      </c>
      <c r="AA1" s="63" t="s">
        <v>272</v>
      </c>
      <c r="AB1" s="36" t="s">
        <v>273</v>
      </c>
      <c r="AC1" s="36" t="s">
        <v>274</v>
      </c>
      <c r="AE1" s="36" t="s">
        <v>275</v>
      </c>
      <c r="AH1" s="46"/>
      <c r="AI1" s="46"/>
      <c r="AK1" s="63"/>
      <c r="AL1" s="63"/>
    </row>
    <row r="2" spans="1:39" s="37" customFormat="1" ht="21" customHeight="1">
      <c r="B2" s="40" t="s">
        <v>224</v>
      </c>
      <c r="C2" s="40" t="s">
        <v>225</v>
      </c>
      <c r="D2" s="40" t="s">
        <v>276</v>
      </c>
      <c r="E2" s="40" t="s">
        <v>227</v>
      </c>
      <c r="F2" s="40" t="s">
        <v>228</v>
      </c>
      <c r="G2" s="41" t="s">
        <v>229</v>
      </c>
      <c r="H2" s="41"/>
      <c r="I2" s="40"/>
      <c r="J2" s="40" t="s">
        <v>277</v>
      </c>
      <c r="K2" s="47" t="s">
        <v>278</v>
      </c>
      <c r="L2" s="40" t="s">
        <v>279</v>
      </c>
      <c r="M2" s="47" t="s">
        <v>280</v>
      </c>
      <c r="N2" s="40" t="s">
        <v>281</v>
      </c>
      <c r="O2" s="40" t="s">
        <v>282</v>
      </c>
      <c r="P2" s="48" t="s">
        <v>243</v>
      </c>
      <c r="Q2" s="48" t="s">
        <v>244</v>
      </c>
      <c r="R2" s="40" t="s">
        <v>245</v>
      </c>
      <c r="S2" s="40" t="s">
        <v>246</v>
      </c>
      <c r="T2" s="40" t="s">
        <v>283</v>
      </c>
      <c r="U2" s="40" t="s">
        <v>249</v>
      </c>
      <c r="V2" s="40" t="s">
        <v>250</v>
      </c>
      <c r="W2" s="40" t="s">
        <v>239</v>
      </c>
      <c r="X2" s="40" t="s">
        <v>247</v>
      </c>
      <c r="Y2" s="40" t="s">
        <v>183</v>
      </c>
      <c r="Z2" s="40" t="s">
        <v>240</v>
      </c>
      <c r="AA2" s="64" t="s">
        <v>284</v>
      </c>
      <c r="AB2" s="40" t="s">
        <v>242</v>
      </c>
      <c r="AC2" s="40" t="s">
        <v>189</v>
      </c>
      <c r="AD2" s="40" t="s">
        <v>248</v>
      </c>
      <c r="AE2" s="40" t="s">
        <v>251</v>
      </c>
      <c r="AF2" s="40" t="s">
        <v>285</v>
      </c>
      <c r="AG2" s="40" t="s">
        <v>253</v>
      </c>
      <c r="AH2" s="48" t="s">
        <v>254</v>
      </c>
      <c r="AI2" s="48" t="s">
        <v>255</v>
      </c>
      <c r="AJ2" s="40" t="s">
        <v>286</v>
      </c>
      <c r="AK2" s="64" t="s">
        <v>257</v>
      </c>
      <c r="AL2" s="64" t="s">
        <v>287</v>
      </c>
      <c r="AM2" s="37" t="s">
        <v>259</v>
      </c>
    </row>
    <row r="3" spans="1:39" s="38" customFormat="1" ht="49.5">
      <c r="A3" s="42" t="s">
        <v>288</v>
      </c>
      <c r="B3" s="42" t="s">
        <v>289</v>
      </c>
      <c r="C3" s="42" t="s">
        <v>290</v>
      </c>
      <c r="D3" s="42" t="s">
        <v>291</v>
      </c>
      <c r="E3" s="43" t="s">
        <v>292</v>
      </c>
      <c r="F3" s="43" t="s">
        <v>293</v>
      </c>
      <c r="G3" s="43" t="s">
        <v>294</v>
      </c>
      <c r="H3" s="43" t="s">
        <v>295</v>
      </c>
      <c r="I3" s="43" t="s">
        <v>296</v>
      </c>
      <c r="J3" s="43" t="s">
        <v>297</v>
      </c>
      <c r="K3" s="43" t="s">
        <v>298</v>
      </c>
      <c r="L3" s="43" t="s">
        <v>299</v>
      </c>
      <c r="M3" s="43" t="s">
        <v>300</v>
      </c>
      <c r="N3" s="43" t="s">
        <v>301</v>
      </c>
      <c r="O3" s="43" t="s">
        <v>302</v>
      </c>
      <c r="P3" s="43" t="s">
        <v>243</v>
      </c>
      <c r="Q3" s="43" t="s">
        <v>244</v>
      </c>
      <c r="R3" s="43" t="s">
        <v>245</v>
      </c>
      <c r="S3" s="43" t="s">
        <v>246</v>
      </c>
      <c r="T3" s="43" t="s">
        <v>303</v>
      </c>
      <c r="U3" s="43" t="s">
        <v>304</v>
      </c>
      <c r="V3" s="43" t="s">
        <v>305</v>
      </c>
      <c r="W3" s="43" t="s">
        <v>306</v>
      </c>
      <c r="X3" s="43" t="s">
        <v>307</v>
      </c>
      <c r="Y3" s="43" t="s">
        <v>234</v>
      </c>
      <c r="Z3" s="43" t="s">
        <v>240</v>
      </c>
      <c r="AA3" s="43" t="s">
        <v>241</v>
      </c>
      <c r="AB3" s="43" t="s">
        <v>242</v>
      </c>
      <c r="AC3" s="43" t="s">
        <v>189</v>
      </c>
      <c r="AD3" s="43" t="s">
        <v>248</v>
      </c>
      <c r="AE3" s="43" t="s">
        <v>251</v>
      </c>
      <c r="AF3" s="43" t="s">
        <v>252</v>
      </c>
      <c r="AG3" s="43" t="s">
        <v>253</v>
      </c>
      <c r="AH3" s="43" t="s">
        <v>254</v>
      </c>
      <c r="AI3" s="43" t="s">
        <v>255</v>
      </c>
      <c r="AJ3" s="43" t="s">
        <v>256</v>
      </c>
      <c r="AK3" s="43" t="s">
        <v>257</v>
      </c>
      <c r="AL3" s="43" t="s">
        <v>258</v>
      </c>
      <c r="AM3" s="43" t="s">
        <v>259</v>
      </c>
    </row>
    <row r="4" spans="1:39" ht="33">
      <c r="A4" s="44" t="s">
        <v>308</v>
      </c>
      <c r="B4" s="44">
        <v>130033</v>
      </c>
      <c r="C4" s="44"/>
      <c r="D4" s="44"/>
      <c r="E4" s="36" t="s">
        <v>309</v>
      </c>
      <c r="F4" s="44"/>
      <c r="G4" s="44">
        <v>60</v>
      </c>
      <c r="H4" s="44">
        <v>60</v>
      </c>
      <c r="I4" s="44">
        <v>6</v>
      </c>
      <c r="J4" s="44">
        <v>1100</v>
      </c>
      <c r="K4" s="44">
        <v>1200</v>
      </c>
      <c r="L4" s="44"/>
      <c r="M4" s="44"/>
      <c r="N4" s="45" t="s">
        <v>310</v>
      </c>
      <c r="O4" s="49" t="s">
        <v>311</v>
      </c>
      <c r="P4" s="50">
        <v>44133.375</v>
      </c>
      <c r="Q4" s="50">
        <v>44143.999305555597</v>
      </c>
      <c r="R4" s="57"/>
      <c r="S4" s="57"/>
      <c r="T4" s="44"/>
      <c r="U4" s="58" t="s">
        <v>312</v>
      </c>
      <c r="W4" s="44" t="s">
        <v>313</v>
      </c>
      <c r="X4" s="45">
        <v>1023</v>
      </c>
      <c r="Y4" s="44">
        <v>3</v>
      </c>
      <c r="Z4" s="44"/>
      <c r="AA4" s="45"/>
      <c r="AB4" s="45"/>
      <c r="AC4" s="45"/>
      <c r="AD4" s="45"/>
      <c r="AE4" s="45"/>
      <c r="AF4" s="45"/>
      <c r="AG4" s="45"/>
      <c r="AH4" s="45"/>
      <c r="AI4" s="45"/>
      <c r="AJ4" s="45"/>
      <c r="AK4" s="39"/>
      <c r="AL4" s="39"/>
    </row>
    <row r="5" spans="1:39">
      <c r="A5" s="44" t="s">
        <v>218</v>
      </c>
      <c r="B5" s="44">
        <v>115001</v>
      </c>
      <c r="C5" s="44"/>
      <c r="D5" s="44"/>
      <c r="E5" s="36"/>
      <c r="F5" s="44"/>
      <c r="G5" s="44">
        <v>300</v>
      </c>
      <c r="H5" s="44">
        <v>300</v>
      </c>
      <c r="I5" s="44">
        <v>30</v>
      </c>
      <c r="J5" s="44">
        <v>5500</v>
      </c>
      <c r="K5" s="44">
        <v>5900</v>
      </c>
      <c r="L5" s="44"/>
      <c r="M5" s="44"/>
      <c r="N5" s="45" t="s">
        <v>314</v>
      </c>
      <c r="O5" s="49" t="s">
        <v>315</v>
      </c>
      <c r="P5" s="50">
        <v>44133.375</v>
      </c>
      <c r="Q5" s="50">
        <v>44143.999305555597</v>
      </c>
      <c r="R5" s="57"/>
      <c r="S5" s="57"/>
      <c r="T5" s="44"/>
      <c r="U5" s="44" t="s">
        <v>316</v>
      </c>
      <c r="V5" s="59" t="s">
        <v>317</v>
      </c>
      <c r="W5" s="44" t="s">
        <v>318</v>
      </c>
      <c r="X5" s="44"/>
      <c r="Y5" s="45"/>
      <c r="Z5" s="45"/>
      <c r="AA5" s="45"/>
      <c r="AB5" s="45"/>
      <c r="AC5" s="45"/>
      <c r="AD5" s="45"/>
      <c r="AE5" s="45">
        <v>7</v>
      </c>
      <c r="AF5" s="45"/>
      <c r="AG5" s="45"/>
      <c r="AH5" s="45"/>
      <c r="AI5" s="45"/>
      <c r="AJ5" s="45"/>
      <c r="AK5" s="39"/>
      <c r="AL5" s="39"/>
    </row>
    <row r="6" spans="1:39" ht="33">
      <c r="A6" s="281" t="s">
        <v>195</v>
      </c>
      <c r="B6" s="44">
        <v>111187</v>
      </c>
      <c r="C6" s="44"/>
      <c r="D6" s="44"/>
      <c r="E6" s="36" t="s">
        <v>319</v>
      </c>
      <c r="F6" s="44"/>
      <c r="G6" s="44">
        <v>660</v>
      </c>
      <c r="H6" s="44">
        <v>660</v>
      </c>
      <c r="I6" s="44">
        <v>66</v>
      </c>
      <c r="J6" s="44">
        <v>12100</v>
      </c>
      <c r="K6" s="44">
        <v>12000</v>
      </c>
      <c r="L6" s="44"/>
      <c r="M6" s="44"/>
      <c r="N6" s="45" t="s">
        <v>320</v>
      </c>
      <c r="O6" s="51" t="s">
        <v>321</v>
      </c>
      <c r="P6" s="50">
        <v>44133.375</v>
      </c>
      <c r="Q6" s="50">
        <v>44143.999305555597</v>
      </c>
      <c r="R6" s="45"/>
      <c r="S6" s="45"/>
      <c r="T6" s="51" t="s">
        <v>322</v>
      </c>
      <c r="U6" s="58" t="s">
        <v>323</v>
      </c>
      <c r="W6" s="44" t="s">
        <v>324</v>
      </c>
      <c r="X6" s="44">
        <v>1138</v>
      </c>
      <c r="Y6" s="45">
        <v>1</v>
      </c>
      <c r="Z6" s="45">
        <v>1</v>
      </c>
      <c r="AA6" s="45">
        <v>1</v>
      </c>
      <c r="AB6" s="45">
        <v>1</v>
      </c>
      <c r="AC6" s="45"/>
      <c r="AD6" s="45"/>
      <c r="AE6" s="45"/>
      <c r="AF6" s="45"/>
      <c r="AG6" s="45"/>
      <c r="AH6" s="45"/>
      <c r="AI6" s="45"/>
      <c r="AJ6" s="45"/>
      <c r="AK6" s="39"/>
      <c r="AL6" s="39"/>
    </row>
    <row r="7" spans="1:39" ht="33">
      <c r="A7" s="281"/>
      <c r="B7" s="44">
        <v>111188</v>
      </c>
      <c r="C7" s="44"/>
      <c r="D7" s="44"/>
      <c r="E7" s="36" t="s">
        <v>325</v>
      </c>
      <c r="F7" s="44"/>
      <c r="G7" s="44">
        <v>1800</v>
      </c>
      <c r="H7" s="44">
        <v>1800</v>
      </c>
      <c r="I7" s="44">
        <v>180</v>
      </c>
      <c r="J7" s="44">
        <v>33000</v>
      </c>
      <c r="K7" s="44">
        <v>33000</v>
      </c>
      <c r="L7" s="44"/>
      <c r="M7" s="44"/>
      <c r="N7" s="45" t="s">
        <v>326</v>
      </c>
      <c r="O7" s="51" t="s">
        <v>327</v>
      </c>
      <c r="P7" s="50">
        <v>44133.375</v>
      </c>
      <c r="Q7" s="50">
        <v>44143.999305555597</v>
      </c>
      <c r="R7" s="45"/>
      <c r="S7" s="45"/>
      <c r="T7" s="51" t="s">
        <v>328</v>
      </c>
      <c r="U7" s="58" t="s">
        <v>329</v>
      </c>
      <c r="W7" s="44" t="s">
        <v>313</v>
      </c>
      <c r="X7" s="44">
        <v>1139</v>
      </c>
      <c r="Y7" s="45">
        <v>1</v>
      </c>
      <c r="Z7" s="45">
        <v>1</v>
      </c>
      <c r="AA7" s="45">
        <v>1</v>
      </c>
      <c r="AB7" s="45">
        <v>2</v>
      </c>
      <c r="AC7" s="45"/>
      <c r="AD7" s="45"/>
      <c r="AE7" s="45"/>
      <c r="AF7" s="45"/>
      <c r="AG7" s="45"/>
      <c r="AH7" s="45"/>
      <c r="AI7" s="45"/>
      <c r="AJ7" s="45"/>
      <c r="AK7" s="39"/>
      <c r="AL7" s="39"/>
    </row>
    <row r="8" spans="1:39" ht="33">
      <c r="A8" s="281"/>
      <c r="B8" s="44">
        <v>111189</v>
      </c>
      <c r="C8" s="44"/>
      <c r="D8" s="44"/>
      <c r="E8" s="36" t="s">
        <v>330</v>
      </c>
      <c r="F8" s="44"/>
      <c r="G8" s="44">
        <v>660</v>
      </c>
      <c r="H8" s="44">
        <v>660</v>
      </c>
      <c r="I8" s="44">
        <v>66</v>
      </c>
      <c r="J8" s="44">
        <v>12100</v>
      </c>
      <c r="K8" s="44">
        <v>12000</v>
      </c>
      <c r="L8" s="44"/>
      <c r="M8" s="44"/>
      <c r="N8" s="45" t="s">
        <v>331</v>
      </c>
      <c r="O8" s="52" t="s">
        <v>332</v>
      </c>
      <c r="P8" s="50">
        <v>44133.375</v>
      </c>
      <c r="Q8" s="50">
        <v>44143.999305555597</v>
      </c>
      <c r="R8" s="45"/>
      <c r="S8" s="45"/>
      <c r="T8" s="60" t="s">
        <v>333</v>
      </c>
      <c r="U8" s="61" t="s">
        <v>334</v>
      </c>
      <c r="W8" s="44" t="s">
        <v>335</v>
      </c>
      <c r="X8" s="44">
        <v>1058</v>
      </c>
      <c r="Y8" s="45">
        <v>1</v>
      </c>
      <c r="Z8" s="45">
        <v>1</v>
      </c>
      <c r="AA8" s="45">
        <v>1</v>
      </c>
      <c r="AB8" s="45">
        <v>3</v>
      </c>
      <c r="AC8" s="45"/>
      <c r="AD8" s="45"/>
      <c r="AE8" s="45"/>
      <c r="AF8" s="45"/>
      <c r="AG8" s="45"/>
      <c r="AH8" s="45"/>
      <c r="AI8" s="45"/>
      <c r="AJ8" s="45"/>
      <c r="AK8" s="39"/>
      <c r="AL8" s="39"/>
    </row>
    <row r="9" spans="1:39" ht="25.5">
      <c r="A9" s="44" t="s">
        <v>195</v>
      </c>
      <c r="B9" s="44">
        <v>111186</v>
      </c>
      <c r="C9" s="44"/>
      <c r="D9" s="44"/>
      <c r="E9" s="45"/>
      <c r="F9" s="36"/>
      <c r="G9" s="45">
        <v>180</v>
      </c>
      <c r="H9" s="45">
        <v>180</v>
      </c>
      <c r="I9" s="45">
        <v>18</v>
      </c>
      <c r="J9" s="45">
        <v>17600</v>
      </c>
      <c r="K9" s="45">
        <v>19000</v>
      </c>
      <c r="L9" s="45">
        <v>3300</v>
      </c>
      <c r="M9" s="45">
        <v>3900</v>
      </c>
      <c r="N9" s="45" t="s">
        <v>336</v>
      </c>
      <c r="O9" s="53" t="s">
        <v>337</v>
      </c>
      <c r="P9" s="50">
        <v>44133.375</v>
      </c>
      <c r="Q9" s="50">
        <v>44143.999305555597</v>
      </c>
      <c r="R9" s="50">
        <v>44133.375</v>
      </c>
      <c r="S9" s="50">
        <v>44143.999305555597</v>
      </c>
      <c r="T9" s="53" t="s">
        <v>338</v>
      </c>
      <c r="U9" s="45" t="s">
        <v>339</v>
      </c>
      <c r="W9" s="45" t="s">
        <v>340</v>
      </c>
      <c r="X9" s="45"/>
      <c r="Y9" s="45">
        <v>1</v>
      </c>
      <c r="Z9" s="45">
        <v>1</v>
      </c>
      <c r="AA9" s="45">
        <v>1</v>
      </c>
      <c r="AB9" s="45">
        <v>4</v>
      </c>
      <c r="AC9" s="45"/>
      <c r="AD9" s="45"/>
      <c r="AE9" s="45"/>
      <c r="AF9" s="45"/>
      <c r="AG9" s="45"/>
      <c r="AH9" s="45"/>
      <c r="AI9" s="45"/>
      <c r="AJ9" s="45"/>
      <c r="AK9" s="39"/>
      <c r="AL9" s="39"/>
    </row>
    <row r="10" spans="1:39" ht="66">
      <c r="A10" s="281" t="s">
        <v>341</v>
      </c>
      <c r="B10" s="44">
        <v>111002</v>
      </c>
      <c r="C10" s="44"/>
      <c r="F10" s="39"/>
      <c r="G10" s="45">
        <v>240</v>
      </c>
      <c r="H10" s="45">
        <v>240</v>
      </c>
      <c r="I10" s="45">
        <v>24</v>
      </c>
      <c r="J10" s="45">
        <v>5500</v>
      </c>
      <c r="K10" s="45">
        <v>5900</v>
      </c>
      <c r="L10" s="45">
        <v>4400</v>
      </c>
      <c r="M10" s="45">
        <v>4900</v>
      </c>
      <c r="N10" s="45" t="s">
        <v>342</v>
      </c>
      <c r="O10" s="53" t="s">
        <v>343</v>
      </c>
      <c r="P10" s="54"/>
      <c r="Q10" s="54"/>
      <c r="R10" s="54" t="s">
        <v>344</v>
      </c>
      <c r="S10" s="54" t="s">
        <v>345</v>
      </c>
      <c r="T10" s="45"/>
      <c r="U10" s="60" t="s">
        <v>346</v>
      </c>
      <c r="W10" s="45" t="s">
        <v>347</v>
      </c>
      <c r="X10" s="45"/>
      <c r="Y10" s="45">
        <v>1</v>
      </c>
      <c r="Z10" s="44"/>
      <c r="AA10" s="45"/>
      <c r="AB10" s="45"/>
      <c r="AC10" s="45"/>
      <c r="AD10" s="45"/>
      <c r="AE10" s="45"/>
      <c r="AF10" s="45"/>
      <c r="AG10" s="45"/>
      <c r="AH10" s="45"/>
      <c r="AI10" s="45"/>
      <c r="AJ10" s="45"/>
      <c r="AK10" s="39"/>
      <c r="AL10" s="39"/>
    </row>
    <row r="11" spans="1:39" ht="66">
      <c r="A11" s="281"/>
      <c r="B11" s="44">
        <v>111003</v>
      </c>
      <c r="C11" s="44"/>
      <c r="D11" s="44"/>
      <c r="E11" s="36"/>
      <c r="F11" s="39"/>
      <c r="G11" s="45">
        <v>660</v>
      </c>
      <c r="H11" s="45">
        <v>660</v>
      </c>
      <c r="I11" s="45">
        <v>66</v>
      </c>
      <c r="J11" s="45">
        <v>16500</v>
      </c>
      <c r="K11" s="45">
        <v>17000</v>
      </c>
      <c r="L11" s="45">
        <v>12100</v>
      </c>
      <c r="M11" s="45">
        <v>12000</v>
      </c>
      <c r="N11" s="45" t="s">
        <v>348</v>
      </c>
      <c r="O11" s="53" t="s">
        <v>349</v>
      </c>
      <c r="P11" s="54"/>
      <c r="Q11" s="54"/>
      <c r="R11" s="54" t="s">
        <v>344</v>
      </c>
      <c r="S11" s="54" t="s">
        <v>345</v>
      </c>
      <c r="T11" s="45"/>
      <c r="U11" s="45" t="s">
        <v>350</v>
      </c>
      <c r="W11" s="45" t="s">
        <v>347</v>
      </c>
      <c r="X11" s="45"/>
      <c r="Y11" s="45">
        <v>1</v>
      </c>
      <c r="Z11" s="44"/>
      <c r="AA11" s="45"/>
      <c r="AB11" s="45"/>
      <c r="AC11" s="45"/>
      <c r="AD11" s="45"/>
      <c r="AE11" s="45"/>
      <c r="AF11" s="45"/>
      <c r="AG11" s="45"/>
      <c r="AH11" s="45"/>
      <c r="AI11" s="45"/>
      <c r="AJ11" s="45"/>
      <c r="AK11" s="39"/>
      <c r="AL11" s="39"/>
    </row>
    <row r="12" spans="1:39" ht="66">
      <c r="A12" s="281"/>
      <c r="B12" s="44">
        <v>111005</v>
      </c>
      <c r="C12" s="1"/>
      <c r="D12" s="44"/>
      <c r="E12" s="36"/>
      <c r="F12" s="1"/>
      <c r="G12" s="45">
        <v>240</v>
      </c>
      <c r="H12" s="45">
        <v>240</v>
      </c>
      <c r="I12" s="45">
        <v>24</v>
      </c>
      <c r="J12" s="45">
        <v>5500</v>
      </c>
      <c r="K12" s="45">
        <v>5900</v>
      </c>
      <c r="L12" s="45">
        <v>4400</v>
      </c>
      <c r="M12" s="45">
        <v>4900</v>
      </c>
      <c r="N12" s="45" t="s">
        <v>351</v>
      </c>
      <c r="O12" s="53" t="s">
        <v>352</v>
      </c>
      <c r="P12" s="54"/>
      <c r="Q12" s="54"/>
      <c r="R12" s="54" t="s">
        <v>353</v>
      </c>
      <c r="S12" s="54" t="s">
        <v>354</v>
      </c>
      <c r="T12" s="45"/>
      <c r="U12" s="45" t="s">
        <v>355</v>
      </c>
      <c r="W12" s="45" t="s">
        <v>347</v>
      </c>
      <c r="X12" s="45"/>
      <c r="Y12" s="45">
        <v>1</v>
      </c>
      <c r="Z12" s="44"/>
      <c r="AA12" s="45"/>
      <c r="AB12" s="45"/>
      <c r="AC12" s="45"/>
      <c r="AD12" s="45"/>
      <c r="AE12" s="45"/>
      <c r="AF12" s="45"/>
      <c r="AG12" s="45"/>
      <c r="AH12" s="45"/>
      <c r="AI12" s="45"/>
      <c r="AJ12" s="45"/>
      <c r="AK12" s="39"/>
      <c r="AL12" s="39"/>
    </row>
    <row r="13" spans="1:39" ht="66">
      <c r="A13" s="281"/>
      <c r="B13" s="44">
        <v>111006</v>
      </c>
      <c r="C13" s="1"/>
      <c r="D13" s="44"/>
      <c r="E13" s="36"/>
      <c r="F13" s="1"/>
      <c r="G13" s="45">
        <v>660</v>
      </c>
      <c r="H13" s="45">
        <v>660</v>
      </c>
      <c r="I13" s="45">
        <v>66</v>
      </c>
      <c r="J13" s="45">
        <v>16500</v>
      </c>
      <c r="K13" s="45">
        <v>17000</v>
      </c>
      <c r="L13" s="45">
        <v>12100</v>
      </c>
      <c r="M13" s="45">
        <v>12000</v>
      </c>
      <c r="N13" s="45" t="s">
        <v>356</v>
      </c>
      <c r="O13" s="53" t="s">
        <v>357</v>
      </c>
      <c r="P13" s="54"/>
      <c r="Q13" s="54"/>
      <c r="R13" s="54" t="s">
        <v>353</v>
      </c>
      <c r="S13" s="54" t="s">
        <v>354</v>
      </c>
      <c r="T13" s="45"/>
      <c r="U13" s="45" t="s">
        <v>358</v>
      </c>
      <c r="W13" s="45" t="s">
        <v>347</v>
      </c>
      <c r="X13" s="45"/>
      <c r="Y13" s="45">
        <v>1</v>
      </c>
      <c r="Z13" s="44"/>
      <c r="AA13" s="45"/>
      <c r="AB13" s="45"/>
      <c r="AC13" s="45"/>
      <c r="AD13" s="45"/>
      <c r="AE13" s="45"/>
      <c r="AF13" s="45"/>
      <c r="AG13" s="45"/>
      <c r="AH13" s="45"/>
      <c r="AI13" s="45"/>
      <c r="AJ13" s="45"/>
      <c r="AK13" s="39"/>
      <c r="AL13" s="39"/>
    </row>
    <row r="14" spans="1:39" ht="66">
      <c r="A14" s="281"/>
      <c r="B14" s="44">
        <v>111058</v>
      </c>
      <c r="C14" s="1"/>
      <c r="D14" s="44"/>
      <c r="E14" s="36"/>
      <c r="F14" s="1"/>
      <c r="G14" s="45">
        <v>240</v>
      </c>
      <c r="H14" s="45">
        <v>240</v>
      </c>
      <c r="I14" s="45">
        <v>24</v>
      </c>
      <c r="J14" s="45">
        <v>5500</v>
      </c>
      <c r="K14" s="45">
        <v>5900</v>
      </c>
      <c r="L14" s="45">
        <v>4400</v>
      </c>
      <c r="M14" s="45">
        <v>4900</v>
      </c>
      <c r="N14" s="45" t="s">
        <v>359</v>
      </c>
      <c r="O14" s="55" t="s">
        <v>360</v>
      </c>
      <c r="P14" s="54"/>
      <c r="Q14" s="54"/>
      <c r="R14" s="54" t="s">
        <v>353</v>
      </c>
      <c r="S14" s="54" t="s">
        <v>354</v>
      </c>
      <c r="T14" s="45"/>
      <c r="U14" s="45" t="s">
        <v>361</v>
      </c>
      <c r="W14" s="45" t="s">
        <v>347</v>
      </c>
      <c r="X14" s="45"/>
      <c r="Y14" s="45">
        <v>1</v>
      </c>
      <c r="Z14" s="44"/>
      <c r="AA14" s="45"/>
      <c r="AB14" s="45"/>
      <c r="AC14" s="45"/>
      <c r="AD14" s="45"/>
      <c r="AE14" s="45"/>
      <c r="AF14" s="45"/>
      <c r="AG14" s="45"/>
      <c r="AH14" s="45"/>
      <c r="AI14" s="45"/>
      <c r="AJ14" s="45"/>
      <c r="AK14" s="39"/>
      <c r="AL14" s="39"/>
    </row>
    <row r="15" spans="1:39" ht="66">
      <c r="A15" s="281"/>
      <c r="B15" s="44">
        <v>111004</v>
      </c>
      <c r="C15" s="1"/>
      <c r="D15" s="44"/>
      <c r="E15" s="36"/>
      <c r="F15" s="1"/>
      <c r="G15" s="45">
        <v>660</v>
      </c>
      <c r="H15" s="45">
        <v>660</v>
      </c>
      <c r="I15" s="45">
        <v>66</v>
      </c>
      <c r="J15" s="45">
        <v>16500</v>
      </c>
      <c r="K15" s="45">
        <v>17000</v>
      </c>
      <c r="L15" s="45">
        <v>12100</v>
      </c>
      <c r="M15" s="45">
        <v>12000</v>
      </c>
      <c r="N15" s="45" t="s">
        <v>362</v>
      </c>
      <c r="O15" s="55" t="s">
        <v>363</v>
      </c>
      <c r="P15" s="54"/>
      <c r="Q15" s="54"/>
      <c r="R15" s="54" t="s">
        <v>353</v>
      </c>
      <c r="S15" s="54" t="s">
        <v>354</v>
      </c>
      <c r="T15" s="45"/>
      <c r="U15" s="45" t="s">
        <v>364</v>
      </c>
      <c r="W15" s="45" t="s">
        <v>347</v>
      </c>
      <c r="X15" s="45"/>
      <c r="Y15" s="45">
        <v>1</v>
      </c>
      <c r="Z15" s="44"/>
      <c r="AA15" s="45"/>
      <c r="AB15" s="45"/>
      <c r="AC15" s="45"/>
      <c r="AD15" s="45"/>
      <c r="AE15" s="45"/>
      <c r="AF15" s="45"/>
      <c r="AG15" s="45"/>
      <c r="AH15" s="45"/>
      <c r="AI15" s="45"/>
      <c r="AJ15" s="45"/>
      <c r="AK15" s="39"/>
      <c r="AL15" s="39"/>
    </row>
    <row r="16" spans="1:39" s="39" customFormat="1">
      <c r="A16" s="44"/>
      <c r="G16" s="44"/>
      <c r="H16" s="44"/>
      <c r="P16" s="56"/>
      <c r="Q16" s="62"/>
      <c r="R16" s="56"/>
      <c r="S16" s="56"/>
      <c r="Y16" s="44"/>
      <c r="Z16" s="44"/>
      <c r="AD16" s="56"/>
      <c r="AH16" s="56"/>
      <c r="AI16" s="56"/>
    </row>
    <row r="17" spans="1:35" s="39" customFormat="1">
      <c r="A17" s="44"/>
      <c r="G17" s="44"/>
      <c r="H17" s="44"/>
      <c r="P17" s="56"/>
      <c r="Q17" s="62"/>
      <c r="R17" s="56"/>
      <c r="S17" s="56"/>
      <c r="Y17" s="44"/>
      <c r="Z17" s="44"/>
      <c r="AD17" s="56"/>
      <c r="AH17" s="56"/>
      <c r="AI17" s="56"/>
    </row>
    <row r="18" spans="1:35" s="39" customFormat="1">
      <c r="A18" s="44"/>
      <c r="G18" s="44"/>
      <c r="H18" s="44"/>
      <c r="P18" s="56"/>
      <c r="Q18" s="62"/>
      <c r="R18" s="56"/>
      <c r="S18" s="56"/>
      <c r="Y18" s="44"/>
      <c r="Z18" s="44"/>
      <c r="AD18" s="56"/>
      <c r="AH18" s="56"/>
      <c r="AI18" s="56"/>
    </row>
    <row r="19" spans="1:35" s="39" customFormat="1">
      <c r="A19" s="44"/>
      <c r="G19" s="44"/>
      <c r="H19" s="44"/>
      <c r="P19" s="56"/>
      <c r="Q19" s="62"/>
      <c r="R19" s="56"/>
      <c r="S19" s="56"/>
      <c r="Y19" s="44"/>
      <c r="Z19" s="44"/>
      <c r="AD19" s="56"/>
      <c r="AH19" s="56"/>
      <c r="AI19" s="56"/>
    </row>
    <row r="38" ht="16.5" customHeight="1"/>
  </sheetData>
  <mergeCells count="2">
    <mergeCell ref="A6:A8"/>
    <mergeCell ref="A10:A15"/>
  </mergeCells>
  <phoneticPr fontId="71" type="noConversion"/>
  <conditionalFormatting sqref="B1">
    <cfRule type="duplicateValues" dxfId="1030" priority="2"/>
  </conditionalFormatting>
  <conditionalFormatting sqref="B1:D2">
    <cfRule type="duplicateValues" dxfId="102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Pict="0" macro="[0]!礼包_数据检查">
                <anchor>
                  <from>
                    <xdr:col>1</xdr:col>
                    <xdr:colOff>171450</xdr:colOff>
                    <xdr:row>0</xdr:row>
                    <xdr:rowOff>180975</xdr:rowOff>
                  </from>
                  <to>
                    <xdr:col>2</xdr:col>
                    <xdr:colOff>438150</xdr:colOff>
                    <xdr:row>0</xdr:row>
                    <xdr:rowOff>504825</xdr:rowOff>
                  </to>
                </anchor>
              </controlPr>
            </control>
          </mc:Choice>
        </mc:AlternateContent>
        <mc:AlternateContent xmlns:mc="http://schemas.openxmlformats.org/markup-compatibility/2006">
          <mc:Choice Requires="x14">
            <control shapeId="122882" r:id="rId4" name="Button 2">
              <controlPr defaultSize="0" print="0" autoPict="0" macro="[0]!礼包_数据更新">
                <anchor>
                  <from>
                    <xdr:col>5</xdr:col>
                    <xdr:colOff>447675</xdr:colOff>
                    <xdr:row>0</xdr:row>
                    <xdr:rowOff>200025</xdr:rowOff>
                  </from>
                  <to>
                    <xdr:col>5</xdr:col>
                    <xdr:colOff>1343025</xdr:colOff>
                    <xdr:row>0</xdr:row>
                    <xdr:rowOff>542925</xdr:rowOff>
                  </to>
                </anchor>
              </controlPr>
            </control>
          </mc:Choice>
        </mc:AlternateContent>
        <mc:AlternateContent xmlns:mc="http://schemas.openxmlformats.org/markup-compatibility/2006">
          <mc:Choice Requires="x14">
            <control shapeId="122883" r:id="rId5" name="Button 3">
              <controlPr defaultSize="0" print="0" autoPict="0" macro="[0]!礼包_生成商品码">
                <anchor moveWithCells="1" sizeWithCells="1">
                  <from>
                    <xdr:col>4</xdr:col>
                    <xdr:colOff>447675</xdr:colOff>
                    <xdr:row>0</xdr:row>
                    <xdr:rowOff>266700</xdr:rowOff>
                  </from>
                  <to>
                    <xdr:col>4</xdr:col>
                    <xdr:colOff>1304925</xdr:colOff>
                    <xdr:row>0</xdr:row>
                    <xdr:rowOff>552450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7"/>
  <dimension ref="A1:AM38"/>
  <sheetViews>
    <sheetView workbookViewId="0">
      <pane xSplit="3" ySplit="2" topLeftCell="V3" activePane="bottomRight" state="frozen"/>
      <selection pane="topRight"/>
      <selection pane="bottomLeft"/>
      <selection pane="bottomRight" activeCell="AJ7" sqref="AJ7"/>
    </sheetView>
  </sheetViews>
  <sheetFormatPr defaultColWidth="9" defaultRowHeight="16.5"/>
  <cols>
    <col min="1" max="1" width="13.125" customWidth="1"/>
    <col min="2" max="4" width="9" customWidth="1"/>
    <col min="5" max="6" width="24.25" customWidth="1"/>
    <col min="7" max="8" width="7.5" customWidth="1"/>
    <col min="9" max="11" width="7.125" customWidth="1"/>
    <col min="12" max="12" width="7.875" customWidth="1"/>
    <col min="13" max="13" width="10.25" customWidth="1"/>
    <col min="14" max="15" width="13.125" customWidth="1"/>
    <col min="16" max="16" width="17.125" customWidth="1"/>
    <col min="17" max="17" width="16.5" customWidth="1"/>
    <col min="18" max="19" width="15.25" customWidth="1"/>
    <col min="20" max="20" width="33.25" customWidth="1"/>
    <col min="21" max="21" width="44.625" customWidth="1"/>
    <col min="22" max="22" width="24.375" customWidth="1"/>
    <col min="23" max="23" width="8.75" customWidth="1"/>
    <col min="24" max="24" width="11.375" customWidth="1"/>
    <col min="25" max="25" width="12.875" customWidth="1"/>
    <col min="26" max="26" width="19.25" customWidth="1"/>
    <col min="27" max="27" width="9.5" customWidth="1"/>
    <col min="28" max="28" width="9" customWidth="1"/>
    <col min="29" max="29" width="6.875" customWidth="1"/>
    <col min="30" max="30" width="5.75" customWidth="1"/>
    <col min="31" max="31" width="5" customWidth="1"/>
    <col min="32" max="32" width="4.75" customWidth="1"/>
    <col min="33" max="33" width="12.625" customWidth="1"/>
    <col min="34" max="35" width="8.125" customWidth="1"/>
    <col min="36" max="36" width="5" customWidth="1"/>
    <col min="37" max="38" width="7.125" customWidth="1"/>
  </cols>
  <sheetData>
    <row r="1" spans="1:39" s="36" customFormat="1" ht="115.5">
      <c r="A1" s="36" t="s">
        <v>263</v>
      </c>
      <c r="F1" s="36" t="s">
        <v>264</v>
      </c>
      <c r="G1" s="36" t="s">
        <v>229</v>
      </c>
      <c r="J1" s="36" t="s">
        <v>265</v>
      </c>
      <c r="K1" s="36" t="s">
        <v>265</v>
      </c>
      <c r="L1" s="36" t="s">
        <v>264</v>
      </c>
      <c r="M1" s="36" t="s">
        <v>264</v>
      </c>
      <c r="P1" s="46"/>
      <c r="Q1" s="46"/>
      <c r="R1" s="36" t="s">
        <v>266</v>
      </c>
      <c r="S1" s="36" t="s">
        <v>266</v>
      </c>
      <c r="U1" s="36" t="s">
        <v>267</v>
      </c>
      <c r="V1" s="36" t="s">
        <v>268</v>
      </c>
      <c r="W1" s="36" t="s">
        <v>269</v>
      </c>
      <c r="Y1" s="36" t="s">
        <v>270</v>
      </c>
      <c r="Z1" s="36" t="s">
        <v>271</v>
      </c>
      <c r="AA1" s="63" t="s">
        <v>272</v>
      </c>
      <c r="AB1" s="36" t="s">
        <v>273</v>
      </c>
      <c r="AC1" s="36" t="s">
        <v>274</v>
      </c>
      <c r="AE1" s="36" t="s">
        <v>275</v>
      </c>
      <c r="AH1" s="46"/>
      <c r="AI1" s="46"/>
      <c r="AK1" s="63"/>
      <c r="AL1" s="63"/>
    </row>
    <row r="2" spans="1:39" s="37" customFormat="1" ht="21" customHeight="1">
      <c r="B2" s="40" t="s">
        <v>224</v>
      </c>
      <c r="C2" s="40" t="s">
        <v>225</v>
      </c>
      <c r="D2" s="40" t="s">
        <v>276</v>
      </c>
      <c r="E2" s="40" t="s">
        <v>227</v>
      </c>
      <c r="F2" s="40" t="s">
        <v>228</v>
      </c>
      <c r="G2" s="41" t="s">
        <v>229</v>
      </c>
      <c r="H2" s="41"/>
      <c r="I2" s="40"/>
      <c r="J2" s="40" t="s">
        <v>277</v>
      </c>
      <c r="K2" s="47" t="s">
        <v>278</v>
      </c>
      <c r="L2" s="40" t="s">
        <v>279</v>
      </c>
      <c r="M2" s="47" t="s">
        <v>280</v>
      </c>
      <c r="N2" s="40" t="s">
        <v>281</v>
      </c>
      <c r="O2" s="40" t="s">
        <v>282</v>
      </c>
      <c r="P2" s="48" t="s">
        <v>243</v>
      </c>
      <c r="Q2" s="48" t="s">
        <v>244</v>
      </c>
      <c r="R2" s="40" t="s">
        <v>245</v>
      </c>
      <c r="S2" s="40" t="s">
        <v>246</v>
      </c>
      <c r="T2" s="40" t="s">
        <v>283</v>
      </c>
      <c r="U2" s="40" t="s">
        <v>249</v>
      </c>
      <c r="V2" s="40" t="s">
        <v>250</v>
      </c>
      <c r="W2" s="40" t="s">
        <v>239</v>
      </c>
      <c r="X2" s="40" t="s">
        <v>247</v>
      </c>
      <c r="Y2" s="40" t="s">
        <v>183</v>
      </c>
      <c r="Z2" s="40" t="s">
        <v>240</v>
      </c>
      <c r="AA2" s="64" t="s">
        <v>284</v>
      </c>
      <c r="AB2" s="40" t="s">
        <v>242</v>
      </c>
      <c r="AC2" s="40" t="s">
        <v>189</v>
      </c>
      <c r="AD2" s="40" t="s">
        <v>248</v>
      </c>
      <c r="AE2" s="40" t="s">
        <v>251</v>
      </c>
      <c r="AF2" s="40" t="s">
        <v>285</v>
      </c>
      <c r="AG2" s="40" t="s">
        <v>253</v>
      </c>
      <c r="AH2" s="48" t="s">
        <v>254</v>
      </c>
      <c r="AI2" s="48" t="s">
        <v>255</v>
      </c>
      <c r="AJ2" s="40" t="s">
        <v>286</v>
      </c>
      <c r="AK2" s="64" t="s">
        <v>257</v>
      </c>
      <c r="AL2" s="64" t="s">
        <v>287</v>
      </c>
      <c r="AM2" s="37" t="s">
        <v>259</v>
      </c>
    </row>
    <row r="3" spans="1:39" s="38" customFormat="1" ht="49.5">
      <c r="A3" s="42" t="s">
        <v>288</v>
      </c>
      <c r="B3" s="42" t="s">
        <v>289</v>
      </c>
      <c r="C3" s="42" t="s">
        <v>290</v>
      </c>
      <c r="D3" s="42" t="s">
        <v>291</v>
      </c>
      <c r="E3" s="43" t="s">
        <v>292</v>
      </c>
      <c r="F3" s="43" t="s">
        <v>293</v>
      </c>
      <c r="G3" s="43" t="s">
        <v>294</v>
      </c>
      <c r="H3" s="43" t="s">
        <v>295</v>
      </c>
      <c r="I3" s="43" t="s">
        <v>296</v>
      </c>
      <c r="J3" s="43" t="s">
        <v>297</v>
      </c>
      <c r="K3" s="43" t="s">
        <v>298</v>
      </c>
      <c r="L3" s="43" t="s">
        <v>299</v>
      </c>
      <c r="M3" s="43" t="s">
        <v>300</v>
      </c>
      <c r="N3" s="43" t="s">
        <v>301</v>
      </c>
      <c r="O3" s="43" t="s">
        <v>302</v>
      </c>
      <c r="P3" s="43" t="s">
        <v>243</v>
      </c>
      <c r="Q3" s="43" t="s">
        <v>244</v>
      </c>
      <c r="R3" s="43" t="s">
        <v>245</v>
      </c>
      <c r="S3" s="43" t="s">
        <v>246</v>
      </c>
      <c r="T3" s="43" t="s">
        <v>303</v>
      </c>
      <c r="U3" s="43" t="s">
        <v>304</v>
      </c>
      <c r="V3" s="43" t="s">
        <v>305</v>
      </c>
      <c r="W3" s="43" t="s">
        <v>306</v>
      </c>
      <c r="X3" s="43" t="s">
        <v>307</v>
      </c>
      <c r="Y3" s="43" t="s">
        <v>234</v>
      </c>
      <c r="Z3" s="43" t="s">
        <v>240</v>
      </c>
      <c r="AA3" s="43" t="s">
        <v>241</v>
      </c>
      <c r="AB3" s="43" t="s">
        <v>242</v>
      </c>
      <c r="AC3" s="43" t="s">
        <v>189</v>
      </c>
      <c r="AD3" s="43" t="s">
        <v>248</v>
      </c>
      <c r="AE3" s="43" t="s">
        <v>251</v>
      </c>
      <c r="AF3" s="43" t="s">
        <v>252</v>
      </c>
      <c r="AG3" s="43" t="s">
        <v>253</v>
      </c>
      <c r="AH3" s="43" t="s">
        <v>254</v>
      </c>
      <c r="AI3" s="43" t="s">
        <v>255</v>
      </c>
      <c r="AJ3" s="43" t="s">
        <v>256</v>
      </c>
      <c r="AK3" s="43" t="s">
        <v>257</v>
      </c>
      <c r="AL3" s="43" t="s">
        <v>258</v>
      </c>
      <c r="AM3" s="43" t="s">
        <v>259</v>
      </c>
    </row>
    <row r="4" spans="1:39" ht="33">
      <c r="A4" s="44" t="s">
        <v>308</v>
      </c>
      <c r="B4" s="44">
        <v>130033</v>
      </c>
      <c r="C4" s="44"/>
      <c r="D4" s="44"/>
      <c r="E4" s="36" t="s">
        <v>309</v>
      </c>
      <c r="F4" s="44"/>
      <c r="G4" s="44">
        <v>60</v>
      </c>
      <c r="H4" s="44">
        <v>60</v>
      </c>
      <c r="I4" s="44">
        <v>6</v>
      </c>
      <c r="J4" s="44">
        <v>1100</v>
      </c>
      <c r="K4" s="44">
        <v>1200</v>
      </c>
      <c r="L4" s="44"/>
      <c r="M4" s="44"/>
      <c r="N4" s="45" t="s">
        <v>310</v>
      </c>
      <c r="O4" s="49" t="s">
        <v>311</v>
      </c>
      <c r="P4" s="50">
        <v>44133.375</v>
      </c>
      <c r="Q4" s="50">
        <v>44143.999305555597</v>
      </c>
      <c r="R4" s="57"/>
      <c r="S4" s="57"/>
      <c r="T4" s="44"/>
      <c r="U4" s="58" t="s">
        <v>312</v>
      </c>
      <c r="W4" s="44" t="s">
        <v>313</v>
      </c>
      <c r="X4" s="45">
        <v>1023</v>
      </c>
      <c r="Y4" s="44">
        <v>3</v>
      </c>
      <c r="Z4" s="44"/>
      <c r="AA4" s="45"/>
      <c r="AB4" s="45"/>
      <c r="AC4" s="45"/>
      <c r="AD4" s="45"/>
      <c r="AE4" s="45"/>
      <c r="AF4" s="45"/>
      <c r="AG4" s="45"/>
      <c r="AH4" s="45"/>
      <c r="AI4" s="45"/>
      <c r="AJ4" s="45"/>
      <c r="AK4" s="39"/>
      <c r="AL4" s="39"/>
    </row>
    <row r="5" spans="1:39">
      <c r="A5" s="44" t="s">
        <v>218</v>
      </c>
      <c r="B5" s="44">
        <v>115001</v>
      </c>
      <c r="C5" s="44"/>
      <c r="D5" s="44"/>
      <c r="E5" s="36"/>
      <c r="F5" s="44"/>
      <c r="G5" s="44">
        <v>300</v>
      </c>
      <c r="H5" s="44">
        <v>300</v>
      </c>
      <c r="I5" s="44">
        <v>30</v>
      </c>
      <c r="J5" s="44">
        <v>5500</v>
      </c>
      <c r="K5" s="44">
        <v>5900</v>
      </c>
      <c r="L5" s="44"/>
      <c r="M5" s="44"/>
      <c r="N5" s="45" t="s">
        <v>314</v>
      </c>
      <c r="O5" s="49" t="s">
        <v>315</v>
      </c>
      <c r="P5" s="50">
        <v>44133.375</v>
      </c>
      <c r="Q5" s="50">
        <v>44143.999305555597</v>
      </c>
      <c r="R5" s="57"/>
      <c r="S5" s="57"/>
      <c r="T5" s="44"/>
      <c r="U5" s="44" t="s">
        <v>316</v>
      </c>
      <c r="V5" s="59" t="s">
        <v>317</v>
      </c>
      <c r="W5" s="44" t="s">
        <v>318</v>
      </c>
      <c r="X5" s="44"/>
      <c r="Y5" s="45"/>
      <c r="Z5" s="45"/>
      <c r="AA5" s="45"/>
      <c r="AB5" s="45"/>
      <c r="AC5" s="45"/>
      <c r="AD5" s="45"/>
      <c r="AE5" s="45">
        <v>7</v>
      </c>
      <c r="AF5" s="45"/>
      <c r="AG5" s="45"/>
      <c r="AH5" s="45"/>
      <c r="AI5" s="45"/>
      <c r="AJ5" s="45"/>
      <c r="AK5" s="39"/>
      <c r="AL5" s="39"/>
    </row>
    <row r="6" spans="1:39" ht="33">
      <c r="A6" s="281" t="s">
        <v>195</v>
      </c>
      <c r="B6" s="44">
        <v>111187</v>
      </c>
      <c r="C6" s="44"/>
      <c r="D6" s="44"/>
      <c r="E6" s="36" t="s">
        <v>319</v>
      </c>
      <c r="F6" s="44"/>
      <c r="G6" s="44">
        <v>660</v>
      </c>
      <c r="H6" s="44">
        <v>660</v>
      </c>
      <c r="I6" s="44">
        <v>66</v>
      </c>
      <c r="J6" s="44">
        <v>12100</v>
      </c>
      <c r="K6" s="44">
        <v>12000</v>
      </c>
      <c r="L6" s="44"/>
      <c r="M6" s="44"/>
      <c r="N6" s="45" t="s">
        <v>320</v>
      </c>
      <c r="O6" s="51" t="s">
        <v>321</v>
      </c>
      <c r="P6" s="50">
        <v>44133.375</v>
      </c>
      <c r="Q6" s="50">
        <v>44143.999305555597</v>
      </c>
      <c r="R6" s="45"/>
      <c r="S6" s="45"/>
      <c r="T6" s="51" t="s">
        <v>322</v>
      </c>
      <c r="U6" s="58" t="s">
        <v>323</v>
      </c>
      <c r="W6" s="44" t="s">
        <v>324</v>
      </c>
      <c r="X6" s="44">
        <v>1138</v>
      </c>
      <c r="Y6" s="45">
        <v>1</v>
      </c>
      <c r="Z6" s="45">
        <v>1</v>
      </c>
      <c r="AA6" s="45">
        <v>1</v>
      </c>
      <c r="AB6" s="45">
        <v>1</v>
      </c>
      <c r="AC6" s="45"/>
      <c r="AD6" s="45"/>
      <c r="AE6" s="45"/>
      <c r="AF6" s="45"/>
      <c r="AG6" s="45"/>
      <c r="AH6" s="45"/>
      <c r="AI6" s="45"/>
      <c r="AJ6" s="45"/>
      <c r="AK6" s="39"/>
      <c r="AL6" s="39"/>
    </row>
    <row r="7" spans="1:39" ht="33">
      <c r="A7" s="281"/>
      <c r="B7" s="44">
        <v>111188</v>
      </c>
      <c r="C7" s="44"/>
      <c r="D7" s="44"/>
      <c r="E7" s="36" t="s">
        <v>325</v>
      </c>
      <c r="F7" s="44"/>
      <c r="G7" s="44">
        <v>1800</v>
      </c>
      <c r="H7" s="44">
        <v>1800</v>
      </c>
      <c r="I7" s="44">
        <v>180</v>
      </c>
      <c r="J7" s="44">
        <v>33000</v>
      </c>
      <c r="K7" s="44">
        <v>33000</v>
      </c>
      <c r="L7" s="44"/>
      <c r="M7" s="44"/>
      <c r="N7" s="45" t="s">
        <v>326</v>
      </c>
      <c r="O7" s="51" t="s">
        <v>327</v>
      </c>
      <c r="P7" s="50">
        <v>44133.375</v>
      </c>
      <c r="Q7" s="50">
        <v>44143.999305555597</v>
      </c>
      <c r="R7" s="45"/>
      <c r="S7" s="45"/>
      <c r="T7" s="51" t="s">
        <v>328</v>
      </c>
      <c r="U7" s="58" t="s">
        <v>329</v>
      </c>
      <c r="W7" s="44" t="s">
        <v>313</v>
      </c>
      <c r="X7" s="44">
        <v>1139</v>
      </c>
      <c r="Y7" s="45">
        <v>1</v>
      </c>
      <c r="Z7" s="45">
        <v>1</v>
      </c>
      <c r="AA7" s="45">
        <v>1</v>
      </c>
      <c r="AB7" s="45">
        <v>2</v>
      </c>
      <c r="AC7" s="45"/>
      <c r="AD7" s="45"/>
      <c r="AE7" s="45"/>
      <c r="AF7" s="45"/>
      <c r="AG7" s="45"/>
      <c r="AH7" s="45"/>
      <c r="AI7" s="45"/>
      <c r="AJ7" s="45"/>
      <c r="AK7" s="39"/>
      <c r="AL7" s="39"/>
    </row>
    <row r="8" spans="1:39" ht="33">
      <c r="A8" s="281"/>
      <c r="B8" s="44">
        <v>111189</v>
      </c>
      <c r="C8" s="44"/>
      <c r="D8" s="44"/>
      <c r="E8" s="36" t="s">
        <v>330</v>
      </c>
      <c r="F8" s="44"/>
      <c r="G8" s="44">
        <v>660</v>
      </c>
      <c r="H8" s="44">
        <v>660</v>
      </c>
      <c r="I8" s="44">
        <v>66</v>
      </c>
      <c r="J8" s="44">
        <v>12100</v>
      </c>
      <c r="K8" s="44">
        <v>12000</v>
      </c>
      <c r="L8" s="44"/>
      <c r="M8" s="44"/>
      <c r="N8" s="45" t="s">
        <v>331</v>
      </c>
      <c r="O8" s="52" t="s">
        <v>332</v>
      </c>
      <c r="P8" s="50">
        <v>44133.375</v>
      </c>
      <c r="Q8" s="50">
        <v>44143.999305555597</v>
      </c>
      <c r="R8" s="45"/>
      <c r="S8" s="45"/>
      <c r="T8" s="60" t="s">
        <v>333</v>
      </c>
      <c r="U8" s="61" t="s">
        <v>334</v>
      </c>
      <c r="W8" s="44" t="s">
        <v>335</v>
      </c>
      <c r="X8" s="44">
        <v>1058</v>
      </c>
      <c r="Y8" s="45">
        <v>1</v>
      </c>
      <c r="Z8" s="45">
        <v>1</v>
      </c>
      <c r="AA8" s="45">
        <v>1</v>
      </c>
      <c r="AB8" s="45">
        <v>3</v>
      </c>
      <c r="AC8" s="45"/>
      <c r="AD8" s="45"/>
      <c r="AE8" s="45"/>
      <c r="AF8" s="45"/>
      <c r="AG8" s="45"/>
      <c r="AH8" s="45"/>
      <c r="AI8" s="45"/>
      <c r="AJ8" s="45"/>
      <c r="AK8" s="39"/>
      <c r="AL8" s="39"/>
    </row>
    <row r="9" spans="1:39" ht="25.5">
      <c r="A9" s="44" t="s">
        <v>195</v>
      </c>
      <c r="B9" s="44">
        <v>111186</v>
      </c>
      <c r="C9" s="44"/>
      <c r="D9" s="44"/>
      <c r="E9" s="45"/>
      <c r="F9" s="36"/>
      <c r="G9" s="45">
        <v>180</v>
      </c>
      <c r="H9" s="45">
        <v>180</v>
      </c>
      <c r="I9" s="45">
        <v>18</v>
      </c>
      <c r="J9" s="45">
        <v>17600</v>
      </c>
      <c r="K9" s="45">
        <v>19000</v>
      </c>
      <c r="L9" s="45">
        <v>3300</v>
      </c>
      <c r="M9" s="45">
        <v>3900</v>
      </c>
      <c r="N9" s="45" t="s">
        <v>336</v>
      </c>
      <c r="O9" s="53" t="s">
        <v>337</v>
      </c>
      <c r="P9" s="50">
        <v>44133.375</v>
      </c>
      <c r="Q9" s="50">
        <v>44143.999305555597</v>
      </c>
      <c r="R9" s="50">
        <v>44133.375</v>
      </c>
      <c r="S9" s="50">
        <v>44143.999305555597</v>
      </c>
      <c r="T9" s="53" t="s">
        <v>338</v>
      </c>
      <c r="U9" s="45" t="s">
        <v>339</v>
      </c>
      <c r="W9" s="45" t="s">
        <v>340</v>
      </c>
      <c r="X9" s="45"/>
      <c r="Y9" s="45">
        <v>1</v>
      </c>
      <c r="Z9" s="45">
        <v>1</v>
      </c>
      <c r="AA9" s="45">
        <v>1</v>
      </c>
      <c r="AB9" s="45">
        <v>4</v>
      </c>
      <c r="AC9" s="45"/>
      <c r="AD9" s="45"/>
      <c r="AE9" s="45"/>
      <c r="AF9" s="45"/>
      <c r="AG9" s="45"/>
      <c r="AH9" s="45"/>
      <c r="AI9" s="45"/>
      <c r="AJ9" s="45"/>
      <c r="AK9" s="39"/>
      <c r="AL9" s="39"/>
    </row>
    <row r="10" spans="1:39" ht="66">
      <c r="A10" s="281" t="s">
        <v>341</v>
      </c>
      <c r="B10" s="44">
        <v>111002</v>
      </c>
      <c r="C10" s="44"/>
      <c r="F10" s="39"/>
      <c r="G10" s="45">
        <v>240</v>
      </c>
      <c r="H10" s="45">
        <v>240</v>
      </c>
      <c r="I10" s="45">
        <v>24</v>
      </c>
      <c r="J10" s="45">
        <v>5500</v>
      </c>
      <c r="K10" s="45">
        <v>5900</v>
      </c>
      <c r="L10" s="45">
        <v>4400</v>
      </c>
      <c r="M10" s="45">
        <v>4900</v>
      </c>
      <c r="N10" s="45" t="s">
        <v>342</v>
      </c>
      <c r="O10" s="53" t="s">
        <v>343</v>
      </c>
      <c r="P10" s="54"/>
      <c r="Q10" s="54"/>
      <c r="R10" s="54" t="s">
        <v>344</v>
      </c>
      <c r="S10" s="54" t="s">
        <v>345</v>
      </c>
      <c r="T10" s="45"/>
      <c r="U10" s="60" t="s">
        <v>346</v>
      </c>
      <c r="W10" s="45" t="s">
        <v>347</v>
      </c>
      <c r="X10" s="45"/>
      <c r="Y10" s="45">
        <v>1</v>
      </c>
      <c r="Z10" s="44"/>
      <c r="AA10" s="45"/>
      <c r="AB10" s="45"/>
      <c r="AC10" s="45"/>
      <c r="AD10" s="45"/>
      <c r="AE10" s="45"/>
      <c r="AF10" s="45"/>
      <c r="AG10" s="45"/>
      <c r="AH10" s="45"/>
      <c r="AI10" s="45"/>
      <c r="AJ10" s="45"/>
      <c r="AK10" s="39"/>
      <c r="AL10" s="39"/>
    </row>
    <row r="11" spans="1:39" ht="66">
      <c r="A11" s="281"/>
      <c r="B11" s="44">
        <v>111003</v>
      </c>
      <c r="C11" s="44"/>
      <c r="D11" s="44"/>
      <c r="E11" s="36"/>
      <c r="F11" s="39"/>
      <c r="G11" s="45">
        <v>660</v>
      </c>
      <c r="H11" s="45">
        <v>660</v>
      </c>
      <c r="I11" s="45">
        <v>66</v>
      </c>
      <c r="J11" s="45">
        <v>16500</v>
      </c>
      <c r="K11" s="45">
        <v>17000</v>
      </c>
      <c r="L11" s="45">
        <v>12100</v>
      </c>
      <c r="M11" s="45">
        <v>12000</v>
      </c>
      <c r="N11" s="45" t="s">
        <v>348</v>
      </c>
      <c r="O11" s="53" t="s">
        <v>349</v>
      </c>
      <c r="P11" s="54"/>
      <c r="Q11" s="54"/>
      <c r="R11" s="54" t="s">
        <v>344</v>
      </c>
      <c r="S11" s="54" t="s">
        <v>345</v>
      </c>
      <c r="T11" s="45"/>
      <c r="U11" s="45" t="s">
        <v>350</v>
      </c>
      <c r="W11" s="45" t="s">
        <v>347</v>
      </c>
      <c r="X11" s="45"/>
      <c r="Y11" s="45">
        <v>1</v>
      </c>
      <c r="Z11" s="44"/>
      <c r="AA11" s="45"/>
      <c r="AB11" s="45"/>
      <c r="AC11" s="45"/>
      <c r="AD11" s="45"/>
      <c r="AE11" s="45"/>
      <c r="AF11" s="45"/>
      <c r="AG11" s="45"/>
      <c r="AH11" s="45"/>
      <c r="AI11" s="45"/>
      <c r="AJ11" s="45"/>
      <c r="AK11" s="39"/>
      <c r="AL11" s="39"/>
    </row>
    <row r="12" spans="1:39" ht="66">
      <c r="A12" s="281"/>
      <c r="B12" s="44">
        <v>111005</v>
      </c>
      <c r="C12" s="1"/>
      <c r="D12" s="44"/>
      <c r="E12" s="36"/>
      <c r="F12" s="1"/>
      <c r="G12" s="45">
        <v>240</v>
      </c>
      <c r="H12" s="45">
        <v>240</v>
      </c>
      <c r="I12" s="45">
        <v>24</v>
      </c>
      <c r="J12" s="45">
        <v>5500</v>
      </c>
      <c r="K12" s="45">
        <v>5900</v>
      </c>
      <c r="L12" s="45">
        <v>4400</v>
      </c>
      <c r="M12" s="45">
        <v>4900</v>
      </c>
      <c r="N12" s="45" t="s">
        <v>351</v>
      </c>
      <c r="O12" s="53" t="s">
        <v>352</v>
      </c>
      <c r="P12" s="54"/>
      <c r="Q12" s="54"/>
      <c r="R12" s="54" t="s">
        <v>353</v>
      </c>
      <c r="S12" s="54" t="s">
        <v>354</v>
      </c>
      <c r="T12" s="45"/>
      <c r="U12" s="45" t="s">
        <v>355</v>
      </c>
      <c r="W12" s="45" t="s">
        <v>347</v>
      </c>
      <c r="X12" s="45"/>
      <c r="Y12" s="45">
        <v>1</v>
      </c>
      <c r="Z12" s="44"/>
      <c r="AA12" s="45"/>
      <c r="AB12" s="45"/>
      <c r="AC12" s="45"/>
      <c r="AD12" s="45"/>
      <c r="AE12" s="45"/>
      <c r="AF12" s="45"/>
      <c r="AG12" s="45"/>
      <c r="AH12" s="45"/>
      <c r="AI12" s="45"/>
      <c r="AJ12" s="45"/>
      <c r="AK12" s="39"/>
      <c r="AL12" s="39"/>
    </row>
    <row r="13" spans="1:39" ht="66">
      <c r="A13" s="281"/>
      <c r="B13" s="44">
        <v>111006</v>
      </c>
      <c r="C13" s="1"/>
      <c r="D13" s="44"/>
      <c r="E13" s="36"/>
      <c r="F13" s="1"/>
      <c r="G13" s="45">
        <v>660</v>
      </c>
      <c r="H13" s="45">
        <v>660</v>
      </c>
      <c r="I13" s="45">
        <v>66</v>
      </c>
      <c r="J13" s="45">
        <v>16500</v>
      </c>
      <c r="K13" s="45">
        <v>17000</v>
      </c>
      <c r="L13" s="45">
        <v>12100</v>
      </c>
      <c r="M13" s="45">
        <v>12000</v>
      </c>
      <c r="N13" s="45" t="s">
        <v>356</v>
      </c>
      <c r="O13" s="53" t="s">
        <v>357</v>
      </c>
      <c r="P13" s="54"/>
      <c r="Q13" s="54"/>
      <c r="R13" s="54" t="s">
        <v>353</v>
      </c>
      <c r="S13" s="54" t="s">
        <v>354</v>
      </c>
      <c r="T13" s="45"/>
      <c r="U13" s="45" t="s">
        <v>358</v>
      </c>
      <c r="W13" s="45" t="s">
        <v>347</v>
      </c>
      <c r="X13" s="45"/>
      <c r="Y13" s="45">
        <v>1</v>
      </c>
      <c r="Z13" s="44"/>
      <c r="AA13" s="45"/>
      <c r="AB13" s="45"/>
      <c r="AC13" s="45"/>
      <c r="AD13" s="45"/>
      <c r="AE13" s="45"/>
      <c r="AF13" s="45"/>
      <c r="AG13" s="45"/>
      <c r="AH13" s="45"/>
      <c r="AI13" s="45"/>
      <c r="AJ13" s="45"/>
      <c r="AK13" s="39"/>
      <c r="AL13" s="39"/>
    </row>
    <row r="14" spans="1:39" ht="66">
      <c r="A14" s="281"/>
      <c r="B14" s="44">
        <v>111058</v>
      </c>
      <c r="C14" s="1"/>
      <c r="D14" s="44"/>
      <c r="E14" s="36"/>
      <c r="F14" s="1"/>
      <c r="G14" s="45">
        <v>240</v>
      </c>
      <c r="H14" s="45">
        <v>240</v>
      </c>
      <c r="I14" s="45">
        <v>24</v>
      </c>
      <c r="J14" s="45">
        <v>5500</v>
      </c>
      <c r="K14" s="45">
        <v>5900</v>
      </c>
      <c r="L14" s="45">
        <v>4400</v>
      </c>
      <c r="M14" s="45">
        <v>4900</v>
      </c>
      <c r="N14" s="45" t="s">
        <v>359</v>
      </c>
      <c r="O14" s="55" t="s">
        <v>360</v>
      </c>
      <c r="P14" s="54"/>
      <c r="Q14" s="54"/>
      <c r="R14" s="54" t="s">
        <v>353</v>
      </c>
      <c r="S14" s="54" t="s">
        <v>354</v>
      </c>
      <c r="T14" s="45"/>
      <c r="U14" s="45" t="s">
        <v>361</v>
      </c>
      <c r="W14" s="45" t="s">
        <v>347</v>
      </c>
      <c r="X14" s="45"/>
      <c r="Y14" s="45">
        <v>1</v>
      </c>
      <c r="Z14" s="44"/>
      <c r="AA14" s="45"/>
      <c r="AB14" s="45"/>
      <c r="AC14" s="45"/>
      <c r="AD14" s="45"/>
      <c r="AE14" s="45"/>
      <c r="AF14" s="45"/>
      <c r="AG14" s="45"/>
      <c r="AH14" s="45"/>
      <c r="AI14" s="45"/>
      <c r="AJ14" s="45"/>
      <c r="AK14" s="39"/>
      <c r="AL14" s="39"/>
    </row>
    <row r="15" spans="1:39" ht="66">
      <c r="A15" s="281"/>
      <c r="B15" s="44">
        <v>111004</v>
      </c>
      <c r="C15" s="1"/>
      <c r="D15" s="44"/>
      <c r="E15" s="36"/>
      <c r="F15" s="1"/>
      <c r="G15" s="45">
        <v>660</v>
      </c>
      <c r="H15" s="45">
        <v>660</v>
      </c>
      <c r="I15" s="45">
        <v>66</v>
      </c>
      <c r="J15" s="45">
        <v>16500</v>
      </c>
      <c r="K15" s="45">
        <v>17000</v>
      </c>
      <c r="L15" s="45">
        <v>12100</v>
      </c>
      <c r="M15" s="45">
        <v>12000</v>
      </c>
      <c r="N15" s="45" t="s">
        <v>362</v>
      </c>
      <c r="O15" s="55" t="s">
        <v>363</v>
      </c>
      <c r="P15" s="54"/>
      <c r="Q15" s="54"/>
      <c r="R15" s="54" t="s">
        <v>353</v>
      </c>
      <c r="S15" s="54" t="s">
        <v>354</v>
      </c>
      <c r="T15" s="45"/>
      <c r="U15" s="45" t="s">
        <v>364</v>
      </c>
      <c r="W15" s="45" t="s">
        <v>347</v>
      </c>
      <c r="X15" s="45"/>
      <c r="Y15" s="45">
        <v>1</v>
      </c>
      <c r="Z15" s="44"/>
      <c r="AA15" s="45"/>
      <c r="AB15" s="45"/>
      <c r="AC15" s="45"/>
      <c r="AD15" s="45"/>
      <c r="AE15" s="45"/>
      <c r="AF15" s="45"/>
      <c r="AG15" s="45"/>
      <c r="AH15" s="45"/>
      <c r="AI15" s="45"/>
      <c r="AJ15" s="45"/>
      <c r="AK15" s="39"/>
      <c r="AL15" s="39"/>
    </row>
    <row r="16" spans="1:39" s="39" customFormat="1">
      <c r="A16" s="44"/>
      <c r="G16" s="44"/>
      <c r="H16" s="44"/>
      <c r="P16" s="56"/>
      <c r="Q16" s="62"/>
      <c r="R16" s="56"/>
      <c r="S16" s="56"/>
      <c r="Y16" s="44"/>
      <c r="Z16" s="44"/>
      <c r="AD16" s="56"/>
      <c r="AH16" s="56"/>
      <c r="AI16" s="56"/>
    </row>
    <row r="17" spans="1:35" s="39" customFormat="1">
      <c r="A17" s="44"/>
      <c r="G17" s="44"/>
      <c r="H17" s="44"/>
      <c r="P17" s="56"/>
      <c r="Q17" s="62"/>
      <c r="R17" s="56"/>
      <c r="S17" s="56"/>
      <c r="Y17" s="44"/>
      <c r="Z17" s="44"/>
      <c r="AD17" s="56"/>
      <c r="AH17" s="56"/>
      <c r="AI17" s="56"/>
    </row>
    <row r="18" spans="1:35" s="39" customFormat="1">
      <c r="A18" s="44"/>
      <c r="G18" s="44"/>
      <c r="H18" s="44"/>
      <c r="P18" s="56"/>
      <c r="Q18" s="62"/>
      <c r="R18" s="56"/>
      <c r="S18" s="56"/>
      <c r="Y18" s="44"/>
      <c r="Z18" s="44"/>
      <c r="AD18" s="56"/>
      <c r="AH18" s="56"/>
      <c r="AI18" s="56"/>
    </row>
    <row r="19" spans="1:35" s="39" customFormat="1">
      <c r="A19" s="44"/>
      <c r="G19" s="44"/>
      <c r="H19" s="44"/>
      <c r="P19" s="56"/>
      <c r="Q19" s="62"/>
      <c r="R19" s="56"/>
      <c r="S19" s="56"/>
      <c r="Y19" s="44"/>
      <c r="Z19" s="44"/>
      <c r="AD19" s="56"/>
      <c r="AH19" s="56"/>
      <c r="AI19" s="56"/>
    </row>
    <row r="38" ht="16.5" customHeight="1"/>
  </sheetData>
  <mergeCells count="2">
    <mergeCell ref="A6:A8"/>
    <mergeCell ref="A10:A15"/>
  </mergeCells>
  <phoneticPr fontId="71" type="noConversion"/>
  <conditionalFormatting sqref="B1">
    <cfRule type="duplicateValues" dxfId="1028" priority="2"/>
  </conditionalFormatting>
  <conditionalFormatting sqref="B1:D2">
    <cfRule type="duplicateValues" dxfId="1027"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3905" r:id="rId3" name="Button 1">
              <controlPr defaultSize="0" print="0" autoPict="0" macro="[0]!礼包_数据检查">
                <anchor>
                  <from>
                    <xdr:col>1</xdr:col>
                    <xdr:colOff>171450</xdr:colOff>
                    <xdr:row>0</xdr:row>
                    <xdr:rowOff>180975</xdr:rowOff>
                  </from>
                  <to>
                    <xdr:col>2</xdr:col>
                    <xdr:colOff>438150</xdr:colOff>
                    <xdr:row>0</xdr:row>
                    <xdr:rowOff>504825</xdr:rowOff>
                  </to>
                </anchor>
              </controlPr>
            </control>
          </mc:Choice>
        </mc:AlternateContent>
        <mc:AlternateContent xmlns:mc="http://schemas.openxmlformats.org/markup-compatibility/2006">
          <mc:Choice Requires="x14">
            <control shapeId="123906" r:id="rId4" name="Button 2">
              <controlPr defaultSize="0" print="0" autoPict="0" macro="[0]!礼包_数据更新">
                <anchor>
                  <from>
                    <xdr:col>5</xdr:col>
                    <xdr:colOff>447675</xdr:colOff>
                    <xdr:row>0</xdr:row>
                    <xdr:rowOff>200025</xdr:rowOff>
                  </from>
                  <to>
                    <xdr:col>5</xdr:col>
                    <xdr:colOff>1343025</xdr:colOff>
                    <xdr:row>0</xdr:row>
                    <xdr:rowOff>542925</xdr:rowOff>
                  </to>
                </anchor>
              </controlPr>
            </control>
          </mc:Choice>
        </mc:AlternateContent>
        <mc:AlternateContent xmlns:mc="http://schemas.openxmlformats.org/markup-compatibility/2006">
          <mc:Choice Requires="x14">
            <control shapeId="123907" r:id="rId5" name="Button 3">
              <controlPr defaultSize="0" print="0" autoPict="0" macro="[0]!礼包_生成商品码">
                <anchor moveWithCells="1" sizeWithCells="1">
                  <from>
                    <xdr:col>4</xdr:col>
                    <xdr:colOff>447675</xdr:colOff>
                    <xdr:row>0</xdr:row>
                    <xdr:rowOff>266700</xdr:rowOff>
                  </from>
                  <to>
                    <xdr:col>4</xdr:col>
                    <xdr:colOff>1304925</xdr:colOff>
                    <xdr:row>0</xdr:row>
                    <xdr:rowOff>552450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Y323"/>
  <sheetViews>
    <sheetView workbookViewId="0">
      <selection activeCell="N6" sqref="N6"/>
    </sheetView>
  </sheetViews>
  <sheetFormatPr defaultColWidth="9" defaultRowHeight="16.5"/>
  <cols>
    <col min="1" max="12" width="6.5" customWidth="1"/>
    <col min="17" max="17" width="8" customWidth="1"/>
  </cols>
  <sheetData>
    <row r="1" spans="1:25">
      <c r="A1" s="12" t="s">
        <v>365</v>
      </c>
    </row>
    <row r="2" spans="1:25">
      <c r="A2" t="s">
        <v>146</v>
      </c>
    </row>
    <row r="3" spans="1:25" s="12" customFormat="1">
      <c r="A3" s="282" t="s">
        <v>366</v>
      </c>
      <c r="B3" s="282"/>
      <c r="C3" s="282"/>
      <c r="D3" s="282"/>
      <c r="E3" s="282" t="s">
        <v>367</v>
      </c>
      <c r="F3" s="282"/>
      <c r="G3" s="282"/>
      <c r="H3" s="282"/>
      <c r="I3" s="282" t="s">
        <v>368</v>
      </c>
      <c r="J3" s="282"/>
      <c r="K3" s="282"/>
      <c r="L3" s="282"/>
      <c r="M3" s="282" t="s">
        <v>369</v>
      </c>
      <c r="N3" s="282"/>
      <c r="O3" s="282"/>
      <c r="P3" s="282"/>
      <c r="Q3" s="35"/>
      <c r="R3" s="12" t="s">
        <v>370</v>
      </c>
      <c r="S3" s="12" t="s">
        <v>371</v>
      </c>
      <c r="U3" s="12" t="s">
        <v>372</v>
      </c>
      <c r="V3" s="12" t="s">
        <v>373</v>
      </c>
      <c r="W3" s="12" t="s">
        <v>374</v>
      </c>
      <c r="X3" s="12" t="s">
        <v>375</v>
      </c>
      <c r="Y3" s="12" t="s">
        <v>376</v>
      </c>
    </row>
    <row r="4" spans="1:25">
      <c r="A4">
        <v>31010</v>
      </c>
      <c r="B4">
        <v>32010</v>
      </c>
      <c r="C4">
        <v>33010</v>
      </c>
      <c r="D4">
        <v>34010</v>
      </c>
      <c r="E4">
        <v>31140</v>
      </c>
      <c r="F4">
        <v>32120</v>
      </c>
      <c r="G4">
        <v>33150</v>
      </c>
      <c r="H4">
        <v>34030</v>
      </c>
      <c r="I4">
        <v>41010</v>
      </c>
      <c r="J4">
        <v>42010</v>
      </c>
      <c r="K4">
        <v>43010</v>
      </c>
      <c r="L4">
        <v>44010</v>
      </c>
      <c r="M4">
        <v>51010</v>
      </c>
      <c r="N4">
        <v>52010</v>
      </c>
      <c r="O4">
        <v>53010</v>
      </c>
      <c r="P4">
        <v>54010</v>
      </c>
      <c r="R4">
        <v>51330</v>
      </c>
      <c r="S4">
        <v>31570</v>
      </c>
      <c r="U4">
        <v>1</v>
      </c>
      <c r="V4">
        <v>51220</v>
      </c>
      <c r="W4">
        <v>42190</v>
      </c>
      <c r="X4">
        <v>33540</v>
      </c>
      <c r="Y4">
        <v>34210</v>
      </c>
    </row>
    <row r="5" spans="1:25">
      <c r="A5">
        <v>31020</v>
      </c>
      <c r="B5">
        <v>32020</v>
      </c>
      <c r="C5">
        <v>33020</v>
      </c>
      <c r="D5">
        <v>34020</v>
      </c>
      <c r="E5">
        <v>31220</v>
      </c>
      <c r="F5">
        <v>32220</v>
      </c>
      <c r="G5">
        <v>33220</v>
      </c>
      <c r="H5">
        <v>34070</v>
      </c>
      <c r="I5">
        <v>41020</v>
      </c>
      <c r="J5">
        <v>42020</v>
      </c>
      <c r="K5">
        <v>43020</v>
      </c>
      <c r="L5">
        <v>44020</v>
      </c>
      <c r="M5">
        <v>51020</v>
      </c>
      <c r="N5">
        <v>52020</v>
      </c>
      <c r="O5">
        <v>53020</v>
      </c>
      <c r="P5">
        <v>54020</v>
      </c>
      <c r="R5">
        <v>64010</v>
      </c>
      <c r="S5">
        <v>32440</v>
      </c>
      <c r="U5">
        <v>2</v>
      </c>
      <c r="V5">
        <v>53270</v>
      </c>
      <c r="W5">
        <v>44020</v>
      </c>
      <c r="X5">
        <v>31300</v>
      </c>
      <c r="Y5">
        <v>32110</v>
      </c>
    </row>
    <row r="6" spans="1:25">
      <c r="A6">
        <v>31030</v>
      </c>
      <c r="B6">
        <v>32030</v>
      </c>
      <c r="C6">
        <v>33030</v>
      </c>
      <c r="D6">
        <v>34040</v>
      </c>
      <c r="E6">
        <v>31230</v>
      </c>
      <c r="F6">
        <v>32290</v>
      </c>
      <c r="G6">
        <v>33240</v>
      </c>
      <c r="H6">
        <v>34220</v>
      </c>
      <c r="I6">
        <v>41030</v>
      </c>
      <c r="J6">
        <v>42030</v>
      </c>
      <c r="K6">
        <v>43030</v>
      </c>
      <c r="L6">
        <v>44030</v>
      </c>
      <c r="M6">
        <v>51030</v>
      </c>
      <c r="N6">
        <v>52030</v>
      </c>
      <c r="O6">
        <v>53030</v>
      </c>
      <c r="P6">
        <v>54030</v>
      </c>
      <c r="R6">
        <v>53400</v>
      </c>
      <c r="S6">
        <v>43010</v>
      </c>
      <c r="U6">
        <v>3</v>
      </c>
      <c r="V6">
        <v>52100</v>
      </c>
      <c r="W6">
        <v>43080</v>
      </c>
      <c r="X6">
        <v>34220</v>
      </c>
      <c r="Y6">
        <v>31180</v>
      </c>
    </row>
    <row r="7" spans="1:25">
      <c r="A7">
        <v>31040</v>
      </c>
      <c r="B7">
        <v>32040</v>
      </c>
      <c r="C7">
        <v>33040</v>
      </c>
      <c r="D7">
        <v>34050</v>
      </c>
      <c r="E7">
        <v>31290</v>
      </c>
      <c r="F7">
        <v>32300</v>
      </c>
      <c r="G7">
        <v>33250</v>
      </c>
      <c r="H7">
        <v>34250</v>
      </c>
      <c r="I7">
        <v>41040</v>
      </c>
      <c r="J7">
        <v>42040</v>
      </c>
      <c r="K7">
        <v>43040</v>
      </c>
      <c r="L7">
        <v>44040</v>
      </c>
      <c r="M7">
        <v>51040</v>
      </c>
      <c r="N7">
        <v>52040</v>
      </c>
      <c r="O7">
        <v>53040</v>
      </c>
      <c r="P7">
        <v>54040</v>
      </c>
      <c r="R7">
        <v>52100</v>
      </c>
      <c r="S7">
        <v>34700</v>
      </c>
      <c r="U7">
        <v>4</v>
      </c>
      <c r="V7">
        <v>54190</v>
      </c>
      <c r="W7">
        <v>41130</v>
      </c>
      <c r="X7">
        <v>32390</v>
      </c>
      <c r="Y7">
        <v>33070</v>
      </c>
    </row>
    <row r="8" spans="1:25">
      <c r="A8">
        <v>31050</v>
      </c>
      <c r="B8">
        <v>32050</v>
      </c>
      <c r="C8">
        <v>33050</v>
      </c>
      <c r="D8">
        <v>34060</v>
      </c>
      <c r="E8">
        <v>31300</v>
      </c>
      <c r="F8">
        <v>32310</v>
      </c>
      <c r="G8">
        <v>33260</v>
      </c>
      <c r="H8">
        <v>34260</v>
      </c>
      <c r="I8">
        <v>41050</v>
      </c>
      <c r="J8">
        <v>42050</v>
      </c>
      <c r="K8">
        <v>43050</v>
      </c>
      <c r="L8">
        <v>44050</v>
      </c>
      <c r="M8">
        <v>51070</v>
      </c>
      <c r="N8">
        <v>52070</v>
      </c>
      <c r="O8">
        <v>53100</v>
      </c>
      <c r="P8">
        <v>54070</v>
      </c>
      <c r="R8">
        <v>52270</v>
      </c>
      <c r="S8">
        <v>34220</v>
      </c>
      <c r="U8">
        <v>1</v>
      </c>
      <c r="V8">
        <v>52310</v>
      </c>
      <c r="W8">
        <v>41270</v>
      </c>
      <c r="X8">
        <v>34630</v>
      </c>
      <c r="Y8">
        <v>33120</v>
      </c>
    </row>
    <row r="9" spans="1:25">
      <c r="A9">
        <v>31060</v>
      </c>
      <c r="B9">
        <v>32060</v>
      </c>
      <c r="C9">
        <v>33060</v>
      </c>
      <c r="D9">
        <v>34080</v>
      </c>
      <c r="E9">
        <v>31310</v>
      </c>
      <c r="F9">
        <v>32320</v>
      </c>
      <c r="G9">
        <v>33320</v>
      </c>
      <c r="H9">
        <v>34320</v>
      </c>
      <c r="I9">
        <v>41070</v>
      </c>
      <c r="J9">
        <v>42060</v>
      </c>
      <c r="K9">
        <v>43060</v>
      </c>
      <c r="L9">
        <v>44060</v>
      </c>
      <c r="M9">
        <v>51080</v>
      </c>
      <c r="N9">
        <v>52080</v>
      </c>
      <c r="O9">
        <v>53110</v>
      </c>
      <c r="P9">
        <v>54100</v>
      </c>
      <c r="R9">
        <v>51280</v>
      </c>
      <c r="S9">
        <v>32540</v>
      </c>
      <c r="U9">
        <v>2</v>
      </c>
      <c r="V9">
        <v>51350</v>
      </c>
      <c r="W9">
        <v>44150</v>
      </c>
      <c r="X9">
        <v>33410</v>
      </c>
      <c r="Y9">
        <v>32150</v>
      </c>
    </row>
    <row r="10" spans="1:25">
      <c r="A10">
        <v>31070</v>
      </c>
      <c r="B10">
        <v>32070</v>
      </c>
      <c r="C10">
        <v>33070</v>
      </c>
      <c r="D10">
        <v>34090</v>
      </c>
      <c r="E10">
        <v>31320</v>
      </c>
      <c r="F10">
        <v>32330</v>
      </c>
      <c r="G10">
        <v>33330</v>
      </c>
      <c r="H10">
        <v>34330</v>
      </c>
      <c r="I10">
        <v>41080</v>
      </c>
      <c r="J10">
        <v>42070</v>
      </c>
      <c r="K10">
        <v>43070</v>
      </c>
      <c r="L10">
        <v>44070</v>
      </c>
      <c r="M10">
        <v>51120</v>
      </c>
      <c r="N10">
        <v>52100</v>
      </c>
      <c r="O10">
        <v>53140</v>
      </c>
      <c r="P10">
        <v>54110</v>
      </c>
      <c r="R10">
        <v>54010</v>
      </c>
      <c r="S10">
        <v>41070</v>
      </c>
      <c r="U10">
        <v>3</v>
      </c>
      <c r="V10">
        <v>63030</v>
      </c>
      <c r="W10">
        <v>42090</v>
      </c>
      <c r="X10">
        <v>31370</v>
      </c>
      <c r="Y10">
        <v>34080</v>
      </c>
    </row>
    <row r="11" spans="1:25">
      <c r="A11">
        <v>31080</v>
      </c>
      <c r="B11">
        <v>32080</v>
      </c>
      <c r="C11">
        <v>33080</v>
      </c>
      <c r="D11">
        <v>34100</v>
      </c>
      <c r="E11">
        <v>31330</v>
      </c>
      <c r="F11">
        <v>32340</v>
      </c>
      <c r="G11">
        <v>33340</v>
      </c>
      <c r="H11">
        <v>34340</v>
      </c>
      <c r="I11">
        <v>41090</v>
      </c>
      <c r="J11">
        <v>42080</v>
      </c>
      <c r="K11">
        <v>43080</v>
      </c>
      <c r="L11">
        <v>44100</v>
      </c>
      <c r="M11">
        <v>51130</v>
      </c>
      <c r="N11">
        <v>52110</v>
      </c>
      <c r="O11">
        <v>53160</v>
      </c>
      <c r="P11">
        <v>54120</v>
      </c>
      <c r="R11">
        <v>53290</v>
      </c>
      <c r="S11">
        <v>43060</v>
      </c>
      <c r="U11">
        <v>4</v>
      </c>
      <c r="V11">
        <v>54330</v>
      </c>
      <c r="W11">
        <v>43130</v>
      </c>
      <c r="X11">
        <v>32220</v>
      </c>
      <c r="Y11">
        <v>31080</v>
      </c>
    </row>
    <row r="12" spans="1:25">
      <c r="A12">
        <v>31090</v>
      </c>
      <c r="B12">
        <v>32090</v>
      </c>
      <c r="C12">
        <v>33090</v>
      </c>
      <c r="D12">
        <v>34110</v>
      </c>
      <c r="E12">
        <v>31350</v>
      </c>
      <c r="F12">
        <v>32350</v>
      </c>
      <c r="G12">
        <v>33350</v>
      </c>
      <c r="H12">
        <v>34350</v>
      </c>
      <c r="I12">
        <v>41120</v>
      </c>
      <c r="J12">
        <v>42090</v>
      </c>
      <c r="K12">
        <v>43090</v>
      </c>
      <c r="L12">
        <v>44110</v>
      </c>
      <c r="M12">
        <v>51180</v>
      </c>
      <c r="N12">
        <v>52120</v>
      </c>
      <c r="O12">
        <v>53170</v>
      </c>
      <c r="P12">
        <v>54160</v>
      </c>
      <c r="R12">
        <v>51130</v>
      </c>
      <c r="S12">
        <v>33510</v>
      </c>
      <c r="U12">
        <v>1</v>
      </c>
      <c r="V12">
        <v>53180</v>
      </c>
      <c r="W12">
        <v>42200</v>
      </c>
      <c r="X12">
        <v>31300</v>
      </c>
      <c r="Y12">
        <v>34130</v>
      </c>
    </row>
    <row r="13" spans="1:25">
      <c r="A13">
        <v>31100</v>
      </c>
      <c r="B13">
        <v>32100</v>
      </c>
      <c r="C13">
        <v>33100</v>
      </c>
      <c r="D13">
        <v>34120</v>
      </c>
      <c r="E13">
        <v>31360</v>
      </c>
      <c r="F13">
        <v>32360</v>
      </c>
      <c r="G13">
        <v>33360</v>
      </c>
      <c r="H13">
        <v>34360</v>
      </c>
      <c r="I13">
        <v>41130</v>
      </c>
      <c r="J13">
        <v>42120</v>
      </c>
      <c r="K13">
        <v>43110</v>
      </c>
      <c r="L13">
        <v>44120</v>
      </c>
      <c r="M13">
        <v>51190</v>
      </c>
      <c r="N13">
        <v>52150</v>
      </c>
      <c r="O13">
        <v>53180</v>
      </c>
      <c r="P13">
        <v>54180</v>
      </c>
      <c r="R13">
        <v>54390</v>
      </c>
      <c r="S13">
        <v>34660</v>
      </c>
      <c r="U13">
        <v>2</v>
      </c>
      <c r="V13">
        <v>52270</v>
      </c>
      <c r="W13">
        <v>41260</v>
      </c>
      <c r="X13">
        <v>34320</v>
      </c>
      <c r="Y13">
        <v>33120</v>
      </c>
    </row>
    <row r="14" spans="1:25">
      <c r="A14">
        <v>31110</v>
      </c>
      <c r="B14">
        <v>32110</v>
      </c>
      <c r="C14">
        <v>33110</v>
      </c>
      <c r="D14">
        <v>34130</v>
      </c>
      <c r="E14">
        <v>31370</v>
      </c>
      <c r="F14">
        <v>32370</v>
      </c>
      <c r="G14">
        <v>33370</v>
      </c>
      <c r="H14">
        <v>34370</v>
      </c>
      <c r="I14">
        <v>41150</v>
      </c>
      <c r="J14">
        <v>42140</v>
      </c>
      <c r="K14">
        <v>43120</v>
      </c>
      <c r="L14">
        <v>44130</v>
      </c>
      <c r="M14">
        <v>51200</v>
      </c>
      <c r="N14">
        <v>52170</v>
      </c>
      <c r="O14">
        <v>53190</v>
      </c>
      <c r="P14">
        <v>54190</v>
      </c>
      <c r="R14">
        <v>53140</v>
      </c>
      <c r="S14">
        <v>42240</v>
      </c>
      <c r="U14">
        <v>3</v>
      </c>
      <c r="V14">
        <v>54460</v>
      </c>
      <c r="W14">
        <v>43220</v>
      </c>
      <c r="X14">
        <v>32340</v>
      </c>
      <c r="Y14">
        <v>31020</v>
      </c>
    </row>
    <row r="15" spans="1:25">
      <c r="A15">
        <v>31120</v>
      </c>
      <c r="B15">
        <v>32130</v>
      </c>
      <c r="C15">
        <v>33120</v>
      </c>
      <c r="D15">
        <v>34140</v>
      </c>
      <c r="E15">
        <v>31380</v>
      </c>
      <c r="F15">
        <v>32380</v>
      </c>
      <c r="G15">
        <v>33380</v>
      </c>
      <c r="H15">
        <v>34380</v>
      </c>
      <c r="I15">
        <v>41160</v>
      </c>
      <c r="J15">
        <v>42150</v>
      </c>
      <c r="K15">
        <v>43130</v>
      </c>
      <c r="L15">
        <v>44150</v>
      </c>
      <c r="M15">
        <v>51220</v>
      </c>
      <c r="N15">
        <v>52180</v>
      </c>
      <c r="O15">
        <v>53200</v>
      </c>
      <c r="P15">
        <v>54200</v>
      </c>
      <c r="R15">
        <v>52070</v>
      </c>
      <c r="S15">
        <v>31630</v>
      </c>
      <c r="U15">
        <v>4</v>
      </c>
      <c r="V15">
        <v>51390</v>
      </c>
      <c r="W15">
        <v>44180</v>
      </c>
      <c r="X15">
        <v>33490</v>
      </c>
      <c r="Y15">
        <v>32070</v>
      </c>
    </row>
    <row r="16" spans="1:25">
      <c r="A16">
        <v>31130</v>
      </c>
      <c r="B16">
        <v>32140</v>
      </c>
      <c r="C16">
        <v>33130</v>
      </c>
      <c r="D16">
        <v>34150</v>
      </c>
      <c r="E16">
        <v>31390</v>
      </c>
      <c r="F16">
        <v>32390</v>
      </c>
      <c r="G16">
        <v>33390</v>
      </c>
      <c r="H16">
        <v>34390</v>
      </c>
      <c r="I16">
        <v>41170</v>
      </c>
      <c r="J16">
        <v>42180</v>
      </c>
      <c r="K16">
        <v>43140</v>
      </c>
      <c r="L16">
        <v>44160</v>
      </c>
      <c r="M16">
        <v>51230</v>
      </c>
      <c r="N16">
        <v>52190</v>
      </c>
      <c r="O16">
        <v>53210</v>
      </c>
      <c r="P16">
        <v>54220</v>
      </c>
      <c r="R16">
        <v>51130</v>
      </c>
      <c r="S16">
        <v>34530</v>
      </c>
      <c r="U16">
        <v>1</v>
      </c>
      <c r="V16">
        <v>54270</v>
      </c>
      <c r="W16">
        <v>43110</v>
      </c>
      <c r="X16">
        <v>32360</v>
      </c>
      <c r="Y16">
        <v>31040</v>
      </c>
    </row>
    <row r="17" spans="1:25">
      <c r="A17">
        <v>31150</v>
      </c>
      <c r="B17">
        <v>32150</v>
      </c>
      <c r="C17">
        <v>33140</v>
      </c>
      <c r="D17">
        <v>34160</v>
      </c>
      <c r="E17">
        <v>31400</v>
      </c>
      <c r="F17">
        <v>32400</v>
      </c>
      <c r="G17">
        <v>33400</v>
      </c>
      <c r="H17">
        <v>34400</v>
      </c>
      <c r="I17">
        <v>41190</v>
      </c>
      <c r="J17">
        <v>42190</v>
      </c>
      <c r="K17">
        <v>43150</v>
      </c>
      <c r="L17">
        <v>44180</v>
      </c>
      <c r="M17">
        <v>51240</v>
      </c>
      <c r="N17">
        <v>52200</v>
      </c>
      <c r="O17">
        <v>53220</v>
      </c>
      <c r="P17">
        <v>54230</v>
      </c>
      <c r="R17">
        <v>53210</v>
      </c>
      <c r="S17">
        <v>31480</v>
      </c>
      <c r="U17">
        <v>2</v>
      </c>
      <c r="V17">
        <v>52380</v>
      </c>
      <c r="W17">
        <v>41070</v>
      </c>
      <c r="X17">
        <v>34690</v>
      </c>
      <c r="Y17">
        <v>33110</v>
      </c>
    </row>
    <row r="18" spans="1:25">
      <c r="A18">
        <v>31160</v>
      </c>
      <c r="B18">
        <v>32160</v>
      </c>
      <c r="C18">
        <v>33160</v>
      </c>
      <c r="D18">
        <v>34170</v>
      </c>
      <c r="E18">
        <v>31410</v>
      </c>
      <c r="F18">
        <v>32410</v>
      </c>
      <c r="G18">
        <v>33410</v>
      </c>
      <c r="H18">
        <v>34420</v>
      </c>
      <c r="I18">
        <v>41200</v>
      </c>
      <c r="J18">
        <v>42200</v>
      </c>
      <c r="K18">
        <v>43160</v>
      </c>
      <c r="L18">
        <v>44190</v>
      </c>
      <c r="M18">
        <v>51250</v>
      </c>
      <c r="N18">
        <v>52210</v>
      </c>
      <c r="O18">
        <v>53240</v>
      </c>
      <c r="P18">
        <v>54240</v>
      </c>
      <c r="R18">
        <v>52070</v>
      </c>
      <c r="S18">
        <v>42240</v>
      </c>
      <c r="U18">
        <v>3</v>
      </c>
      <c r="V18">
        <v>53460</v>
      </c>
      <c r="W18">
        <v>42140</v>
      </c>
      <c r="X18">
        <v>31660</v>
      </c>
      <c r="Y18">
        <v>34060</v>
      </c>
    </row>
    <row r="19" spans="1:25">
      <c r="A19">
        <v>31170</v>
      </c>
      <c r="B19">
        <v>32170</v>
      </c>
      <c r="C19">
        <v>33170</v>
      </c>
      <c r="D19">
        <v>34180</v>
      </c>
      <c r="E19">
        <v>31420</v>
      </c>
      <c r="F19">
        <v>32420</v>
      </c>
      <c r="G19">
        <v>33420</v>
      </c>
      <c r="H19">
        <v>34430</v>
      </c>
      <c r="I19">
        <v>41210</v>
      </c>
      <c r="J19">
        <v>42210</v>
      </c>
      <c r="K19">
        <v>43190</v>
      </c>
      <c r="L19">
        <v>44200</v>
      </c>
      <c r="M19">
        <v>51270</v>
      </c>
      <c r="N19">
        <v>52230</v>
      </c>
      <c r="O19">
        <v>53260</v>
      </c>
      <c r="P19">
        <v>54260</v>
      </c>
      <c r="R19">
        <v>54310</v>
      </c>
      <c r="S19">
        <v>33610</v>
      </c>
      <c r="U19">
        <v>4</v>
      </c>
      <c r="V19">
        <v>51290</v>
      </c>
      <c r="W19">
        <v>44030</v>
      </c>
      <c r="X19">
        <v>33580</v>
      </c>
      <c r="Y19">
        <v>32040</v>
      </c>
    </row>
    <row r="20" spans="1:25">
      <c r="A20">
        <v>31180</v>
      </c>
      <c r="B20">
        <v>32180</v>
      </c>
      <c r="C20">
        <v>33180</v>
      </c>
      <c r="D20">
        <v>34190</v>
      </c>
      <c r="E20">
        <v>31430</v>
      </c>
      <c r="F20">
        <v>32430</v>
      </c>
      <c r="G20">
        <v>33430</v>
      </c>
      <c r="H20">
        <v>34440</v>
      </c>
      <c r="I20">
        <v>41220</v>
      </c>
      <c r="J20">
        <v>42240</v>
      </c>
      <c r="K20">
        <v>43200</v>
      </c>
      <c r="L20">
        <v>44220</v>
      </c>
      <c r="M20">
        <v>51280</v>
      </c>
      <c r="N20">
        <v>52240</v>
      </c>
      <c r="O20">
        <v>53270</v>
      </c>
      <c r="P20">
        <v>54270</v>
      </c>
      <c r="R20">
        <v>53290</v>
      </c>
      <c r="S20">
        <v>32290</v>
      </c>
      <c r="U20">
        <v>1</v>
      </c>
      <c r="V20">
        <v>53350</v>
      </c>
      <c r="W20">
        <v>42040</v>
      </c>
      <c r="X20">
        <v>31320</v>
      </c>
      <c r="Y20">
        <v>34120</v>
      </c>
    </row>
    <row r="21" spans="1:25">
      <c r="A21">
        <v>31190</v>
      </c>
      <c r="B21">
        <v>32190</v>
      </c>
      <c r="C21">
        <v>33190</v>
      </c>
      <c r="D21">
        <v>34200</v>
      </c>
      <c r="E21">
        <v>31440</v>
      </c>
      <c r="F21">
        <v>32440</v>
      </c>
      <c r="G21">
        <v>33440</v>
      </c>
      <c r="H21">
        <v>34460</v>
      </c>
      <c r="I21">
        <v>41230</v>
      </c>
      <c r="J21">
        <v>42250</v>
      </c>
      <c r="K21">
        <v>43220</v>
      </c>
      <c r="L21">
        <v>44230</v>
      </c>
      <c r="M21">
        <v>51290</v>
      </c>
      <c r="N21">
        <v>52260</v>
      </c>
      <c r="O21">
        <v>53280</v>
      </c>
      <c r="P21">
        <v>54280</v>
      </c>
      <c r="R21">
        <v>64020</v>
      </c>
      <c r="S21">
        <v>33610</v>
      </c>
      <c r="U21">
        <v>2</v>
      </c>
      <c r="V21">
        <v>52330</v>
      </c>
      <c r="W21">
        <v>41030</v>
      </c>
      <c r="X21">
        <v>34520</v>
      </c>
      <c r="Y21">
        <v>33180</v>
      </c>
    </row>
    <row r="22" spans="1:25">
      <c r="A22">
        <v>31200</v>
      </c>
      <c r="B22">
        <v>32200</v>
      </c>
      <c r="C22">
        <v>33200</v>
      </c>
      <c r="D22">
        <v>34210</v>
      </c>
      <c r="E22">
        <v>31450</v>
      </c>
      <c r="F22">
        <v>32450</v>
      </c>
      <c r="G22">
        <v>33450</v>
      </c>
      <c r="H22">
        <v>34470</v>
      </c>
      <c r="I22">
        <v>41240</v>
      </c>
      <c r="J22">
        <v>42260</v>
      </c>
      <c r="K22">
        <v>43240</v>
      </c>
      <c r="L22">
        <v>44240</v>
      </c>
      <c r="M22">
        <v>51300</v>
      </c>
      <c r="N22">
        <v>52270</v>
      </c>
      <c r="O22">
        <v>53290</v>
      </c>
      <c r="P22">
        <v>54290</v>
      </c>
      <c r="R22">
        <v>52010</v>
      </c>
      <c r="S22">
        <v>34570</v>
      </c>
      <c r="U22">
        <v>3</v>
      </c>
      <c r="V22">
        <v>51440</v>
      </c>
      <c r="W22">
        <v>44300</v>
      </c>
      <c r="X22">
        <v>33480</v>
      </c>
      <c r="Y22">
        <v>32010</v>
      </c>
    </row>
    <row r="23" spans="1:25">
      <c r="A23">
        <v>31210</v>
      </c>
      <c r="B23">
        <v>32210</v>
      </c>
      <c r="C23">
        <v>33210</v>
      </c>
      <c r="D23">
        <v>34230</v>
      </c>
      <c r="E23">
        <v>31460</v>
      </c>
      <c r="F23">
        <v>32460</v>
      </c>
      <c r="G23">
        <v>33460</v>
      </c>
      <c r="H23">
        <v>34480</v>
      </c>
      <c r="I23">
        <v>41260</v>
      </c>
      <c r="J23">
        <v>42280</v>
      </c>
      <c r="K23">
        <v>43250</v>
      </c>
      <c r="L23">
        <v>44250</v>
      </c>
      <c r="M23">
        <v>51310</v>
      </c>
      <c r="N23">
        <v>52280</v>
      </c>
      <c r="O23">
        <v>53300</v>
      </c>
      <c r="P23">
        <v>54300</v>
      </c>
      <c r="R23">
        <v>61020</v>
      </c>
      <c r="S23">
        <v>31330</v>
      </c>
      <c r="U23">
        <v>4</v>
      </c>
      <c r="V23">
        <v>54320</v>
      </c>
      <c r="W23">
        <v>43290</v>
      </c>
      <c r="X23">
        <v>32480</v>
      </c>
      <c r="Y23">
        <v>31160</v>
      </c>
    </row>
    <row r="24" spans="1:25">
      <c r="C24">
        <v>33230</v>
      </c>
      <c r="D24">
        <v>34240</v>
      </c>
      <c r="E24">
        <v>31470</v>
      </c>
      <c r="F24">
        <v>32470</v>
      </c>
      <c r="G24">
        <v>33470</v>
      </c>
      <c r="H24">
        <v>34490</v>
      </c>
      <c r="I24">
        <v>41270</v>
      </c>
      <c r="J24">
        <v>42310</v>
      </c>
      <c r="K24">
        <v>43260</v>
      </c>
      <c r="L24">
        <v>44260</v>
      </c>
      <c r="M24">
        <v>51320</v>
      </c>
      <c r="N24">
        <v>52290</v>
      </c>
      <c r="O24">
        <v>53320</v>
      </c>
      <c r="P24">
        <v>54310</v>
      </c>
      <c r="R24">
        <v>51280</v>
      </c>
      <c r="S24">
        <v>32600</v>
      </c>
      <c r="U24">
        <v>1</v>
      </c>
      <c r="V24">
        <v>52270</v>
      </c>
      <c r="W24">
        <v>43140</v>
      </c>
      <c r="X24">
        <v>34560</v>
      </c>
      <c r="Y24">
        <v>31100</v>
      </c>
    </row>
    <row r="25" spans="1:25">
      <c r="E25">
        <v>31480</v>
      </c>
      <c r="F25">
        <v>32480</v>
      </c>
      <c r="G25">
        <v>33480</v>
      </c>
      <c r="H25">
        <v>34500</v>
      </c>
      <c r="I25">
        <v>41280</v>
      </c>
      <c r="J25">
        <v>42320</v>
      </c>
      <c r="K25">
        <v>43280</v>
      </c>
      <c r="L25">
        <v>44270</v>
      </c>
      <c r="M25">
        <v>51330</v>
      </c>
      <c r="N25">
        <v>52300</v>
      </c>
      <c r="O25">
        <v>53330</v>
      </c>
      <c r="P25">
        <v>54320</v>
      </c>
      <c r="R25">
        <v>53300</v>
      </c>
      <c r="S25">
        <v>41210</v>
      </c>
      <c r="U25">
        <v>2</v>
      </c>
      <c r="V25">
        <v>54450</v>
      </c>
      <c r="W25">
        <v>41270</v>
      </c>
      <c r="X25">
        <v>32530</v>
      </c>
      <c r="Y25">
        <v>33170</v>
      </c>
    </row>
    <row r="26" spans="1:25">
      <c r="E26">
        <v>31490</v>
      </c>
      <c r="F26">
        <v>32490</v>
      </c>
      <c r="G26">
        <v>33490</v>
      </c>
      <c r="H26">
        <v>34510</v>
      </c>
      <c r="I26">
        <v>41310</v>
      </c>
      <c r="K26">
        <v>43290</v>
      </c>
      <c r="L26">
        <v>44300</v>
      </c>
      <c r="M26">
        <v>51340</v>
      </c>
      <c r="N26">
        <v>52310</v>
      </c>
      <c r="O26">
        <v>53340</v>
      </c>
      <c r="P26">
        <v>54330</v>
      </c>
      <c r="R26">
        <v>54280</v>
      </c>
      <c r="S26">
        <v>44330</v>
      </c>
      <c r="U26">
        <v>3</v>
      </c>
      <c r="V26">
        <v>51180</v>
      </c>
      <c r="W26">
        <v>42030</v>
      </c>
      <c r="X26">
        <v>33650</v>
      </c>
      <c r="Y26">
        <v>34110</v>
      </c>
    </row>
    <row r="27" spans="1:25">
      <c r="E27">
        <v>31500</v>
      </c>
      <c r="F27">
        <v>32500</v>
      </c>
      <c r="G27">
        <v>33500</v>
      </c>
      <c r="H27">
        <v>34520</v>
      </c>
      <c r="I27">
        <v>41320</v>
      </c>
      <c r="K27">
        <v>43310</v>
      </c>
      <c r="L27">
        <v>44320</v>
      </c>
      <c r="M27">
        <v>51350</v>
      </c>
      <c r="N27">
        <v>52330</v>
      </c>
      <c r="O27">
        <v>53350</v>
      </c>
      <c r="P27">
        <v>54350</v>
      </c>
      <c r="R27">
        <v>52190</v>
      </c>
      <c r="S27">
        <v>33710</v>
      </c>
      <c r="U27">
        <v>4</v>
      </c>
      <c r="V27">
        <v>53100</v>
      </c>
      <c r="W27">
        <v>44160</v>
      </c>
      <c r="X27">
        <v>31550</v>
      </c>
      <c r="Y27">
        <v>32190</v>
      </c>
    </row>
    <row r="28" spans="1:25">
      <c r="E28">
        <v>31510</v>
      </c>
      <c r="F28">
        <v>32510</v>
      </c>
      <c r="G28">
        <v>33510</v>
      </c>
      <c r="H28">
        <v>34530</v>
      </c>
      <c r="I28">
        <v>41350</v>
      </c>
      <c r="K28">
        <v>43320</v>
      </c>
      <c r="L28">
        <v>44330</v>
      </c>
      <c r="M28">
        <v>51360</v>
      </c>
      <c r="N28">
        <v>52340</v>
      </c>
      <c r="O28">
        <v>53360</v>
      </c>
      <c r="P28">
        <v>54360</v>
      </c>
      <c r="R28">
        <v>53010</v>
      </c>
      <c r="S28">
        <v>44270</v>
      </c>
      <c r="U28">
        <v>1</v>
      </c>
      <c r="V28">
        <v>54290</v>
      </c>
      <c r="W28">
        <v>43150</v>
      </c>
      <c r="X28">
        <v>32540</v>
      </c>
      <c r="Y28">
        <v>31060</v>
      </c>
    </row>
    <row r="29" spans="1:25">
      <c r="E29">
        <v>31520</v>
      </c>
      <c r="F29">
        <v>32520</v>
      </c>
      <c r="G29">
        <v>33520</v>
      </c>
      <c r="H29">
        <v>34540</v>
      </c>
      <c r="L29">
        <v>44350</v>
      </c>
      <c r="M29">
        <v>51370</v>
      </c>
      <c r="N29">
        <v>52360</v>
      </c>
      <c r="O29">
        <v>53370</v>
      </c>
      <c r="P29">
        <v>54370</v>
      </c>
      <c r="R29">
        <v>51390</v>
      </c>
      <c r="S29">
        <v>42150</v>
      </c>
      <c r="U29">
        <v>2</v>
      </c>
      <c r="V29">
        <v>51460</v>
      </c>
      <c r="W29">
        <v>44060</v>
      </c>
      <c r="X29">
        <v>33420</v>
      </c>
      <c r="Y29">
        <v>32180</v>
      </c>
    </row>
    <row r="30" spans="1:25">
      <c r="E30">
        <v>31530</v>
      </c>
      <c r="F30">
        <v>32530</v>
      </c>
      <c r="G30">
        <v>33530</v>
      </c>
      <c r="H30">
        <v>34550</v>
      </c>
      <c r="M30">
        <v>51390</v>
      </c>
      <c r="N30">
        <v>52370</v>
      </c>
      <c r="O30">
        <v>53380</v>
      </c>
      <c r="P30">
        <v>54380</v>
      </c>
      <c r="R30">
        <v>54020</v>
      </c>
      <c r="S30">
        <v>41260</v>
      </c>
      <c r="U30">
        <v>3</v>
      </c>
      <c r="V30">
        <v>53030</v>
      </c>
      <c r="W30">
        <v>42120</v>
      </c>
      <c r="X30">
        <v>31360</v>
      </c>
      <c r="Y30">
        <v>34100</v>
      </c>
    </row>
    <row r="31" spans="1:25">
      <c r="E31">
        <v>31540</v>
      </c>
      <c r="F31">
        <v>32540</v>
      </c>
      <c r="G31">
        <v>33540</v>
      </c>
      <c r="H31">
        <v>34560</v>
      </c>
      <c r="M31">
        <v>51400</v>
      </c>
      <c r="N31">
        <v>52380</v>
      </c>
      <c r="O31">
        <v>53400</v>
      </c>
      <c r="P31">
        <v>54390</v>
      </c>
      <c r="R31">
        <v>52230</v>
      </c>
      <c r="S31">
        <v>43310</v>
      </c>
      <c r="U31">
        <v>4</v>
      </c>
      <c r="V31">
        <v>52310</v>
      </c>
      <c r="W31">
        <v>41280</v>
      </c>
      <c r="X31">
        <v>34590</v>
      </c>
      <c r="Y31">
        <v>33230</v>
      </c>
    </row>
    <row r="32" spans="1:25">
      <c r="E32">
        <v>31550</v>
      </c>
      <c r="F32">
        <v>32550</v>
      </c>
      <c r="G32">
        <v>33550</v>
      </c>
      <c r="H32">
        <v>34570</v>
      </c>
      <c r="M32">
        <v>51410</v>
      </c>
      <c r="N32">
        <v>52390</v>
      </c>
      <c r="O32">
        <v>53410</v>
      </c>
      <c r="P32">
        <v>54400</v>
      </c>
      <c r="R32">
        <v>64030</v>
      </c>
      <c r="S32">
        <v>34400</v>
      </c>
      <c r="U32">
        <v>1</v>
      </c>
      <c r="V32">
        <v>53210</v>
      </c>
      <c r="W32">
        <v>42260</v>
      </c>
      <c r="X32">
        <v>31460</v>
      </c>
      <c r="Y32">
        <v>34210</v>
      </c>
    </row>
    <row r="33" spans="5:25">
      <c r="E33">
        <v>31560</v>
      </c>
      <c r="F33">
        <v>32560</v>
      </c>
      <c r="G33">
        <v>33560</v>
      </c>
      <c r="H33">
        <v>34580</v>
      </c>
      <c r="M33">
        <v>51420</v>
      </c>
      <c r="N33">
        <v>52400</v>
      </c>
      <c r="O33">
        <v>53420</v>
      </c>
      <c r="P33">
        <v>54410</v>
      </c>
      <c r="R33">
        <v>61020</v>
      </c>
      <c r="S33">
        <v>41090</v>
      </c>
      <c r="U33">
        <v>2</v>
      </c>
      <c r="V33">
        <v>52180</v>
      </c>
      <c r="W33">
        <v>41190</v>
      </c>
      <c r="X33">
        <v>34350</v>
      </c>
      <c r="Y33">
        <v>33020</v>
      </c>
    </row>
    <row r="34" spans="5:25">
      <c r="E34">
        <v>31570</v>
      </c>
      <c r="F34">
        <v>32570</v>
      </c>
      <c r="G34">
        <v>33570</v>
      </c>
      <c r="H34">
        <v>34590</v>
      </c>
      <c r="M34">
        <v>51430</v>
      </c>
      <c r="N34">
        <v>52410</v>
      </c>
      <c r="O34">
        <v>53430</v>
      </c>
      <c r="P34">
        <v>54420</v>
      </c>
      <c r="R34">
        <v>53430</v>
      </c>
      <c r="S34">
        <v>43220</v>
      </c>
      <c r="U34">
        <v>3</v>
      </c>
      <c r="V34">
        <v>54200</v>
      </c>
      <c r="W34">
        <v>43250</v>
      </c>
      <c r="X34">
        <v>32510</v>
      </c>
      <c r="Y34">
        <v>31180</v>
      </c>
    </row>
    <row r="35" spans="5:25">
      <c r="E35">
        <v>31580</v>
      </c>
      <c r="F35">
        <v>32580</v>
      </c>
      <c r="G35">
        <v>33580</v>
      </c>
      <c r="H35">
        <v>34600</v>
      </c>
      <c r="M35">
        <v>51440</v>
      </c>
      <c r="N35">
        <v>52420</v>
      </c>
      <c r="O35">
        <v>53450</v>
      </c>
      <c r="P35">
        <v>54430</v>
      </c>
      <c r="R35">
        <v>52240</v>
      </c>
      <c r="S35">
        <v>42040</v>
      </c>
      <c r="U35">
        <v>4</v>
      </c>
      <c r="V35">
        <v>51180</v>
      </c>
      <c r="W35">
        <v>44020</v>
      </c>
      <c r="X35">
        <v>33570</v>
      </c>
      <c r="Y35">
        <v>32200</v>
      </c>
    </row>
    <row r="36" spans="5:25">
      <c r="E36">
        <v>31590</v>
      </c>
      <c r="F36">
        <v>32590</v>
      </c>
      <c r="G36">
        <v>33590</v>
      </c>
      <c r="H36">
        <v>34610</v>
      </c>
      <c r="M36">
        <v>51450</v>
      </c>
      <c r="N36">
        <v>52430</v>
      </c>
      <c r="O36">
        <v>53460</v>
      </c>
      <c r="P36">
        <v>54440</v>
      </c>
      <c r="R36">
        <v>52010</v>
      </c>
      <c r="S36">
        <v>33620</v>
      </c>
      <c r="U36">
        <v>1</v>
      </c>
      <c r="V36">
        <v>53370</v>
      </c>
      <c r="W36">
        <v>44220</v>
      </c>
      <c r="X36">
        <v>31390</v>
      </c>
      <c r="Y36">
        <v>32060</v>
      </c>
    </row>
    <row r="37" spans="5:25">
      <c r="E37">
        <v>31600</v>
      </c>
      <c r="F37">
        <v>32600</v>
      </c>
      <c r="G37">
        <v>33600</v>
      </c>
      <c r="H37">
        <v>34620</v>
      </c>
      <c r="M37">
        <v>51460</v>
      </c>
      <c r="N37">
        <v>52450</v>
      </c>
      <c r="O37">
        <v>53470</v>
      </c>
      <c r="P37">
        <v>54450</v>
      </c>
      <c r="R37">
        <v>61040</v>
      </c>
      <c r="S37">
        <v>44110</v>
      </c>
      <c r="U37">
        <v>2</v>
      </c>
      <c r="V37">
        <v>52100</v>
      </c>
      <c r="W37">
        <v>43040</v>
      </c>
      <c r="X37">
        <v>34660</v>
      </c>
      <c r="Y37">
        <v>31040</v>
      </c>
    </row>
    <row r="38" spans="5:25">
      <c r="E38">
        <v>31610</v>
      </c>
      <c r="F38">
        <v>32610</v>
      </c>
      <c r="G38">
        <v>33610</v>
      </c>
      <c r="H38">
        <v>34630</v>
      </c>
      <c r="M38">
        <v>51470</v>
      </c>
      <c r="N38">
        <v>52460</v>
      </c>
      <c r="O38">
        <v>63010</v>
      </c>
      <c r="P38">
        <v>54460</v>
      </c>
      <c r="R38">
        <v>54360</v>
      </c>
      <c r="S38">
        <v>31570</v>
      </c>
      <c r="U38">
        <v>3</v>
      </c>
      <c r="V38">
        <v>54110</v>
      </c>
      <c r="W38">
        <v>41090</v>
      </c>
      <c r="X38">
        <v>32600</v>
      </c>
      <c r="Y38">
        <v>33140</v>
      </c>
    </row>
    <row r="39" spans="5:25">
      <c r="E39">
        <v>31620</v>
      </c>
      <c r="F39">
        <v>32620</v>
      </c>
      <c r="G39">
        <v>33620</v>
      </c>
      <c r="H39">
        <v>34640</v>
      </c>
      <c r="M39">
        <v>61010</v>
      </c>
      <c r="N39">
        <v>62010</v>
      </c>
      <c r="O39">
        <v>63020</v>
      </c>
      <c r="P39">
        <v>54470</v>
      </c>
      <c r="R39">
        <v>53030</v>
      </c>
      <c r="S39">
        <v>32480</v>
      </c>
      <c r="U39">
        <v>4</v>
      </c>
      <c r="V39">
        <v>51430</v>
      </c>
      <c r="W39">
        <v>42250</v>
      </c>
      <c r="X39">
        <v>33260</v>
      </c>
      <c r="Y39">
        <v>34060</v>
      </c>
    </row>
    <row r="40" spans="5:25">
      <c r="E40">
        <v>31630</v>
      </c>
      <c r="F40">
        <v>32630</v>
      </c>
      <c r="G40">
        <v>33630</v>
      </c>
      <c r="H40">
        <v>34650</v>
      </c>
      <c r="M40">
        <v>61020</v>
      </c>
      <c r="N40">
        <v>62020</v>
      </c>
      <c r="O40">
        <v>63030</v>
      </c>
      <c r="P40">
        <v>64010</v>
      </c>
      <c r="R40">
        <v>51200</v>
      </c>
      <c r="S40">
        <v>32430</v>
      </c>
      <c r="U40">
        <v>1</v>
      </c>
      <c r="V40">
        <v>53380</v>
      </c>
      <c r="W40">
        <v>44200</v>
      </c>
      <c r="X40">
        <v>31230</v>
      </c>
      <c r="Y40">
        <v>32020</v>
      </c>
    </row>
    <row r="41" spans="5:25">
      <c r="E41">
        <v>31640</v>
      </c>
      <c r="F41">
        <v>32640</v>
      </c>
      <c r="G41">
        <v>33640</v>
      </c>
      <c r="H41">
        <v>34660</v>
      </c>
      <c r="M41">
        <v>61040</v>
      </c>
      <c r="N41">
        <v>62030</v>
      </c>
      <c r="P41">
        <v>64020</v>
      </c>
      <c r="R41">
        <v>53460</v>
      </c>
      <c r="S41">
        <v>34330</v>
      </c>
      <c r="U41">
        <v>2</v>
      </c>
      <c r="V41">
        <v>52180</v>
      </c>
      <c r="W41">
        <v>43130</v>
      </c>
      <c r="X41">
        <v>34660</v>
      </c>
      <c r="Y41">
        <v>31170</v>
      </c>
    </row>
    <row r="42" spans="5:25">
      <c r="E42">
        <v>31650</v>
      </c>
      <c r="F42">
        <v>32650</v>
      </c>
      <c r="G42">
        <v>33650</v>
      </c>
      <c r="H42">
        <v>34670</v>
      </c>
      <c r="P42">
        <v>64030</v>
      </c>
      <c r="R42">
        <v>54310</v>
      </c>
      <c r="S42">
        <v>31540</v>
      </c>
      <c r="U42">
        <v>3</v>
      </c>
      <c r="V42">
        <v>54100</v>
      </c>
      <c r="W42">
        <v>41040</v>
      </c>
      <c r="X42">
        <v>32550</v>
      </c>
      <c r="Y42">
        <v>33010</v>
      </c>
    </row>
    <row r="43" spans="5:25">
      <c r="E43">
        <v>31660</v>
      </c>
      <c r="F43">
        <v>32660</v>
      </c>
      <c r="G43">
        <v>33660</v>
      </c>
      <c r="H43">
        <v>34680</v>
      </c>
      <c r="R43">
        <v>52170</v>
      </c>
      <c r="S43">
        <v>43050</v>
      </c>
      <c r="U43">
        <v>4</v>
      </c>
      <c r="V43">
        <v>51040</v>
      </c>
      <c r="W43">
        <v>42280</v>
      </c>
      <c r="X43">
        <v>33150</v>
      </c>
      <c r="Y43">
        <v>34110</v>
      </c>
    </row>
    <row r="44" spans="5:25">
      <c r="E44">
        <v>31670</v>
      </c>
      <c r="G44">
        <v>33670</v>
      </c>
      <c r="H44">
        <v>34690</v>
      </c>
      <c r="U44">
        <v>1</v>
      </c>
      <c r="V44">
        <v>54430</v>
      </c>
      <c r="W44">
        <v>41050</v>
      </c>
      <c r="X44">
        <v>32300</v>
      </c>
      <c r="Y44">
        <v>33200</v>
      </c>
    </row>
    <row r="45" spans="5:25">
      <c r="G45">
        <v>33680</v>
      </c>
      <c r="H45">
        <v>34700</v>
      </c>
      <c r="U45">
        <v>2</v>
      </c>
      <c r="V45">
        <v>52310</v>
      </c>
      <c r="W45">
        <v>43320</v>
      </c>
      <c r="X45">
        <v>34420</v>
      </c>
      <c r="Y45">
        <v>31190</v>
      </c>
    </row>
    <row r="46" spans="5:25">
      <c r="G46">
        <v>33710</v>
      </c>
      <c r="U46">
        <v>3</v>
      </c>
      <c r="V46">
        <v>63020</v>
      </c>
      <c r="W46">
        <v>44350</v>
      </c>
      <c r="X46">
        <v>31620</v>
      </c>
      <c r="Y46">
        <v>32100</v>
      </c>
    </row>
    <row r="47" spans="5:25">
      <c r="U47">
        <v>4</v>
      </c>
      <c r="V47">
        <v>51400</v>
      </c>
      <c r="W47">
        <v>42250</v>
      </c>
      <c r="X47">
        <v>33260</v>
      </c>
      <c r="Y47">
        <v>34230</v>
      </c>
    </row>
    <row r="48" spans="5:25">
      <c r="U48">
        <v>1</v>
      </c>
      <c r="V48">
        <v>52400</v>
      </c>
      <c r="W48">
        <v>43010</v>
      </c>
      <c r="X48">
        <v>34420</v>
      </c>
      <c r="Y48">
        <v>31100</v>
      </c>
    </row>
    <row r="49" spans="21:25">
      <c r="U49">
        <v>2</v>
      </c>
      <c r="V49">
        <v>53450</v>
      </c>
      <c r="W49">
        <v>44300</v>
      </c>
      <c r="X49">
        <v>31360</v>
      </c>
      <c r="Y49">
        <v>32110</v>
      </c>
    </row>
    <row r="50" spans="21:25">
      <c r="U50">
        <v>3</v>
      </c>
      <c r="V50">
        <v>54420</v>
      </c>
      <c r="W50">
        <v>41170</v>
      </c>
      <c r="X50">
        <v>32550</v>
      </c>
      <c r="Y50">
        <v>33230</v>
      </c>
    </row>
    <row r="51" spans="21:25">
      <c r="U51">
        <v>4</v>
      </c>
      <c r="V51">
        <v>51180</v>
      </c>
      <c r="W51">
        <v>42080</v>
      </c>
      <c r="X51">
        <v>33390</v>
      </c>
      <c r="Y51">
        <v>34230</v>
      </c>
    </row>
    <row r="52" spans="21:25">
      <c r="U52">
        <v>1</v>
      </c>
      <c r="V52">
        <v>52210</v>
      </c>
      <c r="W52">
        <v>41030</v>
      </c>
      <c r="X52">
        <v>34630</v>
      </c>
      <c r="Y52">
        <v>33170</v>
      </c>
    </row>
    <row r="53" spans="21:25">
      <c r="U53">
        <v>2</v>
      </c>
      <c r="V53">
        <v>51410</v>
      </c>
      <c r="W53">
        <v>44070</v>
      </c>
      <c r="X53">
        <v>33570</v>
      </c>
      <c r="Y53">
        <v>32170</v>
      </c>
    </row>
    <row r="54" spans="21:25">
      <c r="U54">
        <v>3</v>
      </c>
      <c r="V54">
        <v>54110</v>
      </c>
      <c r="W54">
        <v>43280</v>
      </c>
      <c r="X54">
        <v>32540</v>
      </c>
      <c r="Y54">
        <v>31110</v>
      </c>
    </row>
    <row r="55" spans="21:25">
      <c r="U55">
        <v>4</v>
      </c>
      <c r="V55">
        <v>53400</v>
      </c>
      <c r="W55">
        <v>42120</v>
      </c>
      <c r="X55">
        <v>31410</v>
      </c>
      <c r="Y55">
        <v>34050</v>
      </c>
    </row>
    <row r="56" spans="21:25">
      <c r="U56">
        <v>1</v>
      </c>
      <c r="V56">
        <v>51460</v>
      </c>
      <c r="W56">
        <v>42260</v>
      </c>
      <c r="X56">
        <v>33650</v>
      </c>
      <c r="Y56">
        <v>34140</v>
      </c>
    </row>
    <row r="57" spans="21:25">
      <c r="U57">
        <v>2</v>
      </c>
      <c r="V57">
        <v>52270</v>
      </c>
      <c r="W57">
        <v>43010</v>
      </c>
      <c r="X57">
        <v>34580</v>
      </c>
      <c r="Y57">
        <v>31080</v>
      </c>
    </row>
    <row r="58" spans="21:25">
      <c r="U58">
        <v>3</v>
      </c>
      <c r="V58">
        <v>53170</v>
      </c>
      <c r="W58">
        <v>44220</v>
      </c>
      <c r="X58">
        <v>31380</v>
      </c>
      <c r="Y58">
        <v>32160</v>
      </c>
    </row>
    <row r="59" spans="21:25">
      <c r="U59">
        <v>4</v>
      </c>
      <c r="V59">
        <v>54310</v>
      </c>
      <c r="W59">
        <v>41080</v>
      </c>
      <c r="X59">
        <v>32520</v>
      </c>
      <c r="Y59">
        <v>33110</v>
      </c>
    </row>
    <row r="60" spans="21:25">
      <c r="U60">
        <v>1</v>
      </c>
      <c r="V60">
        <v>53400</v>
      </c>
      <c r="W60">
        <v>44190</v>
      </c>
      <c r="X60">
        <v>31330</v>
      </c>
      <c r="Y60">
        <v>32090</v>
      </c>
    </row>
    <row r="61" spans="21:25">
      <c r="U61">
        <v>2</v>
      </c>
      <c r="V61">
        <v>52180</v>
      </c>
      <c r="W61">
        <v>43120</v>
      </c>
      <c r="X61">
        <v>34260</v>
      </c>
      <c r="Y61">
        <v>31040</v>
      </c>
    </row>
    <row r="62" spans="21:25">
      <c r="U62">
        <v>3</v>
      </c>
      <c r="V62">
        <v>64030</v>
      </c>
      <c r="W62">
        <v>41010</v>
      </c>
      <c r="X62">
        <v>32310</v>
      </c>
      <c r="Y62">
        <v>33190</v>
      </c>
    </row>
    <row r="63" spans="21:25">
      <c r="U63">
        <v>4</v>
      </c>
      <c r="V63">
        <v>51300</v>
      </c>
      <c r="W63">
        <v>42140</v>
      </c>
      <c r="X63">
        <v>33410</v>
      </c>
      <c r="Y63">
        <v>34190</v>
      </c>
    </row>
    <row r="64" spans="21:25">
      <c r="U64">
        <v>1</v>
      </c>
      <c r="V64">
        <v>51410</v>
      </c>
      <c r="W64">
        <v>42200</v>
      </c>
      <c r="X64">
        <v>33440</v>
      </c>
      <c r="Y64">
        <v>34230</v>
      </c>
    </row>
    <row r="65" spans="21:25">
      <c r="U65">
        <v>2</v>
      </c>
      <c r="V65">
        <v>52390</v>
      </c>
      <c r="W65">
        <v>43240</v>
      </c>
      <c r="X65">
        <v>34340</v>
      </c>
      <c r="Y65">
        <v>31060</v>
      </c>
    </row>
    <row r="66" spans="21:25">
      <c r="U66">
        <v>3</v>
      </c>
      <c r="V66">
        <v>54190</v>
      </c>
      <c r="W66">
        <v>41280</v>
      </c>
      <c r="X66">
        <v>32310</v>
      </c>
      <c r="Y66">
        <v>33140</v>
      </c>
    </row>
    <row r="67" spans="21:25">
      <c r="U67">
        <v>4</v>
      </c>
      <c r="V67">
        <v>53140</v>
      </c>
      <c r="W67">
        <v>44300</v>
      </c>
      <c r="X67">
        <v>31670</v>
      </c>
      <c r="Y67">
        <v>32010</v>
      </c>
    </row>
    <row r="68" spans="21:25">
      <c r="U68">
        <v>1</v>
      </c>
      <c r="V68">
        <v>61020</v>
      </c>
      <c r="W68">
        <v>44070</v>
      </c>
      <c r="X68">
        <v>33240</v>
      </c>
      <c r="Y68">
        <v>32210</v>
      </c>
    </row>
    <row r="69" spans="21:25">
      <c r="U69">
        <v>2</v>
      </c>
      <c r="V69">
        <v>54270</v>
      </c>
      <c r="W69">
        <v>43190</v>
      </c>
      <c r="X69">
        <v>32560</v>
      </c>
      <c r="Y69">
        <v>31170</v>
      </c>
    </row>
    <row r="70" spans="21:25">
      <c r="U70">
        <v>3</v>
      </c>
      <c r="V70">
        <v>53100</v>
      </c>
      <c r="W70">
        <v>42210</v>
      </c>
      <c r="X70">
        <v>31320</v>
      </c>
      <c r="Y70">
        <v>34200</v>
      </c>
    </row>
    <row r="71" spans="21:25">
      <c r="U71">
        <v>4</v>
      </c>
      <c r="V71">
        <v>52310</v>
      </c>
      <c r="W71">
        <v>41350</v>
      </c>
      <c r="X71">
        <v>34460</v>
      </c>
      <c r="Y71">
        <v>33090</v>
      </c>
    </row>
    <row r="72" spans="21:25">
      <c r="U72">
        <v>1</v>
      </c>
      <c r="V72">
        <v>54330</v>
      </c>
      <c r="W72">
        <v>41220</v>
      </c>
      <c r="X72">
        <v>32320</v>
      </c>
      <c r="Y72">
        <v>33070</v>
      </c>
    </row>
    <row r="73" spans="21:25">
      <c r="U73">
        <v>2</v>
      </c>
      <c r="V73">
        <v>51350</v>
      </c>
      <c r="W73">
        <v>42250</v>
      </c>
      <c r="X73">
        <v>33520</v>
      </c>
      <c r="Y73">
        <v>34120</v>
      </c>
    </row>
    <row r="74" spans="21:25">
      <c r="U74">
        <v>3</v>
      </c>
      <c r="V74">
        <v>63020</v>
      </c>
      <c r="W74">
        <v>44020</v>
      </c>
      <c r="X74">
        <v>31480</v>
      </c>
      <c r="Y74">
        <v>32130</v>
      </c>
    </row>
    <row r="75" spans="21:25">
      <c r="U75">
        <v>4</v>
      </c>
      <c r="V75">
        <v>52450</v>
      </c>
      <c r="W75">
        <v>43050</v>
      </c>
      <c r="X75">
        <v>34690</v>
      </c>
      <c r="Y75">
        <v>31190</v>
      </c>
    </row>
    <row r="76" spans="21:25">
      <c r="U76">
        <v>1</v>
      </c>
      <c r="V76">
        <v>51080</v>
      </c>
      <c r="W76">
        <v>42310</v>
      </c>
      <c r="X76">
        <v>33710</v>
      </c>
      <c r="Y76">
        <v>34060</v>
      </c>
    </row>
    <row r="77" spans="21:25">
      <c r="U77">
        <v>2</v>
      </c>
      <c r="V77">
        <v>52400</v>
      </c>
      <c r="W77">
        <v>43290</v>
      </c>
      <c r="X77">
        <v>34570</v>
      </c>
      <c r="Y77">
        <v>31200</v>
      </c>
    </row>
    <row r="78" spans="21:25">
      <c r="U78">
        <v>3</v>
      </c>
      <c r="V78">
        <v>54070</v>
      </c>
      <c r="W78">
        <v>41080</v>
      </c>
      <c r="X78">
        <v>32510</v>
      </c>
      <c r="Y78">
        <v>33200</v>
      </c>
    </row>
    <row r="79" spans="21:25">
      <c r="U79">
        <v>4</v>
      </c>
      <c r="V79">
        <v>53170</v>
      </c>
      <c r="W79">
        <v>44130</v>
      </c>
      <c r="X79">
        <v>31570</v>
      </c>
      <c r="Y79">
        <v>32020</v>
      </c>
    </row>
    <row r="80" spans="21:25">
      <c r="U80">
        <v>1</v>
      </c>
      <c r="V80">
        <v>54390</v>
      </c>
      <c r="W80">
        <v>41210</v>
      </c>
      <c r="X80">
        <v>32410</v>
      </c>
      <c r="Y80">
        <v>33030</v>
      </c>
    </row>
    <row r="81" spans="21:25">
      <c r="U81">
        <v>2</v>
      </c>
      <c r="V81">
        <v>53260</v>
      </c>
      <c r="W81">
        <v>44100</v>
      </c>
      <c r="X81">
        <v>31570</v>
      </c>
      <c r="Y81">
        <v>32030</v>
      </c>
    </row>
    <row r="82" spans="21:25">
      <c r="U82">
        <v>3</v>
      </c>
      <c r="V82">
        <v>52070</v>
      </c>
      <c r="W82">
        <v>43200</v>
      </c>
      <c r="X82">
        <v>34640</v>
      </c>
      <c r="Y82">
        <v>31090</v>
      </c>
    </row>
    <row r="83" spans="21:25">
      <c r="U83">
        <v>4</v>
      </c>
      <c r="V83">
        <v>51420</v>
      </c>
      <c r="W83">
        <v>42240</v>
      </c>
      <c r="X83">
        <v>33570</v>
      </c>
      <c r="Y83">
        <v>34100</v>
      </c>
    </row>
    <row r="84" spans="21:25">
      <c r="U84">
        <v>1</v>
      </c>
      <c r="V84">
        <v>54120</v>
      </c>
      <c r="W84">
        <v>43050</v>
      </c>
      <c r="X84">
        <v>32520</v>
      </c>
      <c r="Y84">
        <v>31120</v>
      </c>
    </row>
    <row r="85" spans="21:25">
      <c r="U85">
        <v>2</v>
      </c>
      <c r="V85">
        <v>52080</v>
      </c>
      <c r="W85">
        <v>41010</v>
      </c>
      <c r="X85">
        <v>34340</v>
      </c>
      <c r="Y85">
        <v>33080</v>
      </c>
    </row>
    <row r="86" spans="21:25">
      <c r="U86">
        <v>3</v>
      </c>
      <c r="V86">
        <v>53180</v>
      </c>
      <c r="W86">
        <v>42310</v>
      </c>
      <c r="X86">
        <v>31560</v>
      </c>
      <c r="Y86">
        <v>34230</v>
      </c>
    </row>
    <row r="87" spans="21:25">
      <c r="U87">
        <v>4</v>
      </c>
      <c r="V87">
        <v>51280</v>
      </c>
      <c r="W87">
        <v>44050</v>
      </c>
      <c r="X87">
        <v>33580</v>
      </c>
      <c r="Y87">
        <v>32210</v>
      </c>
    </row>
    <row r="88" spans="21:25">
      <c r="U88">
        <v>1</v>
      </c>
      <c r="V88">
        <v>54100</v>
      </c>
      <c r="W88">
        <v>41210</v>
      </c>
      <c r="X88">
        <v>32540</v>
      </c>
      <c r="Y88">
        <v>33230</v>
      </c>
    </row>
    <row r="89" spans="21:25">
      <c r="U89">
        <v>2</v>
      </c>
      <c r="V89">
        <v>63010</v>
      </c>
      <c r="W89">
        <v>44110</v>
      </c>
      <c r="X89">
        <v>31430</v>
      </c>
      <c r="Y89">
        <v>32150</v>
      </c>
    </row>
    <row r="90" spans="21:25">
      <c r="U90">
        <v>3</v>
      </c>
      <c r="V90">
        <v>51270</v>
      </c>
      <c r="W90">
        <v>42140</v>
      </c>
      <c r="X90">
        <v>33460</v>
      </c>
      <c r="Y90">
        <v>34110</v>
      </c>
    </row>
    <row r="91" spans="21:25">
      <c r="U91">
        <v>4</v>
      </c>
      <c r="V91">
        <v>52310</v>
      </c>
      <c r="W91">
        <v>43130</v>
      </c>
      <c r="X91">
        <v>34480</v>
      </c>
      <c r="Y91">
        <v>31170</v>
      </c>
    </row>
    <row r="92" spans="21:25">
      <c r="U92">
        <v>1</v>
      </c>
      <c r="V92">
        <v>51290</v>
      </c>
      <c r="W92">
        <v>44110</v>
      </c>
      <c r="X92">
        <v>33340</v>
      </c>
      <c r="Y92">
        <v>32180</v>
      </c>
    </row>
    <row r="93" spans="21:25">
      <c r="U93">
        <v>2</v>
      </c>
      <c r="V93">
        <v>53140</v>
      </c>
      <c r="W93">
        <v>42150</v>
      </c>
      <c r="X93">
        <v>31430</v>
      </c>
      <c r="Y93">
        <v>34210</v>
      </c>
    </row>
    <row r="94" spans="21:25">
      <c r="U94">
        <v>3</v>
      </c>
      <c r="V94">
        <v>54110</v>
      </c>
      <c r="W94">
        <v>43020</v>
      </c>
      <c r="X94">
        <v>32650</v>
      </c>
      <c r="Y94">
        <v>31180</v>
      </c>
    </row>
    <row r="95" spans="21:25">
      <c r="U95">
        <v>4</v>
      </c>
      <c r="V95">
        <v>52120</v>
      </c>
      <c r="W95">
        <v>41190</v>
      </c>
      <c r="X95">
        <v>34530</v>
      </c>
      <c r="Y95">
        <v>33230</v>
      </c>
    </row>
    <row r="96" spans="21:25">
      <c r="U96">
        <v>1</v>
      </c>
      <c r="V96">
        <v>54310</v>
      </c>
      <c r="W96">
        <v>43120</v>
      </c>
      <c r="X96">
        <v>32450</v>
      </c>
      <c r="Y96">
        <v>31170</v>
      </c>
    </row>
    <row r="97" spans="21:25">
      <c r="U97">
        <v>2</v>
      </c>
      <c r="V97">
        <v>52400</v>
      </c>
      <c r="W97">
        <v>41120</v>
      </c>
      <c r="X97">
        <v>34500</v>
      </c>
      <c r="Y97">
        <v>33080</v>
      </c>
    </row>
    <row r="98" spans="21:25">
      <c r="U98">
        <v>3</v>
      </c>
      <c r="V98">
        <v>51310</v>
      </c>
      <c r="W98">
        <v>44030</v>
      </c>
      <c r="X98">
        <v>33560</v>
      </c>
      <c r="Y98">
        <v>32040</v>
      </c>
    </row>
    <row r="99" spans="21:25">
      <c r="U99">
        <v>4</v>
      </c>
      <c r="V99">
        <v>53340</v>
      </c>
      <c r="W99">
        <v>42140</v>
      </c>
      <c r="X99">
        <v>31440</v>
      </c>
      <c r="Y99">
        <v>34140</v>
      </c>
    </row>
    <row r="100" spans="21:25">
      <c r="U100">
        <v>1</v>
      </c>
      <c r="V100">
        <v>52100</v>
      </c>
      <c r="W100">
        <v>41170</v>
      </c>
      <c r="X100">
        <v>34480</v>
      </c>
      <c r="Y100">
        <v>33170</v>
      </c>
    </row>
    <row r="101" spans="21:25">
      <c r="U101">
        <v>2</v>
      </c>
      <c r="V101">
        <v>54040</v>
      </c>
      <c r="W101">
        <v>43250</v>
      </c>
      <c r="X101">
        <v>32290</v>
      </c>
      <c r="Y101">
        <v>31030</v>
      </c>
    </row>
    <row r="102" spans="21:25">
      <c r="U102">
        <v>3</v>
      </c>
      <c r="V102">
        <v>53270</v>
      </c>
      <c r="W102">
        <v>42280</v>
      </c>
      <c r="X102">
        <v>31440</v>
      </c>
      <c r="Y102">
        <v>34060</v>
      </c>
    </row>
    <row r="103" spans="21:25">
      <c r="U103">
        <v>4</v>
      </c>
      <c r="V103">
        <v>51200</v>
      </c>
      <c r="W103">
        <v>44240</v>
      </c>
      <c r="X103">
        <v>33400</v>
      </c>
      <c r="Y103">
        <v>32150</v>
      </c>
    </row>
    <row r="104" spans="21:25">
      <c r="U104">
        <v>1</v>
      </c>
      <c r="V104">
        <v>53210</v>
      </c>
      <c r="W104">
        <v>44030</v>
      </c>
      <c r="X104">
        <v>31480</v>
      </c>
      <c r="Y104">
        <v>32190</v>
      </c>
    </row>
    <row r="105" spans="21:25">
      <c r="U105">
        <v>2</v>
      </c>
      <c r="V105">
        <v>51460</v>
      </c>
      <c r="W105">
        <v>42030</v>
      </c>
      <c r="X105">
        <v>33630</v>
      </c>
      <c r="Y105">
        <v>34130</v>
      </c>
    </row>
    <row r="106" spans="21:25">
      <c r="U106">
        <v>3</v>
      </c>
      <c r="V106">
        <v>54070</v>
      </c>
      <c r="W106">
        <v>41170</v>
      </c>
      <c r="X106">
        <v>32530</v>
      </c>
      <c r="Y106">
        <v>33140</v>
      </c>
    </row>
    <row r="107" spans="21:25">
      <c r="U107">
        <v>4</v>
      </c>
      <c r="V107">
        <v>62030</v>
      </c>
      <c r="W107">
        <v>43280</v>
      </c>
      <c r="X107">
        <v>34520</v>
      </c>
      <c r="Y107">
        <v>31050</v>
      </c>
    </row>
    <row r="108" spans="21:25">
      <c r="U108">
        <v>1</v>
      </c>
      <c r="V108">
        <v>52150</v>
      </c>
      <c r="W108">
        <v>41200</v>
      </c>
      <c r="X108">
        <v>34390</v>
      </c>
      <c r="Y108">
        <v>33140</v>
      </c>
    </row>
    <row r="109" spans="21:25">
      <c r="U109">
        <v>2</v>
      </c>
      <c r="V109">
        <v>53420</v>
      </c>
      <c r="W109">
        <v>42180</v>
      </c>
      <c r="X109">
        <v>31570</v>
      </c>
      <c r="Y109">
        <v>34160</v>
      </c>
    </row>
    <row r="110" spans="21:25">
      <c r="U110">
        <v>3</v>
      </c>
      <c r="V110">
        <v>54450</v>
      </c>
      <c r="W110">
        <v>43260</v>
      </c>
      <c r="X110">
        <v>32420</v>
      </c>
      <c r="Y110">
        <v>31120</v>
      </c>
    </row>
    <row r="111" spans="21:25">
      <c r="U111">
        <v>4</v>
      </c>
      <c r="V111">
        <v>51420</v>
      </c>
      <c r="W111">
        <v>44070</v>
      </c>
      <c r="X111">
        <v>33380</v>
      </c>
      <c r="Y111">
        <v>32090</v>
      </c>
    </row>
    <row r="112" spans="21:25">
      <c r="U112">
        <v>1</v>
      </c>
      <c r="V112">
        <v>52400</v>
      </c>
      <c r="W112">
        <v>43280</v>
      </c>
      <c r="X112">
        <v>34570</v>
      </c>
      <c r="Y112">
        <v>31180</v>
      </c>
    </row>
    <row r="113" spans="21:25">
      <c r="U113">
        <v>2</v>
      </c>
      <c r="V113">
        <v>54360</v>
      </c>
      <c r="W113">
        <v>41030</v>
      </c>
      <c r="X113">
        <v>32540</v>
      </c>
      <c r="Y113">
        <v>33170</v>
      </c>
    </row>
    <row r="114" spans="21:25">
      <c r="U114">
        <v>3</v>
      </c>
      <c r="V114">
        <v>53240</v>
      </c>
      <c r="W114">
        <v>44350</v>
      </c>
      <c r="X114">
        <v>31390</v>
      </c>
      <c r="Y114">
        <v>32150</v>
      </c>
    </row>
    <row r="115" spans="21:25">
      <c r="U115">
        <v>4</v>
      </c>
      <c r="V115">
        <v>51130</v>
      </c>
      <c r="W115">
        <v>42200</v>
      </c>
      <c r="X115">
        <v>33500</v>
      </c>
      <c r="Y115">
        <v>34040</v>
      </c>
    </row>
    <row r="116" spans="21:25">
      <c r="U116">
        <v>1</v>
      </c>
      <c r="V116">
        <v>51430</v>
      </c>
      <c r="W116">
        <v>44270</v>
      </c>
      <c r="X116">
        <v>33620</v>
      </c>
      <c r="Y116">
        <v>32030</v>
      </c>
    </row>
    <row r="117" spans="21:25">
      <c r="U117">
        <v>2</v>
      </c>
      <c r="V117">
        <v>53290</v>
      </c>
      <c r="W117">
        <v>42240</v>
      </c>
      <c r="X117">
        <v>31500</v>
      </c>
      <c r="Y117">
        <v>34020</v>
      </c>
    </row>
    <row r="118" spans="21:25">
      <c r="U118">
        <v>3</v>
      </c>
      <c r="V118">
        <v>54390</v>
      </c>
      <c r="W118">
        <v>43050</v>
      </c>
      <c r="X118">
        <v>32640</v>
      </c>
      <c r="Y118">
        <v>31170</v>
      </c>
    </row>
    <row r="119" spans="21:25">
      <c r="U119">
        <v>4</v>
      </c>
      <c r="V119">
        <v>52210</v>
      </c>
      <c r="W119">
        <v>41190</v>
      </c>
      <c r="X119">
        <v>34260</v>
      </c>
      <c r="Y119">
        <v>33140</v>
      </c>
    </row>
    <row r="120" spans="21:25">
      <c r="U120">
        <v>1</v>
      </c>
      <c r="V120">
        <v>51340</v>
      </c>
      <c r="W120">
        <v>44230</v>
      </c>
      <c r="X120">
        <v>33660</v>
      </c>
      <c r="Y120">
        <v>32130</v>
      </c>
    </row>
    <row r="121" spans="21:25">
      <c r="U121">
        <v>2</v>
      </c>
      <c r="V121">
        <v>52230</v>
      </c>
      <c r="W121">
        <v>41120</v>
      </c>
      <c r="X121">
        <v>34250</v>
      </c>
      <c r="Y121">
        <v>33190</v>
      </c>
    </row>
    <row r="122" spans="21:25">
      <c r="U122">
        <v>3</v>
      </c>
      <c r="V122">
        <v>53280</v>
      </c>
      <c r="W122">
        <v>42090</v>
      </c>
      <c r="X122">
        <v>31640</v>
      </c>
      <c r="Y122">
        <v>34040</v>
      </c>
    </row>
    <row r="123" spans="21:25">
      <c r="U123">
        <v>4</v>
      </c>
      <c r="V123">
        <v>54200</v>
      </c>
      <c r="W123">
        <v>43160</v>
      </c>
      <c r="X123">
        <v>32390</v>
      </c>
      <c r="Y123">
        <v>31020</v>
      </c>
    </row>
    <row r="124" spans="21:25">
      <c r="U124">
        <v>1</v>
      </c>
      <c r="V124">
        <v>61040</v>
      </c>
      <c r="W124">
        <v>42030</v>
      </c>
      <c r="X124">
        <v>33440</v>
      </c>
      <c r="Y124">
        <v>34020</v>
      </c>
    </row>
    <row r="125" spans="21:25">
      <c r="U125">
        <v>2</v>
      </c>
      <c r="V125">
        <v>54370</v>
      </c>
      <c r="W125">
        <v>41080</v>
      </c>
      <c r="X125">
        <v>32570</v>
      </c>
      <c r="Y125">
        <v>33230</v>
      </c>
    </row>
    <row r="126" spans="21:25">
      <c r="U126">
        <v>3</v>
      </c>
      <c r="V126">
        <v>52360</v>
      </c>
      <c r="W126">
        <v>43030</v>
      </c>
      <c r="X126">
        <v>34690</v>
      </c>
      <c r="Y126">
        <v>31110</v>
      </c>
    </row>
    <row r="127" spans="21:25">
      <c r="U127">
        <v>4</v>
      </c>
      <c r="V127">
        <v>53320</v>
      </c>
      <c r="W127">
        <v>44060</v>
      </c>
      <c r="X127">
        <v>31660</v>
      </c>
      <c r="Y127">
        <v>32180</v>
      </c>
    </row>
    <row r="128" spans="21:25">
      <c r="U128">
        <v>1</v>
      </c>
      <c r="V128">
        <v>53100</v>
      </c>
      <c r="W128">
        <v>42070</v>
      </c>
      <c r="X128">
        <v>31370</v>
      </c>
      <c r="Y128">
        <v>34170</v>
      </c>
    </row>
    <row r="129" spans="21:25">
      <c r="U129">
        <v>2</v>
      </c>
      <c r="V129">
        <v>51430</v>
      </c>
      <c r="W129">
        <v>44190</v>
      </c>
      <c r="X129">
        <v>33400</v>
      </c>
      <c r="Y129">
        <v>32110</v>
      </c>
    </row>
    <row r="130" spans="21:25">
      <c r="U130">
        <v>3</v>
      </c>
      <c r="V130">
        <v>54260</v>
      </c>
      <c r="W130">
        <v>43190</v>
      </c>
      <c r="X130">
        <v>32490</v>
      </c>
      <c r="Y130">
        <v>31100</v>
      </c>
    </row>
    <row r="131" spans="21:25">
      <c r="U131">
        <v>4</v>
      </c>
      <c r="V131">
        <v>52400</v>
      </c>
      <c r="W131">
        <v>41040</v>
      </c>
      <c r="X131">
        <v>34680</v>
      </c>
      <c r="Y131">
        <v>33050</v>
      </c>
    </row>
    <row r="132" spans="21:25">
      <c r="U132">
        <v>1</v>
      </c>
      <c r="V132">
        <v>51300</v>
      </c>
      <c r="W132">
        <v>44040</v>
      </c>
      <c r="X132">
        <v>33640</v>
      </c>
      <c r="Y132">
        <v>32100</v>
      </c>
    </row>
    <row r="133" spans="21:25">
      <c r="U133">
        <v>2</v>
      </c>
      <c r="V133">
        <v>54230</v>
      </c>
      <c r="W133">
        <v>43160</v>
      </c>
      <c r="X133">
        <v>32500</v>
      </c>
      <c r="Y133">
        <v>31190</v>
      </c>
    </row>
    <row r="134" spans="21:25">
      <c r="U134">
        <v>3</v>
      </c>
      <c r="V134">
        <v>52080</v>
      </c>
      <c r="W134">
        <v>41190</v>
      </c>
      <c r="X134">
        <v>34570</v>
      </c>
      <c r="Y134">
        <v>33140</v>
      </c>
    </row>
    <row r="135" spans="21:25">
      <c r="U135">
        <v>4</v>
      </c>
      <c r="V135">
        <v>53460</v>
      </c>
      <c r="W135">
        <v>42180</v>
      </c>
      <c r="X135">
        <v>31140</v>
      </c>
      <c r="Y135">
        <v>34050</v>
      </c>
    </row>
    <row r="136" spans="21:25">
      <c r="U136">
        <v>1</v>
      </c>
      <c r="V136">
        <v>54390</v>
      </c>
      <c r="W136">
        <v>41210</v>
      </c>
      <c r="X136">
        <v>32400</v>
      </c>
      <c r="Y136">
        <v>33090</v>
      </c>
    </row>
    <row r="137" spans="21:25">
      <c r="U137">
        <v>2</v>
      </c>
      <c r="V137">
        <v>53020</v>
      </c>
      <c r="W137">
        <v>44100</v>
      </c>
      <c r="X137">
        <v>31410</v>
      </c>
      <c r="Y137">
        <v>32070</v>
      </c>
    </row>
    <row r="138" spans="21:25">
      <c r="U138">
        <v>3</v>
      </c>
      <c r="V138">
        <v>51240</v>
      </c>
      <c r="W138">
        <v>42140</v>
      </c>
      <c r="X138">
        <v>33410</v>
      </c>
      <c r="Y138">
        <v>34160</v>
      </c>
    </row>
    <row r="139" spans="21:25">
      <c r="U139">
        <v>4</v>
      </c>
      <c r="V139">
        <v>52390</v>
      </c>
      <c r="W139">
        <v>43110</v>
      </c>
      <c r="X139">
        <v>34320</v>
      </c>
      <c r="Y139">
        <v>31100</v>
      </c>
    </row>
    <row r="140" spans="21:25">
      <c r="U140">
        <v>1</v>
      </c>
      <c r="V140">
        <v>52200</v>
      </c>
      <c r="W140">
        <v>43120</v>
      </c>
      <c r="X140">
        <v>34580</v>
      </c>
      <c r="Y140">
        <v>31040</v>
      </c>
    </row>
    <row r="141" spans="21:25">
      <c r="U141">
        <v>2</v>
      </c>
      <c r="V141">
        <v>53410</v>
      </c>
      <c r="W141">
        <v>44320</v>
      </c>
      <c r="X141">
        <v>31320</v>
      </c>
      <c r="Y141">
        <v>32180</v>
      </c>
    </row>
    <row r="142" spans="21:25">
      <c r="U142">
        <v>3</v>
      </c>
      <c r="V142">
        <v>54390</v>
      </c>
      <c r="W142">
        <v>41170</v>
      </c>
      <c r="X142">
        <v>32620</v>
      </c>
      <c r="Y142">
        <v>33190</v>
      </c>
    </row>
    <row r="143" spans="21:25">
      <c r="U143">
        <v>4</v>
      </c>
      <c r="V143">
        <v>51030</v>
      </c>
      <c r="W143">
        <v>42310</v>
      </c>
      <c r="X143">
        <v>33610</v>
      </c>
      <c r="Y143">
        <v>34210</v>
      </c>
    </row>
    <row r="144" spans="21:25">
      <c r="U144">
        <v>1</v>
      </c>
      <c r="V144">
        <v>51450</v>
      </c>
      <c r="W144">
        <v>44130</v>
      </c>
      <c r="X144">
        <v>33590</v>
      </c>
      <c r="Y144">
        <v>32110</v>
      </c>
    </row>
    <row r="145" spans="21:25">
      <c r="U145">
        <v>2</v>
      </c>
      <c r="V145">
        <v>52120</v>
      </c>
      <c r="W145">
        <v>41200</v>
      </c>
      <c r="X145">
        <v>34420</v>
      </c>
      <c r="Y145">
        <v>33190</v>
      </c>
    </row>
    <row r="146" spans="21:25">
      <c r="U146">
        <v>3</v>
      </c>
      <c r="V146">
        <v>53180</v>
      </c>
      <c r="W146">
        <v>42060</v>
      </c>
      <c r="X146">
        <v>31290</v>
      </c>
      <c r="Y146">
        <v>34230</v>
      </c>
    </row>
    <row r="147" spans="21:25">
      <c r="U147">
        <v>4</v>
      </c>
      <c r="V147">
        <v>54390</v>
      </c>
      <c r="W147">
        <v>43310</v>
      </c>
      <c r="X147">
        <v>32570</v>
      </c>
      <c r="Y147">
        <v>31200</v>
      </c>
    </row>
    <row r="148" spans="21:25">
      <c r="U148">
        <v>1</v>
      </c>
      <c r="V148">
        <v>54240</v>
      </c>
      <c r="W148">
        <v>43080</v>
      </c>
      <c r="X148">
        <v>32550</v>
      </c>
      <c r="Y148">
        <v>31080</v>
      </c>
    </row>
    <row r="149" spans="21:25">
      <c r="U149">
        <v>2</v>
      </c>
      <c r="V149">
        <v>51430</v>
      </c>
      <c r="W149">
        <v>44040</v>
      </c>
      <c r="X149">
        <v>33510</v>
      </c>
      <c r="Y149">
        <v>32070</v>
      </c>
    </row>
    <row r="150" spans="21:25">
      <c r="U150">
        <v>3</v>
      </c>
      <c r="V150">
        <v>53460</v>
      </c>
      <c r="W150">
        <v>42320</v>
      </c>
      <c r="X150">
        <v>31320</v>
      </c>
      <c r="Y150">
        <v>34240</v>
      </c>
    </row>
    <row r="151" spans="21:25">
      <c r="U151">
        <v>4</v>
      </c>
      <c r="V151">
        <v>52100</v>
      </c>
      <c r="W151">
        <v>41160</v>
      </c>
      <c r="X151">
        <v>34440</v>
      </c>
      <c r="Y151">
        <v>33160</v>
      </c>
    </row>
    <row r="152" spans="21:25">
      <c r="U152">
        <v>1</v>
      </c>
      <c r="V152">
        <v>53110</v>
      </c>
      <c r="W152">
        <v>42240</v>
      </c>
      <c r="X152">
        <v>31640</v>
      </c>
      <c r="Y152">
        <v>34210</v>
      </c>
    </row>
    <row r="153" spans="21:25">
      <c r="U153">
        <v>2</v>
      </c>
      <c r="V153">
        <v>51410</v>
      </c>
      <c r="W153">
        <v>44190</v>
      </c>
      <c r="X153">
        <v>33330</v>
      </c>
      <c r="Y153">
        <v>32020</v>
      </c>
    </row>
    <row r="154" spans="21:25">
      <c r="U154">
        <v>3</v>
      </c>
      <c r="V154">
        <v>54290</v>
      </c>
      <c r="W154">
        <v>43190</v>
      </c>
      <c r="X154">
        <v>32410</v>
      </c>
      <c r="Y154">
        <v>31200</v>
      </c>
    </row>
    <row r="155" spans="21:25">
      <c r="U155">
        <v>4</v>
      </c>
      <c r="V155">
        <v>52170</v>
      </c>
      <c r="W155">
        <v>41260</v>
      </c>
      <c r="X155">
        <v>34670</v>
      </c>
      <c r="Y155">
        <v>33010</v>
      </c>
    </row>
    <row r="156" spans="21:25">
      <c r="U156">
        <v>1</v>
      </c>
      <c r="V156">
        <v>64030</v>
      </c>
      <c r="W156">
        <v>43010</v>
      </c>
      <c r="X156">
        <v>32640</v>
      </c>
      <c r="Y156">
        <v>31090</v>
      </c>
    </row>
    <row r="157" spans="21:25">
      <c r="U157">
        <v>2</v>
      </c>
      <c r="V157">
        <v>52010</v>
      </c>
      <c r="W157">
        <v>41040</v>
      </c>
      <c r="X157">
        <v>34690</v>
      </c>
      <c r="Y157">
        <v>33130</v>
      </c>
    </row>
    <row r="158" spans="21:25">
      <c r="U158">
        <v>3</v>
      </c>
      <c r="V158">
        <v>53200</v>
      </c>
      <c r="W158">
        <v>42090</v>
      </c>
      <c r="X158">
        <v>31300</v>
      </c>
      <c r="Y158">
        <v>34040</v>
      </c>
    </row>
    <row r="159" spans="21:25">
      <c r="U159">
        <v>4</v>
      </c>
      <c r="V159">
        <v>61020</v>
      </c>
      <c r="W159">
        <v>44030</v>
      </c>
      <c r="X159">
        <v>33530</v>
      </c>
      <c r="Y159">
        <v>32090</v>
      </c>
    </row>
    <row r="160" spans="21:25">
      <c r="U160">
        <v>1</v>
      </c>
      <c r="V160">
        <v>52110</v>
      </c>
      <c r="W160">
        <v>41310</v>
      </c>
      <c r="X160">
        <v>34530</v>
      </c>
      <c r="Y160">
        <v>33030</v>
      </c>
    </row>
    <row r="161" spans="21:25">
      <c r="U161">
        <v>2</v>
      </c>
      <c r="V161">
        <v>51430</v>
      </c>
      <c r="W161">
        <v>44260</v>
      </c>
      <c r="X161">
        <v>33490</v>
      </c>
      <c r="Y161">
        <v>32070</v>
      </c>
    </row>
    <row r="162" spans="21:25">
      <c r="U162">
        <v>3</v>
      </c>
      <c r="V162">
        <v>63010</v>
      </c>
      <c r="W162">
        <v>42120</v>
      </c>
      <c r="X162">
        <v>31450</v>
      </c>
      <c r="Y162">
        <v>34210</v>
      </c>
    </row>
    <row r="163" spans="21:25">
      <c r="U163">
        <v>4</v>
      </c>
      <c r="V163">
        <v>64020</v>
      </c>
      <c r="W163">
        <v>43280</v>
      </c>
      <c r="X163">
        <v>32220</v>
      </c>
      <c r="Y163">
        <v>31210</v>
      </c>
    </row>
    <row r="164" spans="21:25">
      <c r="U164">
        <v>1</v>
      </c>
      <c r="V164">
        <v>51130</v>
      </c>
      <c r="W164">
        <v>42210</v>
      </c>
      <c r="X164">
        <v>33420</v>
      </c>
      <c r="Y164">
        <v>34140</v>
      </c>
    </row>
    <row r="165" spans="21:25">
      <c r="U165">
        <v>2</v>
      </c>
      <c r="V165">
        <v>52270</v>
      </c>
      <c r="W165">
        <v>43110</v>
      </c>
      <c r="X165">
        <v>34320</v>
      </c>
      <c r="Y165">
        <v>31190</v>
      </c>
    </row>
    <row r="166" spans="21:25">
      <c r="U166">
        <v>3</v>
      </c>
      <c r="V166">
        <v>54070</v>
      </c>
      <c r="W166">
        <v>41170</v>
      </c>
      <c r="X166">
        <v>32460</v>
      </c>
      <c r="Y166">
        <v>33020</v>
      </c>
    </row>
    <row r="167" spans="21:25">
      <c r="U167">
        <v>4</v>
      </c>
      <c r="V167">
        <v>53300</v>
      </c>
      <c r="W167">
        <v>44050</v>
      </c>
      <c r="X167">
        <v>31310</v>
      </c>
      <c r="Y167">
        <v>32010</v>
      </c>
    </row>
    <row r="168" spans="21:25">
      <c r="U168">
        <v>1</v>
      </c>
      <c r="V168">
        <v>51470</v>
      </c>
      <c r="W168">
        <v>44110</v>
      </c>
      <c r="X168">
        <v>33260</v>
      </c>
      <c r="Y168">
        <v>32160</v>
      </c>
    </row>
    <row r="169" spans="21:25">
      <c r="U169">
        <v>2</v>
      </c>
      <c r="V169">
        <v>63010</v>
      </c>
      <c r="W169">
        <v>42310</v>
      </c>
      <c r="X169">
        <v>31230</v>
      </c>
      <c r="Y169">
        <v>34200</v>
      </c>
    </row>
    <row r="170" spans="21:25">
      <c r="U170">
        <v>3</v>
      </c>
      <c r="V170">
        <v>54200</v>
      </c>
      <c r="W170">
        <v>43090</v>
      </c>
      <c r="X170">
        <v>32390</v>
      </c>
      <c r="Y170">
        <v>31090</v>
      </c>
    </row>
    <row r="171" spans="21:25">
      <c r="U171">
        <v>4</v>
      </c>
      <c r="V171">
        <v>52310</v>
      </c>
      <c r="W171">
        <v>41120</v>
      </c>
      <c r="X171">
        <v>34440</v>
      </c>
      <c r="Y171">
        <v>33230</v>
      </c>
    </row>
    <row r="172" spans="21:25">
      <c r="U172">
        <v>1</v>
      </c>
      <c r="V172">
        <v>51450</v>
      </c>
      <c r="W172">
        <v>42020</v>
      </c>
      <c r="X172">
        <v>33500</v>
      </c>
      <c r="Y172">
        <v>34240</v>
      </c>
    </row>
    <row r="173" spans="21:25">
      <c r="U173">
        <v>2</v>
      </c>
      <c r="V173">
        <v>53320</v>
      </c>
      <c r="W173">
        <v>44150</v>
      </c>
      <c r="X173">
        <v>31410</v>
      </c>
      <c r="Y173">
        <v>32020</v>
      </c>
    </row>
    <row r="174" spans="21:25">
      <c r="U174">
        <v>3</v>
      </c>
      <c r="V174">
        <v>54370</v>
      </c>
      <c r="W174">
        <v>41270</v>
      </c>
      <c r="X174">
        <v>32480</v>
      </c>
      <c r="Y174">
        <v>33080</v>
      </c>
    </row>
    <row r="175" spans="21:25">
      <c r="U175">
        <v>4</v>
      </c>
      <c r="V175">
        <v>62020</v>
      </c>
      <c r="W175">
        <v>43020</v>
      </c>
      <c r="X175">
        <v>34640</v>
      </c>
      <c r="Y175">
        <v>31060</v>
      </c>
    </row>
    <row r="176" spans="21:25">
      <c r="U176">
        <v>1</v>
      </c>
      <c r="V176">
        <v>54430</v>
      </c>
      <c r="W176">
        <v>43060</v>
      </c>
      <c r="X176">
        <v>32660</v>
      </c>
      <c r="Y176">
        <v>31150</v>
      </c>
    </row>
    <row r="177" spans="21:25">
      <c r="U177">
        <v>2</v>
      </c>
      <c r="V177">
        <v>52100</v>
      </c>
      <c r="W177">
        <v>41090</v>
      </c>
      <c r="X177">
        <v>34370</v>
      </c>
      <c r="Y177">
        <v>33170</v>
      </c>
    </row>
    <row r="178" spans="21:25">
      <c r="U178">
        <v>3</v>
      </c>
      <c r="V178">
        <v>53160</v>
      </c>
      <c r="W178">
        <v>42140</v>
      </c>
      <c r="X178">
        <v>31630</v>
      </c>
      <c r="Y178">
        <v>34060</v>
      </c>
    </row>
    <row r="179" spans="21:25">
      <c r="U179">
        <v>4</v>
      </c>
      <c r="V179">
        <v>51330</v>
      </c>
      <c r="W179">
        <v>44120</v>
      </c>
      <c r="X179">
        <v>33410</v>
      </c>
      <c r="Y179">
        <v>32010</v>
      </c>
    </row>
    <row r="180" spans="21:25">
      <c r="U180">
        <v>1</v>
      </c>
      <c r="V180">
        <v>51350</v>
      </c>
      <c r="W180">
        <v>44230</v>
      </c>
      <c r="X180">
        <v>33510</v>
      </c>
      <c r="Y180">
        <v>32060</v>
      </c>
    </row>
    <row r="181" spans="21:25">
      <c r="U181">
        <v>2</v>
      </c>
      <c r="V181">
        <v>54440</v>
      </c>
      <c r="W181">
        <v>43090</v>
      </c>
      <c r="X181">
        <v>32620</v>
      </c>
      <c r="Y181">
        <v>31200</v>
      </c>
    </row>
    <row r="182" spans="21:25">
      <c r="U182">
        <v>3</v>
      </c>
      <c r="V182">
        <v>63020</v>
      </c>
      <c r="W182">
        <v>42090</v>
      </c>
      <c r="X182">
        <v>31510</v>
      </c>
      <c r="Y182">
        <v>34160</v>
      </c>
    </row>
    <row r="183" spans="21:25">
      <c r="U183">
        <v>4</v>
      </c>
      <c r="V183">
        <v>52230</v>
      </c>
      <c r="W183">
        <v>41010</v>
      </c>
      <c r="X183">
        <v>34630</v>
      </c>
      <c r="Y183">
        <v>33180</v>
      </c>
    </row>
    <row r="184" spans="21:25">
      <c r="U184">
        <v>1</v>
      </c>
      <c r="V184">
        <v>52180</v>
      </c>
      <c r="W184">
        <v>43020</v>
      </c>
      <c r="X184">
        <v>34340</v>
      </c>
      <c r="Y184">
        <v>31190</v>
      </c>
    </row>
    <row r="185" spans="21:25">
      <c r="U185">
        <v>2</v>
      </c>
      <c r="V185">
        <v>53460</v>
      </c>
      <c r="W185">
        <v>44100</v>
      </c>
      <c r="X185">
        <v>31440</v>
      </c>
      <c r="Y185">
        <v>32100</v>
      </c>
    </row>
    <row r="186" spans="21:25">
      <c r="U186">
        <v>3</v>
      </c>
      <c r="V186">
        <v>51420</v>
      </c>
      <c r="W186">
        <v>42190</v>
      </c>
      <c r="X186">
        <v>33550</v>
      </c>
      <c r="Y186">
        <v>34160</v>
      </c>
    </row>
    <row r="187" spans="21:25">
      <c r="U187">
        <v>4</v>
      </c>
      <c r="V187">
        <v>54160</v>
      </c>
      <c r="W187">
        <v>41040</v>
      </c>
      <c r="X187">
        <v>32590</v>
      </c>
      <c r="Y187">
        <v>33230</v>
      </c>
    </row>
    <row r="188" spans="21:25">
      <c r="U188">
        <v>1</v>
      </c>
      <c r="V188">
        <v>52210</v>
      </c>
      <c r="W188">
        <v>41130</v>
      </c>
      <c r="X188">
        <v>34550</v>
      </c>
      <c r="Y188">
        <v>33100</v>
      </c>
    </row>
    <row r="189" spans="21:25">
      <c r="U189">
        <v>2</v>
      </c>
      <c r="V189">
        <v>51460</v>
      </c>
      <c r="W189">
        <v>44110</v>
      </c>
      <c r="X189">
        <v>33330</v>
      </c>
      <c r="Y189">
        <v>32100</v>
      </c>
    </row>
    <row r="190" spans="21:25">
      <c r="U190">
        <v>3</v>
      </c>
      <c r="V190">
        <v>53450</v>
      </c>
      <c r="W190">
        <v>42020</v>
      </c>
      <c r="X190">
        <v>31550</v>
      </c>
      <c r="Y190">
        <v>34020</v>
      </c>
    </row>
    <row r="191" spans="21:25">
      <c r="U191">
        <v>4</v>
      </c>
      <c r="V191">
        <v>54160</v>
      </c>
      <c r="W191">
        <v>43240</v>
      </c>
      <c r="X191">
        <v>32360</v>
      </c>
      <c r="Y191">
        <v>31210</v>
      </c>
    </row>
    <row r="192" spans="21:25">
      <c r="U192">
        <v>1</v>
      </c>
      <c r="V192">
        <v>51400</v>
      </c>
      <c r="W192">
        <v>42060</v>
      </c>
      <c r="X192">
        <v>33520</v>
      </c>
      <c r="Y192">
        <v>34020</v>
      </c>
    </row>
    <row r="193" spans="21:25">
      <c r="U193">
        <v>2</v>
      </c>
      <c r="V193">
        <v>53220</v>
      </c>
      <c r="W193">
        <v>44010</v>
      </c>
      <c r="X193">
        <v>31370</v>
      </c>
      <c r="Y193">
        <v>32130</v>
      </c>
    </row>
    <row r="194" spans="21:25">
      <c r="U194">
        <v>3</v>
      </c>
      <c r="V194">
        <v>52370</v>
      </c>
      <c r="W194">
        <v>43070</v>
      </c>
      <c r="X194">
        <v>34510</v>
      </c>
      <c r="Y194">
        <v>31210</v>
      </c>
    </row>
    <row r="195" spans="21:25">
      <c r="U195">
        <v>4</v>
      </c>
      <c r="V195">
        <v>54310</v>
      </c>
      <c r="W195">
        <v>41220</v>
      </c>
      <c r="X195">
        <v>32620</v>
      </c>
      <c r="Y195">
        <v>33170</v>
      </c>
    </row>
    <row r="196" spans="21:25">
      <c r="U196">
        <v>1</v>
      </c>
      <c r="V196">
        <v>54220</v>
      </c>
      <c r="W196">
        <v>43310</v>
      </c>
      <c r="X196">
        <v>32430</v>
      </c>
      <c r="Y196">
        <v>31100</v>
      </c>
    </row>
    <row r="197" spans="21:25">
      <c r="U197">
        <v>2</v>
      </c>
      <c r="V197">
        <v>51040</v>
      </c>
      <c r="W197">
        <v>44270</v>
      </c>
      <c r="X197">
        <v>33680</v>
      </c>
      <c r="Y197">
        <v>32190</v>
      </c>
    </row>
    <row r="198" spans="21:25">
      <c r="U198">
        <v>3</v>
      </c>
      <c r="V198">
        <v>53400</v>
      </c>
      <c r="W198">
        <v>42040</v>
      </c>
      <c r="X198">
        <v>31560</v>
      </c>
      <c r="Y198">
        <v>34130</v>
      </c>
    </row>
    <row r="199" spans="21:25">
      <c r="U199">
        <v>4</v>
      </c>
      <c r="V199">
        <v>52080</v>
      </c>
      <c r="W199">
        <v>41200</v>
      </c>
      <c r="X199">
        <v>34500</v>
      </c>
      <c r="Y199">
        <v>33210</v>
      </c>
    </row>
    <row r="200" spans="21:25">
      <c r="U200">
        <v>1</v>
      </c>
      <c r="V200">
        <v>54400</v>
      </c>
      <c r="W200">
        <v>41350</v>
      </c>
      <c r="X200">
        <v>32410</v>
      </c>
      <c r="Y200">
        <v>33230</v>
      </c>
    </row>
    <row r="201" spans="21:25">
      <c r="U201">
        <v>2</v>
      </c>
      <c r="V201">
        <v>51020</v>
      </c>
      <c r="W201">
        <v>42080</v>
      </c>
      <c r="X201">
        <v>33320</v>
      </c>
      <c r="Y201">
        <v>34040</v>
      </c>
    </row>
    <row r="202" spans="21:25">
      <c r="U202">
        <v>3</v>
      </c>
      <c r="V202">
        <v>52030</v>
      </c>
      <c r="W202">
        <v>43140</v>
      </c>
      <c r="X202">
        <v>34470</v>
      </c>
      <c r="Y202">
        <v>31010</v>
      </c>
    </row>
    <row r="203" spans="21:25">
      <c r="U203">
        <v>4</v>
      </c>
      <c r="V203">
        <v>53260</v>
      </c>
      <c r="W203">
        <v>44110</v>
      </c>
      <c r="X203">
        <v>31620</v>
      </c>
      <c r="Y203">
        <v>32020</v>
      </c>
    </row>
    <row r="204" spans="21:25">
      <c r="U204">
        <v>1</v>
      </c>
      <c r="V204">
        <v>52150</v>
      </c>
      <c r="W204">
        <v>41200</v>
      </c>
      <c r="X204">
        <v>34440</v>
      </c>
      <c r="Y204">
        <v>33060</v>
      </c>
    </row>
    <row r="205" spans="21:25">
      <c r="U205">
        <v>2</v>
      </c>
      <c r="V205">
        <v>54100</v>
      </c>
      <c r="W205">
        <v>43010</v>
      </c>
      <c r="X205">
        <v>32650</v>
      </c>
      <c r="Y205">
        <v>31010</v>
      </c>
    </row>
    <row r="206" spans="21:25">
      <c r="U206">
        <v>3</v>
      </c>
      <c r="V206">
        <v>51200</v>
      </c>
      <c r="W206">
        <v>44030</v>
      </c>
      <c r="X206">
        <v>33510</v>
      </c>
      <c r="Y206">
        <v>32180</v>
      </c>
    </row>
    <row r="207" spans="21:25">
      <c r="U207">
        <v>4</v>
      </c>
      <c r="V207">
        <v>53430</v>
      </c>
      <c r="W207">
        <v>42080</v>
      </c>
      <c r="X207">
        <v>31320</v>
      </c>
      <c r="Y207">
        <v>34160</v>
      </c>
    </row>
    <row r="208" spans="21:25">
      <c r="U208">
        <v>1</v>
      </c>
      <c r="V208">
        <v>53340</v>
      </c>
      <c r="W208">
        <v>42150</v>
      </c>
      <c r="X208">
        <v>31410</v>
      </c>
      <c r="Y208">
        <v>34150</v>
      </c>
    </row>
    <row r="209" spans="21:25">
      <c r="U209">
        <v>2</v>
      </c>
      <c r="V209">
        <v>52420</v>
      </c>
      <c r="W209">
        <v>41200</v>
      </c>
      <c r="X209">
        <v>34570</v>
      </c>
      <c r="Y209">
        <v>33210</v>
      </c>
    </row>
    <row r="210" spans="21:25">
      <c r="U210">
        <v>3</v>
      </c>
      <c r="V210">
        <v>51300</v>
      </c>
      <c r="W210">
        <v>44240</v>
      </c>
      <c r="X210">
        <v>33670</v>
      </c>
      <c r="Y210">
        <v>32130</v>
      </c>
    </row>
    <row r="211" spans="21:25">
      <c r="U211">
        <v>4</v>
      </c>
      <c r="V211">
        <v>54190</v>
      </c>
      <c r="W211">
        <v>43030</v>
      </c>
      <c r="X211">
        <v>32370</v>
      </c>
      <c r="Y211">
        <v>31170</v>
      </c>
    </row>
    <row r="212" spans="21:25">
      <c r="U212">
        <v>1</v>
      </c>
      <c r="V212">
        <v>54200</v>
      </c>
      <c r="W212">
        <v>41010</v>
      </c>
      <c r="X212">
        <v>32650</v>
      </c>
      <c r="Y212">
        <v>33050</v>
      </c>
    </row>
    <row r="213" spans="21:25">
      <c r="U213">
        <v>2</v>
      </c>
      <c r="V213">
        <v>51270</v>
      </c>
      <c r="W213">
        <v>42060</v>
      </c>
      <c r="X213">
        <v>33680</v>
      </c>
      <c r="Y213">
        <v>34140</v>
      </c>
    </row>
    <row r="214" spans="21:25">
      <c r="U214">
        <v>3</v>
      </c>
      <c r="V214">
        <v>53340</v>
      </c>
      <c r="W214">
        <v>44120</v>
      </c>
      <c r="X214">
        <v>31570</v>
      </c>
      <c r="Y214">
        <v>32110</v>
      </c>
    </row>
    <row r="215" spans="21:25">
      <c r="U215">
        <v>4</v>
      </c>
      <c r="V215">
        <v>52410</v>
      </c>
      <c r="W215">
        <v>43280</v>
      </c>
      <c r="X215">
        <v>34520</v>
      </c>
      <c r="Y215">
        <v>31030</v>
      </c>
    </row>
    <row r="216" spans="21:25">
      <c r="U216">
        <v>1</v>
      </c>
      <c r="V216">
        <v>53240</v>
      </c>
      <c r="W216">
        <v>44150</v>
      </c>
      <c r="X216">
        <v>31640</v>
      </c>
      <c r="Y216">
        <v>32140</v>
      </c>
    </row>
    <row r="217" spans="21:25">
      <c r="U217">
        <v>2</v>
      </c>
      <c r="V217">
        <v>52020</v>
      </c>
      <c r="W217">
        <v>43220</v>
      </c>
      <c r="X217">
        <v>34700</v>
      </c>
      <c r="Y217">
        <v>31070</v>
      </c>
    </row>
    <row r="218" spans="21:25">
      <c r="U218">
        <v>3</v>
      </c>
      <c r="V218">
        <v>51240</v>
      </c>
      <c r="W218">
        <v>42050</v>
      </c>
      <c r="X218">
        <v>33680</v>
      </c>
      <c r="Y218">
        <v>34150</v>
      </c>
    </row>
    <row r="219" spans="21:25">
      <c r="U219">
        <v>4</v>
      </c>
      <c r="V219">
        <v>54420</v>
      </c>
      <c r="W219">
        <v>41010</v>
      </c>
      <c r="X219">
        <v>32590</v>
      </c>
      <c r="Y219">
        <v>33020</v>
      </c>
    </row>
    <row r="220" spans="21:25">
      <c r="U220">
        <v>1</v>
      </c>
      <c r="V220">
        <v>51130</v>
      </c>
      <c r="W220">
        <v>44260</v>
      </c>
      <c r="X220">
        <v>33350</v>
      </c>
      <c r="Y220">
        <v>32190</v>
      </c>
    </row>
    <row r="221" spans="21:25">
      <c r="U221">
        <v>2</v>
      </c>
      <c r="V221">
        <v>52330</v>
      </c>
      <c r="W221">
        <v>41010</v>
      </c>
      <c r="X221">
        <v>34320</v>
      </c>
      <c r="Y221">
        <v>33110</v>
      </c>
    </row>
    <row r="222" spans="21:25">
      <c r="U222">
        <v>3</v>
      </c>
      <c r="V222">
        <v>53010</v>
      </c>
      <c r="W222">
        <v>42140</v>
      </c>
      <c r="X222">
        <v>31410</v>
      </c>
      <c r="Y222">
        <v>34050</v>
      </c>
    </row>
    <row r="223" spans="21:25">
      <c r="U223">
        <v>4</v>
      </c>
      <c r="V223">
        <v>54110</v>
      </c>
      <c r="W223">
        <v>43130</v>
      </c>
      <c r="X223">
        <v>32390</v>
      </c>
      <c r="Y223">
        <v>31130</v>
      </c>
    </row>
    <row r="224" spans="21:25">
      <c r="U224">
        <v>1</v>
      </c>
      <c r="V224">
        <v>52260</v>
      </c>
      <c r="W224">
        <v>41160</v>
      </c>
      <c r="X224">
        <v>34630</v>
      </c>
      <c r="Y224">
        <v>33170</v>
      </c>
    </row>
    <row r="225" spans="21:25">
      <c r="U225">
        <v>2</v>
      </c>
      <c r="V225">
        <v>51020</v>
      </c>
      <c r="W225">
        <v>44100</v>
      </c>
      <c r="X225">
        <v>33450</v>
      </c>
      <c r="Y225">
        <v>32100</v>
      </c>
    </row>
    <row r="226" spans="21:25">
      <c r="U226">
        <v>3</v>
      </c>
      <c r="V226">
        <v>53260</v>
      </c>
      <c r="W226">
        <v>42020</v>
      </c>
      <c r="X226">
        <v>31300</v>
      </c>
      <c r="Y226">
        <v>34050</v>
      </c>
    </row>
    <row r="227" spans="21:25">
      <c r="U227">
        <v>4</v>
      </c>
      <c r="V227">
        <v>54390</v>
      </c>
      <c r="W227">
        <v>43240</v>
      </c>
      <c r="X227">
        <v>32500</v>
      </c>
      <c r="Y227">
        <v>31040</v>
      </c>
    </row>
    <row r="228" spans="21:25">
      <c r="U228">
        <v>1</v>
      </c>
      <c r="V228">
        <v>51130</v>
      </c>
      <c r="W228">
        <v>42070</v>
      </c>
      <c r="X228">
        <v>33630</v>
      </c>
      <c r="Y228">
        <v>34230</v>
      </c>
    </row>
    <row r="229" spans="21:25">
      <c r="U229">
        <v>2</v>
      </c>
      <c r="V229">
        <v>63030</v>
      </c>
      <c r="W229">
        <v>44120</v>
      </c>
      <c r="X229">
        <v>31230</v>
      </c>
      <c r="Y229">
        <v>32050</v>
      </c>
    </row>
    <row r="230" spans="21:25">
      <c r="U230">
        <v>3</v>
      </c>
      <c r="V230">
        <v>64030</v>
      </c>
      <c r="W230">
        <v>41070</v>
      </c>
      <c r="X230">
        <v>32600</v>
      </c>
      <c r="Y230">
        <v>33020</v>
      </c>
    </row>
    <row r="231" spans="21:25">
      <c r="U231">
        <v>4</v>
      </c>
      <c r="V231">
        <v>62030</v>
      </c>
      <c r="W231">
        <v>43260</v>
      </c>
      <c r="X231">
        <v>34590</v>
      </c>
      <c r="Y231">
        <v>31060</v>
      </c>
    </row>
    <row r="232" spans="21:25">
      <c r="U232">
        <v>1</v>
      </c>
      <c r="V232">
        <v>53410</v>
      </c>
      <c r="W232">
        <v>42020</v>
      </c>
      <c r="X232">
        <v>31310</v>
      </c>
      <c r="Y232">
        <v>34120</v>
      </c>
    </row>
    <row r="233" spans="21:25">
      <c r="U233">
        <v>2</v>
      </c>
      <c r="V233">
        <v>54230</v>
      </c>
      <c r="W233">
        <v>43260</v>
      </c>
      <c r="X233">
        <v>32620</v>
      </c>
      <c r="Y233">
        <v>31010</v>
      </c>
    </row>
    <row r="234" spans="21:25">
      <c r="U234">
        <v>3</v>
      </c>
      <c r="V234">
        <v>51360</v>
      </c>
      <c r="W234">
        <v>44130</v>
      </c>
      <c r="X234">
        <v>33500</v>
      </c>
      <c r="Y234">
        <v>32040</v>
      </c>
    </row>
    <row r="235" spans="21:25">
      <c r="U235">
        <v>4</v>
      </c>
      <c r="V235">
        <v>52240</v>
      </c>
      <c r="W235">
        <v>41260</v>
      </c>
      <c r="X235">
        <v>34460</v>
      </c>
      <c r="Y235">
        <v>33210</v>
      </c>
    </row>
    <row r="236" spans="21:25">
      <c r="U236">
        <v>1</v>
      </c>
      <c r="V236">
        <v>52200</v>
      </c>
      <c r="W236">
        <v>41150</v>
      </c>
      <c r="X236">
        <v>34380</v>
      </c>
      <c r="Y236">
        <v>33010</v>
      </c>
    </row>
    <row r="237" spans="21:25">
      <c r="U237">
        <v>2</v>
      </c>
      <c r="V237">
        <v>54220</v>
      </c>
      <c r="W237">
        <v>43150</v>
      </c>
      <c r="X237">
        <v>32620</v>
      </c>
      <c r="Y237">
        <v>31050</v>
      </c>
    </row>
    <row r="238" spans="21:25">
      <c r="U238">
        <v>3</v>
      </c>
      <c r="V238">
        <v>53190</v>
      </c>
      <c r="W238">
        <v>42260</v>
      </c>
      <c r="X238">
        <v>31370</v>
      </c>
      <c r="Y238">
        <v>34050</v>
      </c>
    </row>
    <row r="239" spans="21:25">
      <c r="U239">
        <v>4</v>
      </c>
      <c r="V239">
        <v>51420</v>
      </c>
      <c r="W239">
        <v>44200</v>
      </c>
      <c r="X239">
        <v>33670</v>
      </c>
      <c r="Y239">
        <v>32070</v>
      </c>
    </row>
    <row r="240" spans="21:25">
      <c r="U240">
        <v>1</v>
      </c>
      <c r="V240">
        <v>52460</v>
      </c>
      <c r="W240">
        <v>41230</v>
      </c>
      <c r="X240">
        <v>34580</v>
      </c>
      <c r="Y240">
        <v>33190</v>
      </c>
    </row>
    <row r="241" spans="21:25">
      <c r="U241">
        <v>2</v>
      </c>
      <c r="V241">
        <v>51220</v>
      </c>
      <c r="W241">
        <v>44160</v>
      </c>
      <c r="X241">
        <v>33680</v>
      </c>
      <c r="Y241">
        <v>32170</v>
      </c>
    </row>
    <row r="242" spans="21:25">
      <c r="U242">
        <v>3</v>
      </c>
      <c r="V242">
        <v>54100</v>
      </c>
      <c r="W242">
        <v>43110</v>
      </c>
      <c r="X242">
        <v>32590</v>
      </c>
      <c r="Y242">
        <v>31070</v>
      </c>
    </row>
    <row r="243" spans="21:25">
      <c r="U243">
        <v>4</v>
      </c>
      <c r="V243">
        <v>53270</v>
      </c>
      <c r="W243">
        <v>42030</v>
      </c>
      <c r="X243">
        <v>31660</v>
      </c>
      <c r="Y243">
        <v>34230</v>
      </c>
    </row>
    <row r="244" spans="21:25">
      <c r="U244">
        <v>1</v>
      </c>
      <c r="V244">
        <v>52300</v>
      </c>
      <c r="W244">
        <v>43060</v>
      </c>
      <c r="X244">
        <v>34700</v>
      </c>
      <c r="Y244">
        <v>31180</v>
      </c>
    </row>
    <row r="245" spans="21:25">
      <c r="U245">
        <v>2</v>
      </c>
      <c r="V245">
        <v>53180</v>
      </c>
      <c r="W245">
        <v>44150</v>
      </c>
      <c r="X245">
        <v>31500</v>
      </c>
      <c r="Y245">
        <v>32070</v>
      </c>
    </row>
    <row r="246" spans="21:25">
      <c r="U246">
        <v>3</v>
      </c>
      <c r="V246">
        <v>61010</v>
      </c>
      <c r="W246">
        <v>42150</v>
      </c>
      <c r="X246">
        <v>33580</v>
      </c>
      <c r="Y246">
        <v>34080</v>
      </c>
    </row>
    <row r="247" spans="21:25">
      <c r="U247">
        <v>4</v>
      </c>
      <c r="V247">
        <v>54110</v>
      </c>
      <c r="W247">
        <v>41090</v>
      </c>
      <c r="X247">
        <v>32320</v>
      </c>
      <c r="Y247">
        <v>33200</v>
      </c>
    </row>
    <row r="248" spans="21:25">
      <c r="U248">
        <v>1</v>
      </c>
      <c r="V248">
        <v>52210</v>
      </c>
      <c r="W248">
        <v>41050</v>
      </c>
      <c r="X248">
        <v>34680</v>
      </c>
      <c r="Y248">
        <v>33050</v>
      </c>
    </row>
    <row r="249" spans="21:25">
      <c r="U249">
        <v>2</v>
      </c>
      <c r="V249">
        <v>53180</v>
      </c>
      <c r="W249">
        <v>42140</v>
      </c>
      <c r="X249">
        <v>31480</v>
      </c>
      <c r="Y249">
        <v>34060</v>
      </c>
    </row>
    <row r="250" spans="21:25">
      <c r="U250">
        <v>3</v>
      </c>
      <c r="V250">
        <v>64020</v>
      </c>
      <c r="W250">
        <v>43290</v>
      </c>
      <c r="X250">
        <v>32380</v>
      </c>
      <c r="Y250">
        <v>31070</v>
      </c>
    </row>
    <row r="251" spans="21:25">
      <c r="U251">
        <v>4</v>
      </c>
      <c r="V251">
        <v>61010</v>
      </c>
      <c r="W251">
        <v>44220</v>
      </c>
      <c r="X251">
        <v>33500</v>
      </c>
      <c r="Y251">
        <v>32180</v>
      </c>
    </row>
    <row r="252" spans="21:25">
      <c r="U252">
        <v>1</v>
      </c>
      <c r="V252">
        <v>53300</v>
      </c>
      <c r="W252">
        <v>42120</v>
      </c>
      <c r="X252">
        <v>31470</v>
      </c>
      <c r="Y252">
        <v>34050</v>
      </c>
    </row>
    <row r="253" spans="21:25">
      <c r="U253">
        <v>2</v>
      </c>
      <c r="V253">
        <v>52150</v>
      </c>
      <c r="W253">
        <v>41160</v>
      </c>
      <c r="X253">
        <v>34360</v>
      </c>
      <c r="Y253">
        <v>33200</v>
      </c>
    </row>
    <row r="254" spans="21:25">
      <c r="U254">
        <v>3</v>
      </c>
      <c r="V254">
        <v>54330</v>
      </c>
      <c r="W254">
        <v>43240</v>
      </c>
      <c r="X254">
        <v>32620</v>
      </c>
      <c r="Y254">
        <v>31090</v>
      </c>
    </row>
    <row r="255" spans="21:25">
      <c r="U255">
        <v>4</v>
      </c>
      <c r="V255">
        <v>51010</v>
      </c>
      <c r="W255">
        <v>44320</v>
      </c>
      <c r="X255">
        <v>33250</v>
      </c>
      <c r="Y255">
        <v>32200</v>
      </c>
    </row>
    <row r="256" spans="21:25">
      <c r="U256">
        <v>1</v>
      </c>
      <c r="V256">
        <v>52080</v>
      </c>
      <c r="W256">
        <v>41090</v>
      </c>
      <c r="X256">
        <v>34470</v>
      </c>
      <c r="Y256">
        <v>33040</v>
      </c>
    </row>
    <row r="257" spans="21:25">
      <c r="U257">
        <v>2</v>
      </c>
      <c r="V257">
        <v>63010</v>
      </c>
      <c r="W257">
        <v>42080</v>
      </c>
      <c r="X257">
        <v>31370</v>
      </c>
      <c r="Y257">
        <v>34050</v>
      </c>
    </row>
    <row r="258" spans="21:25">
      <c r="U258">
        <v>3</v>
      </c>
      <c r="V258">
        <v>54440</v>
      </c>
      <c r="W258">
        <v>43220</v>
      </c>
      <c r="X258">
        <v>32540</v>
      </c>
      <c r="Y258">
        <v>31030</v>
      </c>
    </row>
    <row r="259" spans="21:25">
      <c r="U259">
        <v>4</v>
      </c>
      <c r="V259">
        <v>51230</v>
      </c>
      <c r="W259">
        <v>44250</v>
      </c>
      <c r="X259">
        <v>33550</v>
      </c>
      <c r="Y259">
        <v>32010</v>
      </c>
    </row>
    <row r="260" spans="21:25">
      <c r="U260">
        <v>1</v>
      </c>
      <c r="V260">
        <v>53270</v>
      </c>
      <c r="W260">
        <v>42040</v>
      </c>
      <c r="X260">
        <v>31300</v>
      </c>
      <c r="Y260">
        <v>34100</v>
      </c>
    </row>
    <row r="261" spans="21:25">
      <c r="U261">
        <v>2</v>
      </c>
      <c r="V261">
        <v>52370</v>
      </c>
      <c r="W261">
        <v>41010</v>
      </c>
      <c r="X261">
        <v>34680</v>
      </c>
      <c r="Y261">
        <v>33140</v>
      </c>
    </row>
    <row r="262" spans="21:25">
      <c r="U262">
        <v>3</v>
      </c>
      <c r="V262">
        <v>51350</v>
      </c>
      <c r="W262">
        <v>44250</v>
      </c>
      <c r="X262">
        <v>33510</v>
      </c>
      <c r="Y262">
        <v>32090</v>
      </c>
    </row>
    <row r="263" spans="21:25">
      <c r="U263">
        <v>4</v>
      </c>
      <c r="V263">
        <v>64020</v>
      </c>
      <c r="W263">
        <v>43060</v>
      </c>
      <c r="X263">
        <v>32410</v>
      </c>
      <c r="Y263">
        <v>31190</v>
      </c>
    </row>
    <row r="264" spans="21:25">
      <c r="U264">
        <v>1</v>
      </c>
      <c r="V264">
        <v>52420</v>
      </c>
      <c r="W264">
        <v>41030</v>
      </c>
      <c r="X264">
        <v>34540</v>
      </c>
      <c r="Y264">
        <v>33010</v>
      </c>
    </row>
    <row r="265" spans="21:25">
      <c r="U265">
        <v>2</v>
      </c>
      <c r="V265">
        <v>51360</v>
      </c>
      <c r="W265">
        <v>44060</v>
      </c>
      <c r="X265">
        <v>33570</v>
      </c>
      <c r="Y265">
        <v>32010</v>
      </c>
    </row>
    <row r="266" spans="21:25">
      <c r="U266">
        <v>3</v>
      </c>
      <c r="V266">
        <v>53340</v>
      </c>
      <c r="W266">
        <v>42190</v>
      </c>
      <c r="X266">
        <v>31220</v>
      </c>
      <c r="Y266">
        <v>34140</v>
      </c>
    </row>
    <row r="267" spans="21:25">
      <c r="U267">
        <v>4</v>
      </c>
      <c r="V267">
        <v>54310</v>
      </c>
      <c r="W267">
        <v>43110</v>
      </c>
      <c r="X267">
        <v>32450</v>
      </c>
      <c r="Y267">
        <v>31060</v>
      </c>
    </row>
    <row r="268" spans="21:25">
      <c r="U268">
        <v>1</v>
      </c>
      <c r="V268">
        <v>53160</v>
      </c>
      <c r="W268">
        <v>44020</v>
      </c>
      <c r="X268">
        <v>31300</v>
      </c>
      <c r="Y268">
        <v>32070</v>
      </c>
    </row>
    <row r="269" spans="21:25">
      <c r="U269">
        <v>2</v>
      </c>
      <c r="V269">
        <v>54200</v>
      </c>
      <c r="W269">
        <v>41220</v>
      </c>
      <c r="X269">
        <v>32650</v>
      </c>
      <c r="Y269">
        <v>33120</v>
      </c>
    </row>
    <row r="270" spans="21:25">
      <c r="U270">
        <v>3</v>
      </c>
      <c r="V270">
        <v>51420</v>
      </c>
      <c r="W270">
        <v>42070</v>
      </c>
      <c r="X270">
        <v>33440</v>
      </c>
      <c r="Y270">
        <v>34230</v>
      </c>
    </row>
    <row r="271" spans="21:25">
      <c r="U271">
        <v>4</v>
      </c>
      <c r="V271">
        <v>52410</v>
      </c>
      <c r="W271">
        <v>43160</v>
      </c>
      <c r="X271">
        <v>34350</v>
      </c>
      <c r="Y271">
        <v>31070</v>
      </c>
    </row>
    <row r="272" spans="21:25">
      <c r="U272">
        <v>1</v>
      </c>
      <c r="V272">
        <v>53140</v>
      </c>
      <c r="W272">
        <v>42140</v>
      </c>
      <c r="X272">
        <v>31440</v>
      </c>
      <c r="Y272">
        <v>34130</v>
      </c>
    </row>
    <row r="273" spans="21:25">
      <c r="U273">
        <v>2</v>
      </c>
      <c r="V273">
        <v>54450</v>
      </c>
      <c r="W273">
        <v>43080</v>
      </c>
      <c r="X273">
        <v>32470</v>
      </c>
      <c r="Y273">
        <v>31180</v>
      </c>
    </row>
    <row r="274" spans="21:25">
      <c r="U274">
        <v>3</v>
      </c>
      <c r="V274">
        <v>52110</v>
      </c>
      <c r="W274">
        <v>41090</v>
      </c>
      <c r="X274">
        <v>34030</v>
      </c>
      <c r="Y274">
        <v>33070</v>
      </c>
    </row>
    <row r="275" spans="21:25">
      <c r="U275">
        <v>4</v>
      </c>
      <c r="V275">
        <v>61040</v>
      </c>
      <c r="W275">
        <v>44300</v>
      </c>
      <c r="X275">
        <v>33250</v>
      </c>
      <c r="Y275">
        <v>32100</v>
      </c>
    </row>
    <row r="276" spans="21:25">
      <c r="U276">
        <v>1</v>
      </c>
      <c r="V276">
        <v>52460</v>
      </c>
      <c r="W276">
        <v>41070</v>
      </c>
      <c r="X276">
        <v>34610</v>
      </c>
      <c r="Y276">
        <v>33130</v>
      </c>
    </row>
    <row r="277" spans="21:25">
      <c r="U277">
        <v>2</v>
      </c>
      <c r="V277">
        <v>54320</v>
      </c>
      <c r="W277">
        <v>43310</v>
      </c>
      <c r="X277">
        <v>32290</v>
      </c>
      <c r="Y277">
        <v>31020</v>
      </c>
    </row>
    <row r="278" spans="21:25">
      <c r="U278">
        <v>3</v>
      </c>
      <c r="V278">
        <v>53260</v>
      </c>
      <c r="W278">
        <v>42080</v>
      </c>
      <c r="X278">
        <v>31640</v>
      </c>
      <c r="Y278">
        <v>34160</v>
      </c>
    </row>
    <row r="279" spans="21:25">
      <c r="U279">
        <v>4</v>
      </c>
      <c r="V279">
        <v>51240</v>
      </c>
      <c r="W279">
        <v>44200</v>
      </c>
      <c r="X279">
        <v>33660</v>
      </c>
      <c r="Y279">
        <v>32140</v>
      </c>
    </row>
    <row r="280" spans="21:25">
      <c r="U280">
        <v>1</v>
      </c>
      <c r="V280">
        <v>54260</v>
      </c>
      <c r="W280">
        <v>41030</v>
      </c>
      <c r="X280">
        <v>32290</v>
      </c>
      <c r="Y280">
        <v>33040</v>
      </c>
    </row>
    <row r="281" spans="21:25">
      <c r="U281">
        <v>2</v>
      </c>
      <c r="V281">
        <v>52110</v>
      </c>
      <c r="W281">
        <v>43220</v>
      </c>
      <c r="X281">
        <v>34470</v>
      </c>
      <c r="Y281">
        <v>31030</v>
      </c>
    </row>
    <row r="282" spans="21:25">
      <c r="U282">
        <v>3</v>
      </c>
      <c r="V282">
        <v>53020</v>
      </c>
      <c r="W282">
        <v>44190</v>
      </c>
      <c r="X282">
        <v>31420</v>
      </c>
      <c r="Y282">
        <v>32100</v>
      </c>
    </row>
    <row r="283" spans="21:25">
      <c r="U283">
        <v>4</v>
      </c>
      <c r="V283">
        <v>51020</v>
      </c>
      <c r="W283">
        <v>42010</v>
      </c>
      <c r="X283">
        <v>33220</v>
      </c>
      <c r="Y283">
        <v>34040</v>
      </c>
    </row>
    <row r="284" spans="21:25">
      <c r="U284">
        <v>1</v>
      </c>
      <c r="V284">
        <v>52260</v>
      </c>
      <c r="W284">
        <v>43130</v>
      </c>
      <c r="X284">
        <v>34480</v>
      </c>
      <c r="Y284">
        <v>31070</v>
      </c>
    </row>
    <row r="285" spans="21:25">
      <c r="U285">
        <v>2</v>
      </c>
      <c r="V285">
        <v>54380</v>
      </c>
      <c r="W285">
        <v>41050</v>
      </c>
      <c r="X285">
        <v>32530</v>
      </c>
      <c r="Y285">
        <v>33170</v>
      </c>
    </row>
    <row r="286" spans="21:25">
      <c r="U286">
        <v>3</v>
      </c>
      <c r="V286">
        <v>51030</v>
      </c>
      <c r="W286">
        <v>42320</v>
      </c>
      <c r="X286">
        <v>33570</v>
      </c>
      <c r="Y286">
        <v>34170</v>
      </c>
    </row>
    <row r="287" spans="21:25">
      <c r="U287">
        <v>4</v>
      </c>
      <c r="V287">
        <v>53010</v>
      </c>
      <c r="W287">
        <v>44200</v>
      </c>
      <c r="X287">
        <v>31630</v>
      </c>
      <c r="Y287">
        <v>32040</v>
      </c>
    </row>
    <row r="288" spans="21:25">
      <c r="U288">
        <v>1</v>
      </c>
      <c r="V288">
        <v>54230</v>
      </c>
      <c r="W288">
        <v>41240</v>
      </c>
      <c r="X288">
        <v>32120</v>
      </c>
      <c r="Y288">
        <v>33070</v>
      </c>
    </row>
    <row r="289" spans="21:25">
      <c r="U289">
        <v>2</v>
      </c>
      <c r="V289">
        <v>51330</v>
      </c>
      <c r="W289">
        <v>42150</v>
      </c>
      <c r="X289">
        <v>33430</v>
      </c>
      <c r="Y289">
        <v>34210</v>
      </c>
    </row>
    <row r="290" spans="21:25">
      <c r="U290">
        <v>3</v>
      </c>
      <c r="V290">
        <v>52190</v>
      </c>
      <c r="W290">
        <v>43220</v>
      </c>
      <c r="X290">
        <v>34430</v>
      </c>
      <c r="Y290">
        <v>31020</v>
      </c>
    </row>
    <row r="291" spans="21:25">
      <c r="U291">
        <v>4</v>
      </c>
      <c r="V291">
        <v>53210</v>
      </c>
      <c r="W291">
        <v>44240</v>
      </c>
      <c r="X291">
        <v>31520</v>
      </c>
      <c r="Y291">
        <v>32070</v>
      </c>
    </row>
    <row r="292" spans="21:25">
      <c r="U292">
        <v>1</v>
      </c>
      <c r="V292">
        <v>52330</v>
      </c>
      <c r="W292">
        <v>43090</v>
      </c>
      <c r="X292">
        <v>34490</v>
      </c>
      <c r="Y292">
        <v>31160</v>
      </c>
    </row>
    <row r="293" spans="21:25">
      <c r="U293">
        <v>2</v>
      </c>
      <c r="V293">
        <v>51230</v>
      </c>
      <c r="W293">
        <v>42120</v>
      </c>
      <c r="X293">
        <v>33480</v>
      </c>
      <c r="Y293">
        <v>34090</v>
      </c>
    </row>
    <row r="294" spans="21:25">
      <c r="U294">
        <v>3</v>
      </c>
      <c r="V294">
        <v>53360</v>
      </c>
      <c r="W294">
        <v>44190</v>
      </c>
      <c r="X294">
        <v>31220</v>
      </c>
      <c r="Y294">
        <v>32020</v>
      </c>
    </row>
    <row r="295" spans="21:25">
      <c r="U295">
        <v>4</v>
      </c>
      <c r="V295">
        <v>54430</v>
      </c>
      <c r="W295">
        <v>41240</v>
      </c>
      <c r="X295">
        <v>32370</v>
      </c>
      <c r="Y295">
        <v>33120</v>
      </c>
    </row>
    <row r="296" spans="21:25">
      <c r="U296">
        <v>1</v>
      </c>
      <c r="V296">
        <v>51300</v>
      </c>
      <c r="W296">
        <v>44130</v>
      </c>
      <c r="X296">
        <v>33380</v>
      </c>
      <c r="Y296">
        <v>32130</v>
      </c>
    </row>
    <row r="297" spans="21:25">
      <c r="U297">
        <v>2</v>
      </c>
      <c r="V297">
        <v>53410</v>
      </c>
      <c r="W297">
        <v>42040</v>
      </c>
      <c r="X297">
        <v>31320</v>
      </c>
      <c r="Y297">
        <v>34150</v>
      </c>
    </row>
    <row r="298" spans="21:25">
      <c r="U298">
        <v>3</v>
      </c>
      <c r="V298">
        <v>54200</v>
      </c>
      <c r="W298">
        <v>43070</v>
      </c>
      <c r="X298">
        <v>32430</v>
      </c>
      <c r="Y298">
        <v>31120</v>
      </c>
    </row>
    <row r="299" spans="21:25">
      <c r="U299">
        <v>4</v>
      </c>
      <c r="V299">
        <v>52170</v>
      </c>
      <c r="W299">
        <v>41350</v>
      </c>
      <c r="X299">
        <v>34510</v>
      </c>
      <c r="Y299">
        <v>33230</v>
      </c>
    </row>
    <row r="300" spans="21:25">
      <c r="U300">
        <v>1</v>
      </c>
      <c r="V300">
        <v>53020</v>
      </c>
      <c r="W300">
        <v>42280</v>
      </c>
      <c r="X300">
        <v>31650</v>
      </c>
      <c r="Y300">
        <v>34080</v>
      </c>
    </row>
    <row r="301" spans="21:25">
      <c r="U301">
        <v>2</v>
      </c>
      <c r="V301">
        <v>52410</v>
      </c>
      <c r="W301">
        <v>41230</v>
      </c>
      <c r="X301">
        <v>34580</v>
      </c>
      <c r="Y301">
        <v>33050</v>
      </c>
    </row>
    <row r="302" spans="21:25">
      <c r="U302">
        <v>3</v>
      </c>
      <c r="V302">
        <v>54400</v>
      </c>
      <c r="W302">
        <v>43020</v>
      </c>
      <c r="X302">
        <v>32360</v>
      </c>
      <c r="Y302">
        <v>31120</v>
      </c>
    </row>
    <row r="303" spans="21:25">
      <c r="U303">
        <v>4</v>
      </c>
      <c r="V303">
        <v>51440</v>
      </c>
      <c r="W303">
        <v>44230</v>
      </c>
      <c r="X303">
        <v>33470</v>
      </c>
      <c r="Y303">
        <v>32070</v>
      </c>
    </row>
    <row r="304" spans="21:25">
      <c r="U304">
        <v>1</v>
      </c>
      <c r="V304">
        <v>53160</v>
      </c>
      <c r="W304">
        <v>42140</v>
      </c>
      <c r="X304">
        <v>31220</v>
      </c>
      <c r="Y304">
        <v>34170</v>
      </c>
    </row>
    <row r="305" spans="21:25">
      <c r="U305">
        <v>2</v>
      </c>
      <c r="V305">
        <v>54280</v>
      </c>
      <c r="W305">
        <v>43150</v>
      </c>
      <c r="X305">
        <v>32320</v>
      </c>
      <c r="Y305">
        <v>31020</v>
      </c>
    </row>
    <row r="306" spans="21:25">
      <c r="U306">
        <v>3</v>
      </c>
      <c r="V306">
        <v>52080</v>
      </c>
      <c r="W306">
        <v>41210</v>
      </c>
      <c r="X306">
        <v>34420</v>
      </c>
      <c r="Y306">
        <v>33010</v>
      </c>
    </row>
    <row r="307" spans="21:25">
      <c r="U307">
        <v>4</v>
      </c>
      <c r="V307">
        <v>51130</v>
      </c>
      <c r="W307">
        <v>44110</v>
      </c>
      <c r="X307">
        <v>33590</v>
      </c>
      <c r="Y307">
        <v>32210</v>
      </c>
    </row>
    <row r="308" spans="21:25">
      <c r="U308">
        <v>1</v>
      </c>
      <c r="V308">
        <v>52110</v>
      </c>
      <c r="W308">
        <v>41080</v>
      </c>
      <c r="X308">
        <v>34510</v>
      </c>
      <c r="Y308">
        <v>33060</v>
      </c>
    </row>
    <row r="309" spans="21:25">
      <c r="U309">
        <v>2</v>
      </c>
      <c r="V309">
        <v>53470</v>
      </c>
      <c r="W309">
        <v>42180</v>
      </c>
      <c r="X309">
        <v>31640</v>
      </c>
      <c r="Y309">
        <v>34160</v>
      </c>
    </row>
    <row r="310" spans="21:25">
      <c r="U310">
        <v>3</v>
      </c>
      <c r="V310">
        <v>64030</v>
      </c>
      <c r="W310">
        <v>43190</v>
      </c>
      <c r="X310">
        <v>32520</v>
      </c>
      <c r="Y310">
        <v>31010</v>
      </c>
    </row>
    <row r="311" spans="21:25">
      <c r="U311">
        <v>4</v>
      </c>
      <c r="V311">
        <v>51190</v>
      </c>
      <c r="W311">
        <v>44010</v>
      </c>
      <c r="X311">
        <v>33430</v>
      </c>
      <c r="Y311">
        <v>32080</v>
      </c>
    </row>
    <row r="312" spans="21:25">
      <c r="U312">
        <v>1</v>
      </c>
      <c r="V312">
        <v>51400</v>
      </c>
      <c r="W312">
        <v>44110</v>
      </c>
      <c r="X312">
        <v>33600</v>
      </c>
      <c r="Y312">
        <v>32060</v>
      </c>
    </row>
    <row r="313" spans="21:25">
      <c r="U313">
        <v>2</v>
      </c>
      <c r="V313">
        <v>52240</v>
      </c>
      <c r="W313">
        <v>41160</v>
      </c>
      <c r="X313">
        <v>34360</v>
      </c>
      <c r="Y313">
        <v>33140</v>
      </c>
    </row>
    <row r="314" spans="21:25">
      <c r="U314">
        <v>3</v>
      </c>
      <c r="V314">
        <v>54450</v>
      </c>
      <c r="W314">
        <v>43120</v>
      </c>
      <c r="X314">
        <v>32620</v>
      </c>
      <c r="Y314">
        <v>31130</v>
      </c>
    </row>
    <row r="315" spans="21:25">
      <c r="U315">
        <v>4</v>
      </c>
      <c r="V315">
        <v>53380</v>
      </c>
      <c r="W315">
        <v>42080</v>
      </c>
      <c r="X315">
        <v>31430</v>
      </c>
      <c r="Y315">
        <v>34140</v>
      </c>
    </row>
    <row r="316" spans="21:25">
      <c r="U316">
        <v>1</v>
      </c>
      <c r="V316">
        <v>51340</v>
      </c>
      <c r="W316">
        <v>42040</v>
      </c>
      <c r="X316">
        <v>33360</v>
      </c>
      <c r="Y316">
        <v>34040</v>
      </c>
    </row>
    <row r="317" spans="21:25">
      <c r="U317">
        <v>2</v>
      </c>
      <c r="V317">
        <v>54030</v>
      </c>
      <c r="W317">
        <v>41240</v>
      </c>
      <c r="X317">
        <v>32660</v>
      </c>
      <c r="Y317">
        <v>33160</v>
      </c>
    </row>
    <row r="318" spans="21:25">
      <c r="U318">
        <v>3</v>
      </c>
      <c r="V318">
        <v>53210</v>
      </c>
      <c r="W318">
        <v>44320</v>
      </c>
      <c r="X318">
        <v>31610</v>
      </c>
      <c r="Y318">
        <v>32090</v>
      </c>
    </row>
    <row r="319" spans="21:25">
      <c r="U319">
        <v>4</v>
      </c>
      <c r="V319">
        <v>52190</v>
      </c>
      <c r="W319">
        <v>43120</v>
      </c>
      <c r="X319">
        <v>34500</v>
      </c>
      <c r="Y319">
        <v>31050</v>
      </c>
    </row>
    <row r="320" spans="21:25">
      <c r="U320">
        <v>1</v>
      </c>
      <c r="V320">
        <v>52120</v>
      </c>
      <c r="W320">
        <v>43050</v>
      </c>
      <c r="X320">
        <v>34390</v>
      </c>
      <c r="Y320">
        <v>31160</v>
      </c>
    </row>
    <row r="321" spans="21:25">
      <c r="U321">
        <v>2</v>
      </c>
      <c r="V321">
        <v>61010</v>
      </c>
      <c r="W321">
        <v>42180</v>
      </c>
      <c r="X321">
        <v>33490</v>
      </c>
      <c r="Y321">
        <v>34100</v>
      </c>
    </row>
    <row r="322" spans="21:25">
      <c r="U322">
        <v>3</v>
      </c>
      <c r="V322">
        <v>53140</v>
      </c>
      <c r="W322">
        <v>44110</v>
      </c>
      <c r="X322">
        <v>31620</v>
      </c>
      <c r="Y322">
        <v>32170</v>
      </c>
    </row>
    <row r="323" spans="21:25">
      <c r="U323">
        <v>4</v>
      </c>
      <c r="V323">
        <v>54330</v>
      </c>
      <c r="W323">
        <v>41210</v>
      </c>
      <c r="X323">
        <v>32430</v>
      </c>
      <c r="Y323">
        <v>33140</v>
      </c>
    </row>
  </sheetData>
  <mergeCells count="4">
    <mergeCell ref="A3:D3"/>
    <mergeCell ref="E3:H3"/>
    <mergeCell ref="I3:L3"/>
    <mergeCell ref="M3:P3"/>
  </mergeCells>
  <phoneticPr fontId="7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Pict="0" macro="[0]!二十四小时_卡牌筛选">
                <anchor moveWithCells="1" sizeWithCells="1">
                  <from>
                    <xdr:col>9</xdr:col>
                    <xdr:colOff>114300</xdr:colOff>
                    <xdr:row>0</xdr:row>
                    <xdr:rowOff>57150</xdr:rowOff>
                  </from>
                  <to>
                    <xdr:col>10</xdr:col>
                    <xdr:colOff>438150</xdr:colOff>
                    <xdr:row>1</xdr:row>
                    <xdr:rowOff>142875</xdr:rowOff>
                  </to>
                </anchor>
              </controlPr>
            </control>
          </mc:Choice>
        </mc:AlternateContent>
        <mc:AlternateContent xmlns:mc="http://schemas.openxmlformats.org/markup-compatibility/2006">
          <mc:Choice Requires="x14">
            <control shapeId="13315" r:id="rId4" name="Button 3">
              <controlPr defaultSize="0" print="0" autoPict="0" macro="[0]!二十四小时_数据生成">
                <anchor moveWithCells="1" sizeWithCells="1">
                  <from>
                    <xdr:col>11</xdr:col>
                    <xdr:colOff>161925</xdr:colOff>
                    <xdr:row>0</xdr:row>
                    <xdr:rowOff>47625</xdr:rowOff>
                  </from>
                  <to>
                    <xdr:col>12</xdr:col>
                    <xdr:colOff>495300</xdr:colOff>
                    <xdr:row>1</xdr:row>
                    <xdr:rowOff>133350</xdr:rowOff>
                  </to>
                </anchor>
              </controlPr>
            </control>
          </mc:Choice>
        </mc:AlternateContent>
        <mc:AlternateContent xmlns:mc="http://schemas.openxmlformats.org/markup-compatibility/2006">
          <mc:Choice Requires="x14">
            <control shapeId="13316" r:id="rId5" name="Button 4">
              <controlPr defaultSize="0" print="0" autoPict="0" macro="[0]!二十四小时_数据更新">
                <anchor moveWithCells="1" sizeWithCells="1">
                  <from>
                    <xdr:col>13</xdr:col>
                    <xdr:colOff>161925</xdr:colOff>
                    <xdr:row>0</xdr:row>
                    <xdr:rowOff>57150</xdr:rowOff>
                  </from>
                  <to>
                    <xdr:col>14</xdr:col>
                    <xdr:colOff>276225</xdr:colOff>
                    <xdr:row>1</xdr:row>
                    <xdr:rowOff>142875</xdr:rowOff>
                  </to>
                </anchor>
              </controlPr>
            </control>
          </mc:Choice>
        </mc:AlternateContent>
        <mc:AlternateContent xmlns:mc="http://schemas.openxmlformats.org/markup-compatibility/2006">
          <mc:Choice Requires="x14">
            <control shapeId="13318" r:id="rId6" name="Button 6">
              <controlPr defaultSize="0" print="0" autoPict="0" macro="[0]!二十四小时_国服路径">
                <anchor>
                  <from>
                    <xdr:col>6</xdr:col>
                    <xdr:colOff>38100</xdr:colOff>
                    <xdr:row>0</xdr:row>
                    <xdr:rowOff>28575</xdr:rowOff>
                  </from>
                  <to>
                    <xdr:col>7</xdr:col>
                    <xdr:colOff>447675</xdr:colOff>
                    <xdr:row>1</xdr:row>
                    <xdr:rowOff>142875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3"/>
  <dimension ref="A1:BR1057"/>
  <sheetViews>
    <sheetView workbookViewId="0">
      <pane ySplit="1" topLeftCell="A2" activePane="bottomLeft" state="frozen"/>
      <selection pane="bottomLeft" activeCell="K24" sqref="K24:L24"/>
    </sheetView>
  </sheetViews>
  <sheetFormatPr defaultColWidth="9" defaultRowHeight="16.5"/>
  <cols>
    <col min="1" max="3" width="4.75" customWidth="1"/>
    <col min="4" max="4" width="7.5" customWidth="1"/>
    <col min="5" max="5" width="6.5" customWidth="1"/>
    <col min="6" max="6" width="7.5" customWidth="1"/>
    <col min="7" max="7" width="5.5" customWidth="1"/>
    <col min="8" max="8" width="19.125" customWidth="1"/>
    <col min="9" max="9" width="7.75" customWidth="1"/>
    <col min="10" max="11" width="4.75" customWidth="1"/>
    <col min="12" max="12" width="7.5" customWidth="1"/>
    <col min="13" max="13" width="4.75" customWidth="1"/>
    <col min="14" max="14" width="15.125" customWidth="1"/>
    <col min="15" max="15" width="4.75" customWidth="1"/>
    <col min="16" max="17" width="13.625" customWidth="1"/>
    <col min="18" max="18" width="11.625" customWidth="1"/>
    <col min="19" max="19" width="4.375" customWidth="1"/>
    <col min="20" max="21" width="5.875" customWidth="1"/>
    <col min="22" max="22" width="6.75" customWidth="1"/>
    <col min="23" max="23" width="4" customWidth="1"/>
    <col min="24" max="24" width="4.25" customWidth="1"/>
    <col min="25" max="25" width="4.75" customWidth="1"/>
    <col min="26" max="26" width="5.75" customWidth="1"/>
    <col min="27" max="27" width="4.75" customWidth="1"/>
    <col min="28" max="28" width="5.5" customWidth="1"/>
    <col min="29" max="29" width="6.5" customWidth="1"/>
    <col min="30" max="30" width="27" customWidth="1"/>
    <col min="31" max="32" width="4.875" customWidth="1"/>
    <col min="33" max="33" width="22.75" customWidth="1"/>
    <col min="34" max="34" width="4.875" customWidth="1"/>
    <col min="36" max="36" width="14" customWidth="1"/>
    <col min="37" max="37" width="8" customWidth="1"/>
    <col min="38" max="38" width="4.75" customWidth="1"/>
    <col min="40" max="40" width="12.5" customWidth="1"/>
    <col min="43" max="43" width="4.75" customWidth="1"/>
    <col min="44" max="44" width="10" customWidth="1"/>
    <col min="45" max="50" width="8" customWidth="1"/>
    <col min="51" max="51" width="4.75" customWidth="1"/>
    <col min="53" max="53" width="6.25" customWidth="1"/>
    <col min="55" max="55" width="4.75" customWidth="1"/>
    <col min="57" max="57" width="4.75" customWidth="1"/>
    <col min="58" max="58" width="6.375" customWidth="1"/>
    <col min="59" max="62" width="5.5" customWidth="1"/>
    <col min="63" max="63" width="9.625" customWidth="1"/>
    <col min="64" max="65" width="6.375" customWidth="1"/>
    <col min="66" max="66" width="6.625" customWidth="1"/>
    <col min="67" max="70" width="4.5" customWidth="1"/>
  </cols>
  <sheetData>
    <row r="1" spans="1:70" s="2" customFormat="1" ht="84.75" customHeight="1">
      <c r="A1" s="31" t="s">
        <v>377</v>
      </c>
      <c r="B1" s="32" t="s">
        <v>378</v>
      </c>
      <c r="C1" s="31" t="s">
        <v>379</v>
      </c>
      <c r="D1" s="31" t="s">
        <v>380</v>
      </c>
      <c r="E1" s="31" t="s">
        <v>381</v>
      </c>
      <c r="F1" s="31" t="s">
        <v>382</v>
      </c>
      <c r="G1" s="31" t="s">
        <v>383</v>
      </c>
      <c r="H1" s="31" t="s">
        <v>260</v>
      </c>
      <c r="I1" s="32" t="s">
        <v>384</v>
      </c>
      <c r="J1" s="32" t="s">
        <v>385</v>
      </c>
      <c r="K1" s="31" t="s">
        <v>377</v>
      </c>
      <c r="L1" s="31" t="s">
        <v>386</v>
      </c>
      <c r="M1" s="32" t="s">
        <v>387</v>
      </c>
      <c r="N1" s="32" t="s">
        <v>388</v>
      </c>
      <c r="O1" s="32" t="s">
        <v>389</v>
      </c>
      <c r="P1" s="32" t="s">
        <v>390</v>
      </c>
      <c r="Q1" s="32" t="s">
        <v>391</v>
      </c>
      <c r="R1" s="31" t="s">
        <v>392</v>
      </c>
      <c r="S1" s="31" t="s">
        <v>393</v>
      </c>
      <c r="T1" s="31" t="s">
        <v>394</v>
      </c>
      <c r="U1" s="31" t="s">
        <v>395</v>
      </c>
      <c r="V1" s="31" t="s">
        <v>396</v>
      </c>
      <c r="W1" s="31" t="s">
        <v>397</v>
      </c>
      <c r="X1" s="31" t="s">
        <v>398</v>
      </c>
      <c r="Y1" s="32" t="s">
        <v>399</v>
      </c>
      <c r="Z1" s="32"/>
      <c r="AA1" s="31" t="s">
        <v>400</v>
      </c>
      <c r="AB1" s="31" t="s">
        <v>401</v>
      </c>
      <c r="AC1" s="31" t="s">
        <v>402</v>
      </c>
      <c r="AD1" s="31" t="s">
        <v>403</v>
      </c>
      <c r="AE1" s="31" t="s">
        <v>404</v>
      </c>
      <c r="AF1" s="31" t="s">
        <v>405</v>
      </c>
      <c r="AG1" s="31" t="s">
        <v>406</v>
      </c>
      <c r="AH1" s="31" t="s">
        <v>407</v>
      </c>
      <c r="AI1" s="31" t="s">
        <v>408</v>
      </c>
      <c r="AJ1" s="31" t="s">
        <v>409</v>
      </c>
      <c r="AK1" s="31" t="s">
        <v>410</v>
      </c>
      <c r="AL1" s="31" t="s">
        <v>411</v>
      </c>
      <c r="AM1" s="32" t="s">
        <v>412</v>
      </c>
      <c r="AN1" s="32"/>
      <c r="AO1" s="31" t="s">
        <v>413</v>
      </c>
      <c r="AP1" s="31" t="s">
        <v>414</v>
      </c>
      <c r="AQ1" s="31"/>
      <c r="AR1" s="32" t="s">
        <v>415</v>
      </c>
      <c r="AS1" s="32" t="s">
        <v>416</v>
      </c>
      <c r="AT1" s="32" t="s">
        <v>417</v>
      </c>
      <c r="AU1" s="32" t="s">
        <v>418</v>
      </c>
      <c r="AV1" s="32" t="s">
        <v>419</v>
      </c>
      <c r="AW1" s="32" t="s">
        <v>420</v>
      </c>
      <c r="AX1" s="32" t="s">
        <v>421</v>
      </c>
      <c r="AY1" s="32" t="s">
        <v>422</v>
      </c>
      <c r="AZ1" s="32" t="s">
        <v>423</v>
      </c>
      <c r="BA1" s="31" t="s">
        <v>424</v>
      </c>
      <c r="BB1" s="31" t="s">
        <v>425</v>
      </c>
      <c r="BC1" s="31" t="s">
        <v>426</v>
      </c>
      <c r="BD1" s="31" t="s">
        <v>427</v>
      </c>
      <c r="BE1" s="31" t="s">
        <v>428</v>
      </c>
      <c r="BF1" s="32" t="s">
        <v>429</v>
      </c>
      <c r="BG1" s="13" t="s">
        <v>380</v>
      </c>
      <c r="BH1" s="13" t="s">
        <v>381</v>
      </c>
      <c r="BI1" s="13" t="s">
        <v>382</v>
      </c>
      <c r="BJ1" s="13" t="s">
        <v>383</v>
      </c>
      <c r="BK1" s="31" t="s">
        <v>430</v>
      </c>
      <c r="BL1" s="31" t="s">
        <v>431</v>
      </c>
      <c r="BM1" s="31" t="s">
        <v>432</v>
      </c>
      <c r="BN1" s="2" t="s">
        <v>433</v>
      </c>
      <c r="BO1" s="2" t="s">
        <v>434</v>
      </c>
      <c r="BP1" s="2" t="s">
        <v>435</v>
      </c>
      <c r="BQ1" s="2" t="s">
        <v>436</v>
      </c>
      <c r="BR1" s="2" t="s">
        <v>437</v>
      </c>
    </row>
    <row r="2" spans="1:70">
      <c r="A2" s="33">
        <v>0</v>
      </c>
      <c r="B2" s="13">
        <v>1</v>
      </c>
      <c r="C2" s="33">
        <v>1</v>
      </c>
      <c r="D2" s="33">
        <v>0.36</v>
      </c>
      <c r="E2" s="33">
        <v>0.33</v>
      </c>
      <c r="F2" s="33">
        <v>0.3</v>
      </c>
      <c r="G2" s="33">
        <v>0.01</v>
      </c>
      <c r="H2" s="33" t="s">
        <v>438</v>
      </c>
      <c r="I2" s="13" t="s">
        <v>439</v>
      </c>
      <c r="J2" s="13">
        <v>1</v>
      </c>
      <c r="K2" s="33">
        <v>101</v>
      </c>
      <c r="L2" s="33">
        <v>112001</v>
      </c>
      <c r="M2" s="13">
        <v>1</v>
      </c>
      <c r="N2" s="13" t="s">
        <v>440</v>
      </c>
      <c r="O2" s="13">
        <v>3</v>
      </c>
      <c r="P2" s="13" t="s">
        <v>441</v>
      </c>
      <c r="Q2" s="13" t="s">
        <v>442</v>
      </c>
      <c r="R2" s="33" t="s">
        <v>443</v>
      </c>
      <c r="S2" s="33">
        <v>125</v>
      </c>
      <c r="T2" s="33">
        <v>1005</v>
      </c>
      <c r="U2" s="33">
        <v>611</v>
      </c>
      <c r="V2" s="33">
        <v>45</v>
      </c>
      <c r="W2" s="33">
        <v>2</v>
      </c>
      <c r="X2" s="33">
        <v>1</v>
      </c>
      <c r="Y2" s="13">
        <v>1</v>
      </c>
      <c r="Z2" s="13"/>
      <c r="AA2" s="33">
        <v>1</v>
      </c>
      <c r="AB2" s="33">
        <v>62</v>
      </c>
      <c r="AC2" s="33">
        <v>4302</v>
      </c>
      <c r="AD2" s="33"/>
      <c r="AE2" s="91" t="s">
        <v>444</v>
      </c>
      <c r="AF2" s="33">
        <v>3</v>
      </c>
      <c r="AG2" s="33" t="s">
        <v>445</v>
      </c>
      <c r="AH2" s="33"/>
      <c r="AI2" s="33">
        <v>200</v>
      </c>
      <c r="AJ2" s="33" t="s">
        <v>440</v>
      </c>
      <c r="AK2" s="33" t="s">
        <v>446</v>
      </c>
      <c r="AL2" s="33"/>
      <c r="AM2" s="13" t="s">
        <v>447</v>
      </c>
      <c r="AN2" s="13" t="s">
        <v>448</v>
      </c>
      <c r="AO2" s="33">
        <v>1</v>
      </c>
      <c r="AP2" s="33" t="s">
        <v>449</v>
      </c>
      <c r="AQ2" s="33"/>
      <c r="AR2" s="13">
        <v>1</v>
      </c>
      <c r="AS2" s="13"/>
      <c r="AT2" s="13"/>
      <c r="AU2" s="13"/>
      <c r="AV2" s="13"/>
      <c r="AW2" s="13"/>
      <c r="AX2" s="13">
        <v>40</v>
      </c>
      <c r="AY2" s="13">
        <v>0</v>
      </c>
      <c r="AZ2" s="13">
        <v>1</v>
      </c>
      <c r="BA2" s="33">
        <v>1</v>
      </c>
      <c r="BB2" s="33"/>
      <c r="BC2" s="33">
        <v>5</v>
      </c>
      <c r="BD2" s="33"/>
      <c r="BE2" s="33">
        <v>5</v>
      </c>
      <c r="BF2" s="13" t="s">
        <v>422</v>
      </c>
      <c r="BG2">
        <v>1300</v>
      </c>
      <c r="BH2">
        <v>902</v>
      </c>
      <c r="BI2">
        <v>375</v>
      </c>
      <c r="BJ2">
        <v>170</v>
      </c>
      <c r="BK2" s="33" t="s">
        <v>450</v>
      </c>
      <c r="BL2" s="33">
        <v>4</v>
      </c>
      <c r="BM2" s="33">
        <v>22</v>
      </c>
      <c r="BN2" s="15">
        <v>7101</v>
      </c>
      <c r="BO2">
        <v>610</v>
      </c>
      <c r="BP2">
        <v>424</v>
      </c>
      <c r="BQ2">
        <v>174</v>
      </c>
      <c r="BR2">
        <v>81</v>
      </c>
    </row>
    <row r="3" spans="1:70">
      <c r="A3" s="33">
        <v>1</v>
      </c>
      <c r="B3" s="13">
        <v>2</v>
      </c>
      <c r="C3" s="33">
        <v>2</v>
      </c>
      <c r="D3" s="33">
        <v>0.39</v>
      </c>
      <c r="E3" s="33">
        <v>0.33</v>
      </c>
      <c r="F3" s="33">
        <v>0.27</v>
      </c>
      <c r="G3" s="33">
        <v>0.01</v>
      </c>
      <c r="H3" s="33" t="s">
        <v>451</v>
      </c>
      <c r="I3" s="13" t="s">
        <v>452</v>
      </c>
      <c r="J3" s="13">
        <v>2</v>
      </c>
      <c r="K3" s="33">
        <v>102</v>
      </c>
      <c r="L3" s="33">
        <v>112002</v>
      </c>
      <c r="M3" s="13">
        <v>2</v>
      </c>
      <c r="N3" s="13" t="s">
        <v>453</v>
      </c>
      <c r="O3" s="13">
        <v>5</v>
      </c>
      <c r="P3" s="13" t="s">
        <v>454</v>
      </c>
      <c r="Q3" s="13" t="s">
        <v>455</v>
      </c>
      <c r="R3" s="33" t="s">
        <v>456</v>
      </c>
      <c r="S3" s="33">
        <v>126</v>
      </c>
      <c r="T3" s="33">
        <v>1002</v>
      </c>
      <c r="U3" s="33">
        <v>613</v>
      </c>
      <c r="V3" s="33">
        <v>18</v>
      </c>
      <c r="W3" s="33">
        <v>3</v>
      </c>
      <c r="X3" s="33">
        <v>3</v>
      </c>
      <c r="Y3" s="13">
        <v>1</v>
      </c>
      <c r="Z3" s="13"/>
      <c r="AA3" s="33">
        <v>2</v>
      </c>
      <c r="AB3" s="33">
        <v>121</v>
      </c>
      <c r="AC3" s="33">
        <v>4840</v>
      </c>
      <c r="AD3" s="33"/>
      <c r="AE3" s="91" t="s">
        <v>457</v>
      </c>
      <c r="AF3" s="33">
        <v>3</v>
      </c>
      <c r="AG3" s="33" t="s">
        <v>458</v>
      </c>
      <c r="AH3" s="33"/>
      <c r="AI3" s="33">
        <v>200</v>
      </c>
      <c r="AJ3" s="33" t="s">
        <v>453</v>
      </c>
      <c r="AK3" s="33" t="s">
        <v>459</v>
      </c>
      <c r="AL3" s="33"/>
      <c r="AM3" s="13" t="s">
        <v>460</v>
      </c>
      <c r="AN3" s="13" t="s">
        <v>461</v>
      </c>
      <c r="AO3" s="33">
        <v>2</v>
      </c>
      <c r="AP3" s="33" t="s">
        <v>462</v>
      </c>
      <c r="AQ3" s="33"/>
      <c r="AR3" s="13">
        <v>2</v>
      </c>
      <c r="AS3" s="13" t="s">
        <v>463</v>
      </c>
      <c r="AT3" s="13">
        <v>10</v>
      </c>
      <c r="AU3" s="13">
        <v>1</v>
      </c>
      <c r="AV3" s="13">
        <v>14</v>
      </c>
      <c r="AW3" s="13">
        <v>40</v>
      </c>
      <c r="AX3" s="13">
        <v>60</v>
      </c>
      <c r="AY3" s="13">
        <v>15</v>
      </c>
      <c r="AZ3" s="13">
        <v>1</v>
      </c>
      <c r="BA3" s="33">
        <v>2</v>
      </c>
      <c r="BB3" s="33" t="s">
        <v>464</v>
      </c>
      <c r="BC3" s="33">
        <v>10</v>
      </c>
      <c r="BD3" s="33" t="s">
        <v>465</v>
      </c>
      <c r="BE3" s="33">
        <v>15</v>
      </c>
      <c r="BF3" s="13"/>
      <c r="BK3" s="33" t="s">
        <v>466</v>
      </c>
      <c r="BL3" s="33">
        <v>5</v>
      </c>
      <c r="BM3" s="33">
        <v>19</v>
      </c>
      <c r="BN3" s="15">
        <v>7102</v>
      </c>
      <c r="BO3">
        <v>610</v>
      </c>
      <c r="BP3">
        <v>424</v>
      </c>
      <c r="BQ3">
        <v>81</v>
      </c>
      <c r="BR3">
        <v>174</v>
      </c>
    </row>
    <row r="4" spans="1:70">
      <c r="A4" s="33">
        <v>2</v>
      </c>
      <c r="B4" s="13">
        <v>3</v>
      </c>
      <c r="C4" s="33">
        <v>3</v>
      </c>
      <c r="D4" s="33">
        <v>0.4</v>
      </c>
      <c r="E4" s="33">
        <v>0.36</v>
      </c>
      <c r="F4" s="33">
        <v>0.23</v>
      </c>
      <c r="G4" s="33">
        <v>0.01</v>
      </c>
      <c r="H4" s="33" t="s">
        <v>467</v>
      </c>
      <c r="I4" s="13" t="s">
        <v>468</v>
      </c>
      <c r="J4" s="13">
        <v>3</v>
      </c>
      <c r="K4" s="33">
        <v>103</v>
      </c>
      <c r="L4" s="33">
        <v>112003</v>
      </c>
      <c r="M4" s="13">
        <v>3</v>
      </c>
      <c r="N4" s="13" t="s">
        <v>469</v>
      </c>
      <c r="O4" s="13">
        <v>8</v>
      </c>
      <c r="P4" s="13" t="s">
        <v>470</v>
      </c>
      <c r="Q4" s="13" t="s">
        <v>471</v>
      </c>
      <c r="R4" s="33" t="s">
        <v>472</v>
      </c>
      <c r="S4" s="33">
        <v>127</v>
      </c>
      <c r="T4" s="33">
        <v>1004</v>
      </c>
      <c r="U4" s="33">
        <v>610</v>
      </c>
      <c r="V4" s="33">
        <v>36</v>
      </c>
      <c r="W4" s="33">
        <v>1</v>
      </c>
      <c r="X4" s="33">
        <v>4</v>
      </c>
      <c r="Y4" s="13">
        <v>1</v>
      </c>
      <c r="Z4" s="13"/>
      <c r="AA4" s="33">
        <v>3</v>
      </c>
      <c r="AB4" s="33">
        <v>270</v>
      </c>
      <c r="AC4" s="33">
        <v>5420</v>
      </c>
      <c r="AD4" s="33" t="s">
        <v>473</v>
      </c>
      <c r="AE4" s="91" t="s">
        <v>474</v>
      </c>
      <c r="AF4" s="33">
        <v>3</v>
      </c>
      <c r="AG4" s="33" t="s">
        <v>475</v>
      </c>
      <c r="AH4" s="33">
        <v>5</v>
      </c>
      <c r="AI4" s="33">
        <v>200</v>
      </c>
      <c r="AJ4" s="33" t="s">
        <v>469</v>
      </c>
      <c r="AK4" s="33" t="s">
        <v>476</v>
      </c>
      <c r="AL4" s="33">
        <v>3</v>
      </c>
      <c r="AM4" s="13" t="s">
        <v>477</v>
      </c>
      <c r="AN4" s="13" t="s">
        <v>478</v>
      </c>
      <c r="AO4" s="33">
        <v>3</v>
      </c>
      <c r="AP4" s="33" t="s">
        <v>479</v>
      </c>
      <c r="AQ4" s="33"/>
      <c r="AR4" s="13">
        <v>3</v>
      </c>
      <c r="AS4" s="13" t="s">
        <v>463</v>
      </c>
      <c r="AT4" s="13">
        <v>30</v>
      </c>
      <c r="AU4" s="13">
        <v>2</v>
      </c>
      <c r="AV4" s="13">
        <v>14</v>
      </c>
      <c r="AW4" s="13">
        <v>50</v>
      </c>
      <c r="AX4" s="13">
        <v>60</v>
      </c>
      <c r="AY4" s="13">
        <v>30</v>
      </c>
      <c r="AZ4" s="13">
        <v>2</v>
      </c>
      <c r="BA4" s="33">
        <v>3</v>
      </c>
      <c r="BB4" s="33" t="s">
        <v>480</v>
      </c>
      <c r="BC4" s="33">
        <v>15</v>
      </c>
      <c r="BD4" s="33" t="s">
        <v>481</v>
      </c>
      <c r="BE4" s="33">
        <v>45</v>
      </c>
      <c r="BF4" s="13"/>
      <c r="BK4" s="33" t="s">
        <v>482</v>
      </c>
      <c r="BL4" s="33">
        <v>2</v>
      </c>
      <c r="BM4" s="33"/>
      <c r="BN4" s="15">
        <v>7103</v>
      </c>
      <c r="BO4">
        <v>610</v>
      </c>
      <c r="BP4">
        <v>174</v>
      </c>
      <c r="BQ4">
        <v>424</v>
      </c>
      <c r="BR4">
        <v>81</v>
      </c>
    </row>
    <row r="5" spans="1:70">
      <c r="A5" s="33">
        <v>3</v>
      </c>
      <c r="B5" s="13">
        <v>4</v>
      </c>
      <c r="C5" s="33">
        <v>4</v>
      </c>
      <c r="D5" s="33">
        <v>0.43269999999999997</v>
      </c>
      <c r="E5" s="33">
        <v>0.38600000000000001</v>
      </c>
      <c r="F5" s="33">
        <v>0.17150000000000001</v>
      </c>
      <c r="G5" s="33">
        <v>0.01</v>
      </c>
      <c r="H5" s="33" t="s">
        <v>483</v>
      </c>
      <c r="I5" s="13" t="s">
        <v>484</v>
      </c>
      <c r="J5" s="13">
        <v>4</v>
      </c>
      <c r="K5" s="33">
        <v>104</v>
      </c>
      <c r="L5" s="33">
        <v>112004</v>
      </c>
      <c r="M5" s="13">
        <v>4</v>
      </c>
      <c r="N5" s="13" t="s">
        <v>485</v>
      </c>
      <c r="O5" s="13">
        <v>12</v>
      </c>
      <c r="P5" s="13" t="s">
        <v>486</v>
      </c>
      <c r="Q5" s="13" t="s">
        <v>487</v>
      </c>
      <c r="R5" s="33" t="s">
        <v>488</v>
      </c>
      <c r="S5" s="33">
        <v>138</v>
      </c>
      <c r="T5" s="33">
        <v>1001</v>
      </c>
      <c r="U5" s="33">
        <v>610</v>
      </c>
      <c r="V5" s="33">
        <v>9</v>
      </c>
      <c r="W5" s="33">
        <v>1</v>
      </c>
      <c r="X5" s="33">
        <v>2</v>
      </c>
      <c r="Y5" s="13">
        <v>1</v>
      </c>
      <c r="Z5" s="13"/>
      <c r="AA5" s="33">
        <v>4</v>
      </c>
      <c r="AB5" s="33">
        <v>420</v>
      </c>
      <c r="AC5" s="33">
        <v>5711</v>
      </c>
      <c r="AD5" s="33" t="s">
        <v>489</v>
      </c>
      <c r="AE5" s="91" t="s">
        <v>490</v>
      </c>
      <c r="AF5" s="33">
        <v>4</v>
      </c>
      <c r="AG5" s="33" t="s">
        <v>491</v>
      </c>
      <c r="AH5" s="33">
        <v>6</v>
      </c>
      <c r="AI5" s="33">
        <v>100</v>
      </c>
      <c r="AJ5" s="33" t="s">
        <v>485</v>
      </c>
      <c r="AK5" s="33" t="s">
        <v>492</v>
      </c>
      <c r="AL5" s="33">
        <v>4</v>
      </c>
      <c r="AM5" s="13" t="s">
        <v>493</v>
      </c>
      <c r="AN5" s="13" t="s">
        <v>494</v>
      </c>
      <c r="AO5" s="33">
        <v>4</v>
      </c>
      <c r="AP5" s="33" t="s">
        <v>495</v>
      </c>
      <c r="AQ5" s="33"/>
      <c r="AR5" s="13">
        <v>4</v>
      </c>
      <c r="AS5" s="13" t="s">
        <v>463</v>
      </c>
      <c r="AT5" s="13">
        <v>50</v>
      </c>
      <c r="AU5" s="13">
        <v>3</v>
      </c>
      <c r="AV5" s="13">
        <v>14</v>
      </c>
      <c r="AW5" s="13">
        <v>60</v>
      </c>
      <c r="AX5" s="13">
        <v>70</v>
      </c>
      <c r="AY5" s="13">
        <v>45</v>
      </c>
      <c r="AZ5" s="13">
        <v>2</v>
      </c>
      <c r="BA5" s="33">
        <v>4</v>
      </c>
      <c r="BB5" s="33" t="s">
        <v>496</v>
      </c>
      <c r="BC5" s="33">
        <v>45</v>
      </c>
      <c r="BD5" s="33"/>
      <c r="BE5" s="33"/>
      <c r="BF5" s="13"/>
      <c r="BK5" s="33" t="s">
        <v>497</v>
      </c>
      <c r="BL5" s="33">
        <v>6</v>
      </c>
      <c r="BM5" s="33">
        <v>18</v>
      </c>
      <c r="BN5" s="15">
        <v>7104</v>
      </c>
      <c r="BO5">
        <v>610</v>
      </c>
      <c r="BP5">
        <v>81</v>
      </c>
      <c r="BQ5">
        <v>424</v>
      </c>
      <c r="BR5">
        <v>174</v>
      </c>
    </row>
    <row r="6" spans="1:70">
      <c r="A6" s="33">
        <v>4</v>
      </c>
      <c r="B6" s="13">
        <v>5</v>
      </c>
      <c r="C6" s="33">
        <v>5</v>
      </c>
      <c r="D6" s="33">
        <v>0.45</v>
      </c>
      <c r="E6" s="33">
        <v>0.34</v>
      </c>
      <c r="F6" s="33">
        <v>0.2</v>
      </c>
      <c r="G6" s="33">
        <v>0.01</v>
      </c>
      <c r="H6" s="33" t="s">
        <v>498</v>
      </c>
      <c r="I6" s="13" t="s">
        <v>499</v>
      </c>
      <c r="J6" s="13">
        <v>5</v>
      </c>
      <c r="K6" s="33">
        <v>105</v>
      </c>
      <c r="L6" s="33">
        <v>112005</v>
      </c>
      <c r="M6" s="13">
        <v>5</v>
      </c>
      <c r="N6" s="13" t="s">
        <v>500</v>
      </c>
      <c r="O6" s="13">
        <v>16</v>
      </c>
      <c r="P6" s="13" t="s">
        <v>501</v>
      </c>
      <c r="Q6" s="13" t="s">
        <v>502</v>
      </c>
      <c r="R6" s="33" t="s">
        <v>503</v>
      </c>
      <c r="S6" s="33">
        <v>138</v>
      </c>
      <c r="T6" s="33">
        <v>1008</v>
      </c>
      <c r="U6" s="33">
        <v>616</v>
      </c>
      <c r="V6" s="33">
        <v>72</v>
      </c>
      <c r="W6" s="33">
        <v>2</v>
      </c>
      <c r="X6" s="33">
        <v>1</v>
      </c>
      <c r="Y6" s="13">
        <v>1</v>
      </c>
      <c r="Z6" s="13"/>
      <c r="AA6" s="33">
        <v>5</v>
      </c>
      <c r="AB6" s="33">
        <v>600</v>
      </c>
      <c r="AC6" s="33">
        <v>6010</v>
      </c>
      <c r="AD6" s="33" t="s">
        <v>504</v>
      </c>
      <c r="AE6" s="91" t="s">
        <v>505</v>
      </c>
      <c r="AF6" s="33">
        <v>5</v>
      </c>
      <c r="AG6" s="33" t="s">
        <v>506</v>
      </c>
      <c r="AH6" s="33">
        <v>7</v>
      </c>
      <c r="AI6" s="33">
        <v>0</v>
      </c>
      <c r="AJ6" s="33" t="s">
        <v>500</v>
      </c>
      <c r="AK6" s="33" t="s">
        <v>507</v>
      </c>
      <c r="AL6" s="33">
        <v>5</v>
      </c>
      <c r="AM6" s="13" t="s">
        <v>508</v>
      </c>
      <c r="AN6" s="13" t="s">
        <v>509</v>
      </c>
      <c r="AO6" s="33">
        <v>5</v>
      </c>
      <c r="AP6" s="33" t="s">
        <v>510</v>
      </c>
      <c r="AQ6" s="33"/>
      <c r="AR6" s="13">
        <v>5</v>
      </c>
      <c r="AS6" s="13" t="s">
        <v>463</v>
      </c>
      <c r="AT6" s="13">
        <v>70</v>
      </c>
      <c r="AU6" s="13">
        <v>4</v>
      </c>
      <c r="AV6" s="13">
        <v>14</v>
      </c>
      <c r="AW6" s="13">
        <v>70</v>
      </c>
      <c r="AX6" s="13">
        <v>70</v>
      </c>
      <c r="AY6" s="13">
        <v>60</v>
      </c>
      <c r="AZ6" s="13">
        <v>3</v>
      </c>
      <c r="BA6" s="33"/>
      <c r="BB6" s="33"/>
      <c r="BC6" s="33"/>
      <c r="BD6" s="33"/>
      <c r="BE6" s="33"/>
      <c r="BF6" s="13"/>
      <c r="BK6" s="33" t="s">
        <v>511</v>
      </c>
      <c r="BL6" s="33">
        <v>3</v>
      </c>
      <c r="BM6" s="33"/>
      <c r="BN6" s="15">
        <v>7105</v>
      </c>
      <c r="BO6">
        <v>610</v>
      </c>
      <c r="BP6">
        <v>174</v>
      </c>
      <c r="BQ6">
        <v>81</v>
      </c>
      <c r="BR6">
        <v>424</v>
      </c>
    </row>
    <row r="7" spans="1:70">
      <c r="A7" s="33">
        <v>5</v>
      </c>
      <c r="B7" s="13">
        <v>6</v>
      </c>
      <c r="C7" s="33">
        <v>6</v>
      </c>
      <c r="D7" s="33">
        <v>0.46</v>
      </c>
      <c r="E7" s="33">
        <v>0.41</v>
      </c>
      <c r="F7" s="33">
        <v>0.12</v>
      </c>
      <c r="G7" s="33">
        <v>0.01</v>
      </c>
      <c r="H7" s="246" t="s">
        <v>6309</v>
      </c>
      <c r="I7" s="13" t="s">
        <v>512</v>
      </c>
      <c r="J7" s="13">
        <v>6</v>
      </c>
      <c r="K7" s="33">
        <v>106</v>
      </c>
      <c r="L7" s="33">
        <v>112006</v>
      </c>
      <c r="M7" s="13">
        <v>6</v>
      </c>
      <c r="N7" s="13" t="s">
        <v>513</v>
      </c>
      <c r="O7" s="13">
        <v>20</v>
      </c>
      <c r="P7" s="13" t="s">
        <v>514</v>
      </c>
      <c r="Q7" s="13" t="s">
        <v>515</v>
      </c>
      <c r="R7" s="33" t="s">
        <v>516</v>
      </c>
      <c r="S7" s="33">
        <v>139</v>
      </c>
      <c r="T7" s="33">
        <v>1006</v>
      </c>
      <c r="U7" s="33">
        <v>613</v>
      </c>
      <c r="V7" s="33">
        <v>54</v>
      </c>
      <c r="W7" s="33">
        <v>1</v>
      </c>
      <c r="X7" s="33">
        <v>5</v>
      </c>
      <c r="Y7" s="13">
        <v>1</v>
      </c>
      <c r="Z7" s="13"/>
      <c r="AA7" s="33">
        <v>6</v>
      </c>
      <c r="AB7" s="33">
        <v>600</v>
      </c>
      <c r="AC7" s="33">
        <v>6010</v>
      </c>
      <c r="AD7" s="33"/>
      <c r="AE7" s="91" t="s">
        <v>505</v>
      </c>
      <c r="AF7" s="33">
        <v>5</v>
      </c>
      <c r="AG7" s="33" t="s">
        <v>517</v>
      </c>
      <c r="AH7" s="33">
        <v>7</v>
      </c>
      <c r="AI7" s="33">
        <v>0</v>
      </c>
      <c r="AJ7" s="33" t="s">
        <v>500</v>
      </c>
      <c r="AK7" s="33" t="s">
        <v>507</v>
      </c>
      <c r="AL7" s="33">
        <v>5</v>
      </c>
      <c r="AM7" s="13" t="s">
        <v>518</v>
      </c>
      <c r="AN7" s="13" t="s">
        <v>519</v>
      </c>
      <c r="AO7" s="33"/>
      <c r="AP7" s="33"/>
      <c r="AQ7" s="33"/>
      <c r="AR7" s="13">
        <v>6</v>
      </c>
      <c r="AS7" s="13" t="s">
        <v>520</v>
      </c>
      <c r="AT7" s="13">
        <v>20</v>
      </c>
      <c r="AU7" s="13">
        <v>5</v>
      </c>
      <c r="AV7" s="13">
        <v>8</v>
      </c>
      <c r="AW7" s="13">
        <v>70</v>
      </c>
      <c r="AX7" s="13">
        <v>70</v>
      </c>
      <c r="AY7" s="13">
        <v>65</v>
      </c>
      <c r="AZ7" s="13">
        <v>3</v>
      </c>
      <c r="BA7" s="33"/>
      <c r="BB7" s="33"/>
      <c r="BC7" s="33"/>
      <c r="BD7" s="33"/>
      <c r="BE7" s="33"/>
      <c r="BF7" s="13"/>
      <c r="BK7" s="33"/>
      <c r="BL7" s="33"/>
      <c r="BM7" s="33"/>
      <c r="BN7" s="15">
        <v>7106</v>
      </c>
      <c r="BO7">
        <v>610</v>
      </c>
      <c r="BP7">
        <v>81</v>
      </c>
      <c r="BQ7">
        <v>174</v>
      </c>
      <c r="BR7">
        <v>424</v>
      </c>
    </row>
    <row r="8" spans="1:70">
      <c r="A8" s="33">
        <v>6</v>
      </c>
      <c r="B8" s="13">
        <v>7</v>
      </c>
      <c r="C8" s="33">
        <v>7</v>
      </c>
      <c r="D8" s="33">
        <v>0.48</v>
      </c>
      <c r="E8" s="33">
        <v>0.36</v>
      </c>
      <c r="F8" s="33">
        <v>0.15</v>
      </c>
      <c r="G8" s="33">
        <v>0.01</v>
      </c>
      <c r="H8" s="33" t="s">
        <v>521</v>
      </c>
      <c r="I8" s="13" t="s">
        <v>522</v>
      </c>
      <c r="J8" s="13">
        <v>7</v>
      </c>
      <c r="K8" s="33">
        <v>107</v>
      </c>
      <c r="L8" s="33">
        <v>112007</v>
      </c>
      <c r="M8" s="13">
        <v>7</v>
      </c>
      <c r="N8" s="13"/>
      <c r="O8" s="13"/>
      <c r="P8" s="13" t="s">
        <v>523</v>
      </c>
      <c r="Q8" s="13" t="s">
        <v>524</v>
      </c>
      <c r="R8" s="33" t="s">
        <v>525</v>
      </c>
      <c r="S8" s="33">
        <v>140</v>
      </c>
      <c r="T8" s="33">
        <v>1007</v>
      </c>
      <c r="U8" s="33">
        <v>617</v>
      </c>
      <c r="V8" s="33">
        <v>63</v>
      </c>
      <c r="W8" s="33">
        <v>1</v>
      </c>
      <c r="X8" s="33">
        <v>5</v>
      </c>
      <c r="Y8" s="13">
        <v>1</v>
      </c>
      <c r="Z8" s="13"/>
      <c r="AA8" s="33">
        <v>7</v>
      </c>
      <c r="AB8" s="33">
        <v>510</v>
      </c>
      <c r="AC8" s="33">
        <v>5860</v>
      </c>
      <c r="AD8" s="33"/>
      <c r="AE8" s="91" t="s">
        <v>526</v>
      </c>
      <c r="AF8" s="33">
        <v>4</v>
      </c>
      <c r="AG8" s="33" t="s">
        <v>527</v>
      </c>
      <c r="AH8" s="33">
        <v>6</v>
      </c>
      <c r="AI8" s="33">
        <v>100</v>
      </c>
      <c r="AJ8" s="33" t="s">
        <v>528</v>
      </c>
      <c r="AK8" s="33" t="s">
        <v>529</v>
      </c>
      <c r="AL8" s="33">
        <v>7</v>
      </c>
      <c r="AM8" s="13"/>
      <c r="AN8" s="13"/>
      <c r="AO8" s="33"/>
      <c r="AP8" s="33"/>
      <c r="AQ8" s="33"/>
      <c r="AR8" s="13">
        <v>7</v>
      </c>
      <c r="AS8" s="13" t="s">
        <v>530</v>
      </c>
      <c r="AT8" s="13">
        <v>25</v>
      </c>
      <c r="AU8" s="13">
        <v>6</v>
      </c>
      <c r="AV8" s="13">
        <v>8</v>
      </c>
      <c r="AW8" s="13">
        <v>70</v>
      </c>
      <c r="AX8" s="13">
        <v>70</v>
      </c>
      <c r="AY8" s="13">
        <v>70</v>
      </c>
      <c r="AZ8" s="13">
        <v>3</v>
      </c>
      <c r="BA8" s="33"/>
      <c r="BB8" s="33"/>
      <c r="BC8" s="33"/>
      <c r="BD8" s="33"/>
      <c r="BE8" s="33"/>
      <c r="BF8" s="13"/>
      <c r="BK8" s="33"/>
      <c r="BL8" s="33"/>
      <c r="BM8" s="33"/>
      <c r="BN8" s="15">
        <v>7107</v>
      </c>
      <c r="BO8">
        <v>424</v>
      </c>
      <c r="BP8">
        <v>610</v>
      </c>
      <c r="BQ8">
        <v>174</v>
      </c>
      <c r="BR8">
        <v>81</v>
      </c>
    </row>
    <row r="9" spans="1:70">
      <c r="A9" s="33">
        <v>7</v>
      </c>
      <c r="B9" s="13">
        <v>8</v>
      </c>
      <c r="C9" s="33">
        <v>8</v>
      </c>
      <c r="D9" s="33">
        <v>0.49</v>
      </c>
      <c r="E9" s="33">
        <v>0.45</v>
      </c>
      <c r="F9" s="33">
        <v>0.05</v>
      </c>
      <c r="G9" s="33">
        <v>0.01</v>
      </c>
      <c r="H9" s="33"/>
      <c r="I9" s="13" t="s">
        <v>531</v>
      </c>
      <c r="J9" s="13">
        <v>8</v>
      </c>
      <c r="K9" s="33">
        <v>108</v>
      </c>
      <c r="L9" s="33">
        <v>112008</v>
      </c>
      <c r="M9" s="13"/>
      <c r="N9" s="13"/>
      <c r="O9" s="13"/>
      <c r="P9" s="13"/>
      <c r="Q9" s="13"/>
      <c r="R9" s="33" t="s">
        <v>532</v>
      </c>
      <c r="S9" s="33">
        <v>151</v>
      </c>
      <c r="T9" s="33">
        <v>1003</v>
      </c>
      <c r="U9" s="33">
        <v>617</v>
      </c>
      <c r="V9" s="33">
        <v>27</v>
      </c>
      <c r="W9" s="33">
        <v>1</v>
      </c>
      <c r="X9" s="33">
        <v>2</v>
      </c>
      <c r="Y9" s="13">
        <v>1</v>
      </c>
      <c r="Z9" s="13"/>
      <c r="AA9" s="33">
        <v>8</v>
      </c>
      <c r="AB9" s="34">
        <f>800*1.45</f>
        <v>1160</v>
      </c>
      <c r="AC9" s="34">
        <f>6310*1.45</f>
        <v>9149.5</v>
      </c>
      <c r="AD9" s="34"/>
      <c r="AE9" s="91" t="s">
        <v>533</v>
      </c>
      <c r="AF9" s="33">
        <v>8</v>
      </c>
      <c r="AG9" s="33"/>
      <c r="AH9" s="33">
        <v>2</v>
      </c>
      <c r="AI9" s="33">
        <v>0</v>
      </c>
      <c r="AJ9" s="33"/>
      <c r="AK9" s="33"/>
      <c r="AL9" s="33">
        <v>8</v>
      </c>
      <c r="AM9" s="13"/>
      <c r="AN9" s="13"/>
      <c r="AO9" s="33"/>
      <c r="AP9" s="33"/>
      <c r="AQ9" s="33"/>
      <c r="AR9" s="13">
        <v>8</v>
      </c>
      <c r="AS9" s="13" t="s">
        <v>534</v>
      </c>
      <c r="AT9" s="13">
        <v>30</v>
      </c>
      <c r="AU9" s="13">
        <v>7</v>
      </c>
      <c r="AV9" s="13">
        <v>8</v>
      </c>
      <c r="AW9" s="13">
        <v>70</v>
      </c>
      <c r="AX9" s="13">
        <v>70</v>
      </c>
      <c r="AY9" s="13">
        <v>75</v>
      </c>
      <c r="AZ9" s="13">
        <v>3</v>
      </c>
      <c r="BA9" s="33"/>
      <c r="BB9" s="33"/>
      <c r="BC9" s="33"/>
      <c r="BD9" s="33"/>
      <c r="BE9" s="33"/>
      <c r="BF9" s="13"/>
      <c r="BK9" s="33"/>
      <c r="BL9" s="33"/>
      <c r="BM9" s="33"/>
      <c r="BN9" s="15">
        <v>7108</v>
      </c>
      <c r="BO9">
        <v>424</v>
      </c>
      <c r="BP9">
        <v>610</v>
      </c>
      <c r="BQ9">
        <v>81</v>
      </c>
      <c r="BR9">
        <v>174</v>
      </c>
    </row>
    <row r="10" spans="1:70">
      <c r="A10" s="33">
        <v>8</v>
      </c>
      <c r="B10" s="13">
        <v>9</v>
      </c>
      <c r="C10" s="33">
        <v>9</v>
      </c>
      <c r="D10" s="33">
        <v>0.51</v>
      </c>
      <c r="E10" s="33">
        <v>0.35</v>
      </c>
      <c r="F10" s="33">
        <v>0.13</v>
      </c>
      <c r="G10" s="33">
        <v>0.01</v>
      </c>
      <c r="H10" s="33" t="s">
        <v>535</v>
      </c>
      <c r="I10" s="13" t="s">
        <v>536</v>
      </c>
      <c r="J10" s="13">
        <v>9</v>
      </c>
      <c r="K10" s="33">
        <v>109</v>
      </c>
      <c r="L10" s="33">
        <v>112009</v>
      </c>
      <c r="M10" s="13"/>
      <c r="N10" s="13"/>
      <c r="O10" s="13"/>
      <c r="P10" s="13"/>
      <c r="Q10" s="13"/>
      <c r="R10" s="33" t="s">
        <v>537</v>
      </c>
      <c r="S10" s="33">
        <v>152</v>
      </c>
      <c r="T10" s="33">
        <v>1009</v>
      </c>
      <c r="U10" s="33">
        <v>618</v>
      </c>
      <c r="V10" s="33">
        <v>81</v>
      </c>
      <c r="W10" s="33">
        <v>1</v>
      </c>
      <c r="X10" s="33">
        <v>3</v>
      </c>
      <c r="Y10" s="13">
        <v>1</v>
      </c>
      <c r="Z10" s="13"/>
      <c r="AA10" s="33"/>
      <c r="AB10" s="33"/>
      <c r="AC10" s="33"/>
      <c r="AD10" s="33"/>
      <c r="AE10" s="33"/>
      <c r="AF10" s="33"/>
      <c r="AG10" s="33"/>
      <c r="AH10" s="33"/>
      <c r="AI10" s="33"/>
      <c r="AJ10" s="33"/>
      <c r="AK10" s="33"/>
      <c r="AL10" s="33"/>
      <c r="AM10" s="13"/>
      <c r="AN10" s="13"/>
      <c r="AO10" s="33"/>
      <c r="AP10" s="33"/>
      <c r="AQ10" s="33"/>
      <c r="AR10" s="13">
        <v>9</v>
      </c>
      <c r="AS10" s="13" t="s">
        <v>538</v>
      </c>
      <c r="AT10" s="13">
        <v>40</v>
      </c>
      <c r="AU10" s="13">
        <v>8</v>
      </c>
      <c r="AV10" s="13">
        <v>8</v>
      </c>
      <c r="AW10" s="13">
        <v>70</v>
      </c>
      <c r="AX10" s="13">
        <v>70</v>
      </c>
      <c r="AY10" s="13">
        <v>80</v>
      </c>
      <c r="AZ10" s="13">
        <v>3</v>
      </c>
      <c r="BA10" s="33"/>
      <c r="BB10" s="33"/>
      <c r="BC10" s="33"/>
      <c r="BD10" s="33"/>
      <c r="BE10" s="33"/>
      <c r="BF10" s="13"/>
      <c r="BK10" s="33"/>
      <c r="BL10" s="33"/>
      <c r="BM10" s="33"/>
      <c r="BN10" s="15">
        <v>7109</v>
      </c>
      <c r="BO10">
        <v>174</v>
      </c>
      <c r="BP10">
        <v>610</v>
      </c>
      <c r="BQ10">
        <v>424</v>
      </c>
      <c r="BR10">
        <v>81</v>
      </c>
    </row>
    <row r="11" spans="1:70">
      <c r="A11" s="33">
        <v>9</v>
      </c>
      <c r="B11" s="13">
        <v>10</v>
      </c>
      <c r="C11" s="33">
        <v>10</v>
      </c>
      <c r="D11" s="33">
        <v>0.53</v>
      </c>
      <c r="E11" s="33">
        <v>0.24</v>
      </c>
      <c r="F11" s="33">
        <v>0.22</v>
      </c>
      <c r="G11" s="33">
        <v>0.01</v>
      </c>
      <c r="H11" s="33"/>
      <c r="I11" s="13" t="s">
        <v>539</v>
      </c>
      <c r="J11" s="13">
        <v>10</v>
      </c>
      <c r="K11" s="33">
        <v>201</v>
      </c>
      <c r="L11" s="33">
        <v>112002</v>
      </c>
      <c r="M11" s="13"/>
      <c r="N11" s="13"/>
      <c r="O11" s="13"/>
      <c r="P11" s="13"/>
      <c r="Q11" s="13"/>
      <c r="R11" s="33" t="s">
        <v>540</v>
      </c>
      <c r="S11" s="33">
        <v>153</v>
      </c>
      <c r="T11" s="33">
        <v>1010</v>
      </c>
      <c r="U11" s="33">
        <v>619</v>
      </c>
      <c r="V11" s="33">
        <v>90</v>
      </c>
      <c r="W11" s="33">
        <v>1</v>
      </c>
      <c r="X11" s="33">
        <v>4</v>
      </c>
      <c r="Y11" s="13">
        <v>1</v>
      </c>
      <c r="Z11" s="13"/>
      <c r="AA11" s="33"/>
      <c r="AB11" s="34"/>
      <c r="AC11" s="33"/>
      <c r="AD11" s="33"/>
      <c r="AE11" s="33"/>
      <c r="AF11" s="33"/>
      <c r="AG11" s="33"/>
      <c r="AH11" s="33"/>
      <c r="AI11" s="33"/>
      <c r="AJ11" s="33"/>
      <c r="AK11" s="33"/>
      <c r="AL11" s="33"/>
      <c r="AM11" s="13"/>
      <c r="AN11" s="13"/>
      <c r="AO11" s="33"/>
      <c r="AP11" s="33"/>
      <c r="AQ11" s="33"/>
      <c r="AR11" s="13">
        <v>10</v>
      </c>
      <c r="AS11" s="13" t="s">
        <v>541</v>
      </c>
      <c r="AT11" s="13">
        <v>55</v>
      </c>
      <c r="AU11" s="13">
        <v>9</v>
      </c>
      <c r="AV11" s="13">
        <v>8</v>
      </c>
      <c r="AW11" s="13">
        <v>70</v>
      </c>
      <c r="AX11" s="13">
        <v>70</v>
      </c>
      <c r="AY11" s="13">
        <v>85</v>
      </c>
      <c r="AZ11" s="13">
        <v>3</v>
      </c>
      <c r="BA11" s="33"/>
      <c r="BB11" s="33"/>
      <c r="BC11" s="33"/>
      <c r="BD11" s="33"/>
      <c r="BE11" s="33"/>
      <c r="BF11" s="13"/>
      <c r="BK11" s="33"/>
      <c r="BL11" s="33"/>
      <c r="BM11" s="33"/>
      <c r="BN11" s="15">
        <v>7110</v>
      </c>
      <c r="BO11">
        <v>81</v>
      </c>
      <c r="BP11">
        <v>610</v>
      </c>
      <c r="BQ11">
        <v>424</v>
      </c>
      <c r="BR11">
        <v>174</v>
      </c>
    </row>
    <row r="12" spans="1:70">
      <c r="A12" s="33"/>
      <c r="B12" s="13">
        <v>11</v>
      </c>
      <c r="C12" s="33">
        <v>11</v>
      </c>
      <c r="D12" s="33">
        <v>0.55000000000000004</v>
      </c>
      <c r="E12" s="33">
        <v>0.39</v>
      </c>
      <c r="F12" s="33">
        <v>0.05</v>
      </c>
      <c r="G12" s="33">
        <v>0.01</v>
      </c>
      <c r="H12" s="33"/>
      <c r="I12" s="13" t="s">
        <v>542</v>
      </c>
      <c r="J12" s="13">
        <v>11</v>
      </c>
      <c r="K12" s="33">
        <v>202</v>
      </c>
      <c r="L12" s="33">
        <v>112001</v>
      </c>
      <c r="M12" s="13"/>
      <c r="N12" s="13"/>
      <c r="O12" s="13"/>
      <c r="P12" s="13"/>
      <c r="Q12" s="13"/>
      <c r="R12" s="33" t="s">
        <v>543</v>
      </c>
      <c r="S12" s="33">
        <v>128</v>
      </c>
      <c r="T12" s="33">
        <v>2007</v>
      </c>
      <c r="U12" s="33">
        <v>612</v>
      </c>
      <c r="V12" s="33">
        <v>63</v>
      </c>
      <c r="W12" s="33">
        <v>2</v>
      </c>
      <c r="X12" s="33">
        <v>1</v>
      </c>
      <c r="Y12" s="13">
        <v>1</v>
      </c>
      <c r="Z12" s="13"/>
      <c r="AA12" s="33"/>
      <c r="AB12" s="33"/>
      <c r="AC12" s="33"/>
      <c r="AD12" s="33"/>
      <c r="AE12" s="33"/>
      <c r="AF12" s="33"/>
      <c r="AG12" s="33"/>
      <c r="AH12" s="33"/>
      <c r="AI12" s="33"/>
      <c r="AJ12" s="33"/>
      <c r="AK12" s="33"/>
      <c r="AL12" s="33"/>
      <c r="AM12" s="13"/>
      <c r="AN12" s="13"/>
      <c r="AO12" s="33"/>
      <c r="AP12" s="33"/>
      <c r="AQ12" s="33"/>
      <c r="AR12" s="13">
        <v>11</v>
      </c>
      <c r="AS12" s="13" t="s">
        <v>544</v>
      </c>
      <c r="AT12" s="13">
        <v>70</v>
      </c>
      <c r="AU12" s="13">
        <v>9</v>
      </c>
      <c r="AV12" s="13">
        <v>8</v>
      </c>
      <c r="AW12" s="13">
        <v>70</v>
      </c>
      <c r="AX12" s="13">
        <v>70</v>
      </c>
      <c r="AY12" s="13">
        <v>90</v>
      </c>
      <c r="AZ12" s="13">
        <v>3</v>
      </c>
      <c r="BA12" s="33"/>
      <c r="BB12" s="33"/>
      <c r="BC12" s="33"/>
      <c r="BD12" s="33"/>
      <c r="BE12" s="33"/>
      <c r="BF12" s="13"/>
      <c r="BK12" s="33"/>
      <c r="BL12" s="33"/>
      <c r="BM12" s="33"/>
      <c r="BN12" s="15">
        <v>7111</v>
      </c>
      <c r="BO12">
        <v>174</v>
      </c>
      <c r="BP12">
        <v>610</v>
      </c>
      <c r="BQ12">
        <v>81</v>
      </c>
      <c r="BR12">
        <v>424</v>
      </c>
    </row>
    <row r="13" spans="1:70">
      <c r="A13" s="33"/>
      <c r="B13" s="13">
        <v>12</v>
      </c>
      <c r="C13" s="33">
        <v>12</v>
      </c>
      <c r="D13" s="33">
        <v>0.56999999999999995</v>
      </c>
      <c r="E13" s="33">
        <v>0.33</v>
      </c>
      <c r="F13" s="33">
        <v>0.09</v>
      </c>
      <c r="G13" s="33">
        <v>0.01</v>
      </c>
      <c r="H13" s="33"/>
      <c r="I13" s="13" t="s">
        <v>545</v>
      </c>
      <c r="J13" s="13">
        <v>12</v>
      </c>
      <c r="K13" s="33">
        <v>203</v>
      </c>
      <c r="L13" s="33">
        <v>112003</v>
      </c>
      <c r="M13" s="13"/>
      <c r="N13" s="13"/>
      <c r="O13" s="13"/>
      <c r="P13" s="13"/>
      <c r="Q13" s="13"/>
      <c r="R13" s="33" t="s">
        <v>546</v>
      </c>
      <c r="S13" s="33">
        <v>129</v>
      </c>
      <c r="T13" s="33">
        <v>2001</v>
      </c>
      <c r="U13" s="33">
        <v>610</v>
      </c>
      <c r="V13" s="33">
        <v>9</v>
      </c>
      <c r="W13" s="33">
        <v>1</v>
      </c>
      <c r="X13" s="33">
        <v>5</v>
      </c>
      <c r="Y13" s="13">
        <v>1</v>
      </c>
      <c r="Z13" s="13"/>
      <c r="AA13" s="33"/>
      <c r="AB13" s="33"/>
      <c r="AC13" s="33"/>
      <c r="AD13" s="33"/>
      <c r="AE13" s="33"/>
      <c r="AF13" s="33"/>
      <c r="AG13" s="33"/>
      <c r="AH13" s="33"/>
      <c r="AI13" s="33"/>
      <c r="AJ13" s="33"/>
      <c r="AK13" s="33"/>
      <c r="AL13" s="33"/>
      <c r="AM13" s="13"/>
      <c r="AN13" s="13"/>
      <c r="AO13" s="33"/>
      <c r="AP13" s="33"/>
      <c r="AQ13" s="33"/>
      <c r="AR13" s="13"/>
      <c r="AS13" s="13"/>
      <c r="AT13" s="13"/>
      <c r="AU13" s="13"/>
      <c r="AV13" s="13"/>
      <c r="AW13" s="13"/>
      <c r="AX13" s="13"/>
      <c r="AY13" s="13"/>
      <c r="AZ13" s="13"/>
      <c r="BA13" s="33"/>
      <c r="BB13" s="33"/>
      <c r="BC13" s="33"/>
      <c r="BD13" s="33"/>
      <c r="BE13" s="33"/>
      <c r="BF13" s="13"/>
      <c r="BK13" s="33"/>
      <c r="BL13" s="33"/>
      <c r="BM13" s="33"/>
      <c r="BN13" s="15">
        <v>7112</v>
      </c>
      <c r="BO13">
        <v>81</v>
      </c>
      <c r="BP13">
        <v>610</v>
      </c>
      <c r="BQ13">
        <v>174</v>
      </c>
      <c r="BR13">
        <v>424</v>
      </c>
    </row>
    <row r="14" spans="1:70">
      <c r="A14" s="33"/>
      <c r="B14" s="13">
        <v>13</v>
      </c>
      <c r="C14" s="33">
        <v>13</v>
      </c>
      <c r="D14" s="33">
        <v>0.59</v>
      </c>
      <c r="E14" s="33">
        <v>0.27</v>
      </c>
      <c r="F14" s="33">
        <v>0.13</v>
      </c>
      <c r="G14" s="33">
        <v>0.01</v>
      </c>
      <c r="H14" s="33"/>
      <c r="I14" s="13" t="s">
        <v>547</v>
      </c>
      <c r="J14" s="13">
        <v>13</v>
      </c>
      <c r="K14" s="33">
        <v>204</v>
      </c>
      <c r="L14" s="33">
        <v>112005</v>
      </c>
      <c r="M14" s="13"/>
      <c r="N14" s="13"/>
      <c r="O14" s="13"/>
      <c r="P14" s="13"/>
      <c r="Q14" s="13"/>
      <c r="R14" s="33" t="s">
        <v>548</v>
      </c>
      <c r="S14" s="33">
        <v>130</v>
      </c>
      <c r="T14" s="33">
        <v>2002</v>
      </c>
      <c r="U14" s="33">
        <v>610</v>
      </c>
      <c r="V14" s="33">
        <v>18</v>
      </c>
      <c r="W14" s="33">
        <v>4</v>
      </c>
      <c r="X14" s="33">
        <v>3</v>
      </c>
      <c r="Y14" s="13">
        <v>1</v>
      </c>
      <c r="Z14" s="13"/>
      <c r="AA14" s="33"/>
      <c r="AB14" s="33"/>
      <c r="AC14" s="33"/>
      <c r="AD14" s="33"/>
      <c r="AE14" s="33"/>
      <c r="AF14" s="33"/>
      <c r="AG14" s="33"/>
      <c r="AH14" s="33"/>
      <c r="AI14" s="33"/>
      <c r="AJ14" s="33"/>
      <c r="AK14" s="33"/>
      <c r="AL14" s="33"/>
      <c r="AM14" s="13"/>
      <c r="AN14" s="13"/>
      <c r="AO14" s="33"/>
      <c r="AP14" s="33"/>
      <c r="AQ14" s="33"/>
      <c r="AR14" s="13"/>
      <c r="AS14" s="13"/>
      <c r="AT14" s="13"/>
      <c r="AU14" s="13"/>
      <c r="AV14" s="13"/>
      <c r="AW14" s="13"/>
      <c r="AX14" s="13"/>
      <c r="AY14" s="13"/>
      <c r="AZ14" s="13"/>
      <c r="BA14" s="33"/>
      <c r="BB14" s="33"/>
      <c r="BC14" s="33"/>
      <c r="BD14" s="33"/>
      <c r="BE14" s="33"/>
      <c r="BF14" s="13"/>
      <c r="BK14" s="33"/>
      <c r="BL14" s="33"/>
      <c r="BM14" s="33"/>
      <c r="BN14" s="15">
        <v>7113</v>
      </c>
      <c r="BO14">
        <v>424</v>
      </c>
      <c r="BP14">
        <v>174</v>
      </c>
      <c r="BQ14">
        <v>610</v>
      </c>
      <c r="BR14">
        <v>81</v>
      </c>
    </row>
    <row r="15" spans="1:70">
      <c r="A15" s="33"/>
      <c r="B15" s="13">
        <v>14</v>
      </c>
      <c r="C15" s="33">
        <v>14</v>
      </c>
      <c r="D15" s="33">
        <v>0.61</v>
      </c>
      <c r="E15" s="33">
        <v>0.2</v>
      </c>
      <c r="F15" s="33">
        <v>0.18</v>
      </c>
      <c r="G15" s="33">
        <v>0.01</v>
      </c>
      <c r="H15" s="33"/>
      <c r="I15" s="13" t="s">
        <v>549</v>
      </c>
      <c r="J15" s="13">
        <v>14</v>
      </c>
      <c r="K15" s="33">
        <v>205</v>
      </c>
      <c r="L15" s="33">
        <v>112004</v>
      </c>
      <c r="M15" s="13"/>
      <c r="N15" s="13"/>
      <c r="O15" s="13"/>
      <c r="P15" s="13"/>
      <c r="Q15" s="13"/>
      <c r="R15" s="33" t="s">
        <v>550</v>
      </c>
      <c r="S15" s="33">
        <v>141</v>
      </c>
      <c r="T15" s="33">
        <v>2004</v>
      </c>
      <c r="U15" s="33">
        <v>613</v>
      </c>
      <c r="V15" s="33">
        <v>36</v>
      </c>
      <c r="W15" s="33">
        <v>1</v>
      </c>
      <c r="X15" s="33">
        <v>2</v>
      </c>
      <c r="Y15" s="13">
        <v>1</v>
      </c>
      <c r="Z15" s="13"/>
      <c r="AA15" s="33"/>
      <c r="AB15" s="33"/>
      <c r="AC15" s="33"/>
      <c r="AD15" s="33"/>
      <c r="AE15" s="33"/>
      <c r="AF15" s="33"/>
      <c r="AG15" s="33"/>
      <c r="AH15" s="33"/>
      <c r="AI15" s="33"/>
      <c r="AJ15" s="33"/>
      <c r="AK15" s="33"/>
      <c r="AL15" s="33"/>
      <c r="AM15" s="13"/>
      <c r="AN15" s="13"/>
      <c r="AO15" s="33"/>
      <c r="AP15" s="33"/>
      <c r="AQ15" s="33"/>
      <c r="AR15" s="13"/>
      <c r="AS15" s="13"/>
      <c r="AT15" s="13"/>
      <c r="AU15" s="13"/>
      <c r="AV15" s="13"/>
      <c r="AW15" s="13"/>
      <c r="AX15" s="13"/>
      <c r="AY15" s="13"/>
      <c r="AZ15" s="13"/>
      <c r="BA15" s="33"/>
      <c r="BB15" s="33"/>
      <c r="BC15" s="33"/>
      <c r="BD15" s="33"/>
      <c r="BE15" s="33"/>
      <c r="BF15" s="13"/>
      <c r="BK15" s="33"/>
      <c r="BL15" s="33"/>
      <c r="BM15" s="33"/>
      <c r="BN15" s="15">
        <v>7114</v>
      </c>
      <c r="BO15">
        <v>424</v>
      </c>
      <c r="BP15">
        <v>81</v>
      </c>
      <c r="BQ15">
        <v>610</v>
      </c>
      <c r="BR15">
        <v>174</v>
      </c>
    </row>
    <row r="16" spans="1:70">
      <c r="A16" s="33"/>
      <c r="B16" s="13">
        <v>15</v>
      </c>
      <c r="C16" s="33">
        <v>15</v>
      </c>
      <c r="D16" s="33">
        <v>0.64</v>
      </c>
      <c r="E16" s="33">
        <v>0.3</v>
      </c>
      <c r="F16" s="33">
        <v>0.05</v>
      </c>
      <c r="G16" s="33">
        <v>0.01</v>
      </c>
      <c r="H16" s="33"/>
      <c r="I16" s="13" t="s">
        <v>551</v>
      </c>
      <c r="J16" s="13">
        <v>15</v>
      </c>
      <c r="K16" s="33">
        <v>206</v>
      </c>
      <c r="L16" s="33">
        <v>112006</v>
      </c>
      <c r="M16" s="13"/>
      <c r="N16" s="13"/>
      <c r="O16" s="13"/>
      <c r="P16" s="13"/>
      <c r="Q16" s="13"/>
      <c r="R16" s="33" t="s">
        <v>552</v>
      </c>
      <c r="S16" s="33">
        <v>141</v>
      </c>
      <c r="T16" s="33">
        <v>2008</v>
      </c>
      <c r="U16" s="33">
        <v>616</v>
      </c>
      <c r="V16" s="33">
        <v>72</v>
      </c>
      <c r="W16" s="33">
        <v>2</v>
      </c>
      <c r="X16" s="33">
        <v>1</v>
      </c>
      <c r="Y16" s="13">
        <v>1</v>
      </c>
      <c r="Z16" s="13"/>
      <c r="AA16" s="33"/>
      <c r="AB16" s="33"/>
      <c r="AC16" s="33"/>
      <c r="AD16" s="33"/>
      <c r="AE16" s="33"/>
      <c r="AF16" s="33"/>
      <c r="AG16" s="33"/>
      <c r="AH16" s="33"/>
      <c r="AI16" s="33"/>
      <c r="AJ16" s="33"/>
      <c r="AK16" s="33"/>
      <c r="AL16" s="33"/>
      <c r="AM16" s="13"/>
      <c r="AN16" s="13"/>
      <c r="AO16" s="33"/>
      <c r="AP16" s="33"/>
      <c r="AQ16" s="33"/>
      <c r="AR16" s="13"/>
      <c r="AS16" s="13"/>
      <c r="AT16" s="13"/>
      <c r="AU16" s="13"/>
      <c r="AV16" s="13"/>
      <c r="AW16" s="13"/>
      <c r="AX16" s="13"/>
      <c r="AY16" s="13"/>
      <c r="AZ16" s="13"/>
      <c r="BA16" s="33"/>
      <c r="BB16" s="33"/>
      <c r="BC16" s="33"/>
      <c r="BD16" s="33"/>
      <c r="BE16" s="33"/>
      <c r="BF16" s="13"/>
      <c r="BK16" s="33"/>
      <c r="BL16" s="33"/>
      <c r="BM16" s="33"/>
      <c r="BN16" s="15">
        <v>7115</v>
      </c>
      <c r="BO16">
        <v>174</v>
      </c>
      <c r="BP16">
        <v>424</v>
      </c>
      <c r="BQ16">
        <v>610</v>
      </c>
      <c r="BR16">
        <v>81</v>
      </c>
    </row>
    <row r="17" spans="1:70">
      <c r="A17" s="33"/>
      <c r="B17" s="13">
        <v>16</v>
      </c>
      <c r="C17" s="33">
        <v>16</v>
      </c>
      <c r="D17" s="33">
        <v>0.66</v>
      </c>
      <c r="E17" s="33">
        <v>0.25</v>
      </c>
      <c r="F17" s="33">
        <v>0.08</v>
      </c>
      <c r="G17" s="33">
        <v>0.01</v>
      </c>
      <c r="H17" s="33"/>
      <c r="I17" s="13" t="s">
        <v>553</v>
      </c>
      <c r="J17" s="13">
        <v>16</v>
      </c>
      <c r="K17" s="33">
        <v>207</v>
      </c>
      <c r="L17" s="33">
        <v>112008</v>
      </c>
      <c r="M17" s="13"/>
      <c r="N17" s="13"/>
      <c r="O17" s="13"/>
      <c r="P17" s="13"/>
      <c r="Q17" s="13"/>
      <c r="R17" s="33" t="s">
        <v>554</v>
      </c>
      <c r="S17" s="33">
        <v>142</v>
      </c>
      <c r="T17" s="33">
        <v>2009</v>
      </c>
      <c r="U17" s="33">
        <v>613</v>
      </c>
      <c r="V17" s="33">
        <v>81</v>
      </c>
      <c r="W17" s="33">
        <v>1</v>
      </c>
      <c r="X17" s="33">
        <v>4</v>
      </c>
      <c r="Y17" s="13">
        <v>1</v>
      </c>
      <c r="Z17" s="13"/>
      <c r="AA17" s="33"/>
      <c r="AB17" s="33"/>
      <c r="AC17" s="33"/>
      <c r="AD17" s="33"/>
      <c r="AE17" s="33"/>
      <c r="AF17" s="33"/>
      <c r="AG17" s="33"/>
      <c r="AH17" s="33"/>
      <c r="AI17" s="33"/>
      <c r="AJ17" s="33"/>
      <c r="AK17" s="33"/>
      <c r="AL17" s="33"/>
      <c r="AM17" s="13"/>
      <c r="AN17" s="13"/>
      <c r="AO17" s="33"/>
      <c r="AP17" s="33"/>
      <c r="AQ17" s="33"/>
      <c r="AR17" s="13"/>
      <c r="AS17" s="13"/>
      <c r="AT17" s="13"/>
      <c r="AU17" s="13"/>
      <c r="AV17" s="13"/>
      <c r="AW17" s="13"/>
      <c r="AX17" s="13"/>
      <c r="AY17" s="13"/>
      <c r="AZ17" s="13"/>
      <c r="BA17" s="33"/>
      <c r="BB17" s="33"/>
      <c r="BC17" s="33"/>
      <c r="BD17" s="33"/>
      <c r="BE17" s="33"/>
      <c r="BF17" s="13"/>
      <c r="BK17" s="33"/>
      <c r="BL17" s="33"/>
      <c r="BM17" s="33"/>
      <c r="BN17" s="15">
        <v>7116</v>
      </c>
      <c r="BO17">
        <v>81</v>
      </c>
      <c r="BP17">
        <v>424</v>
      </c>
      <c r="BQ17">
        <v>610</v>
      </c>
      <c r="BR17">
        <v>174</v>
      </c>
    </row>
    <row r="18" spans="1:70">
      <c r="A18" s="33"/>
      <c r="B18" s="13">
        <v>17</v>
      </c>
      <c r="C18" s="33">
        <v>17</v>
      </c>
      <c r="D18" s="33">
        <v>0.69</v>
      </c>
      <c r="E18" s="33">
        <v>0.2</v>
      </c>
      <c r="F18" s="33">
        <v>0.1</v>
      </c>
      <c r="G18" s="33">
        <v>0.01</v>
      </c>
      <c r="H18" s="33" t="s">
        <v>555</v>
      </c>
      <c r="I18" s="13" t="s">
        <v>556</v>
      </c>
      <c r="J18" s="13">
        <v>17</v>
      </c>
      <c r="K18" s="33">
        <v>208</v>
      </c>
      <c r="L18" s="33">
        <v>112007</v>
      </c>
      <c r="M18" s="13"/>
      <c r="N18" s="13"/>
      <c r="O18" s="13"/>
      <c r="P18" s="13"/>
      <c r="Q18" s="13"/>
      <c r="R18" s="33" t="s">
        <v>557</v>
      </c>
      <c r="S18" s="33">
        <v>143</v>
      </c>
      <c r="T18" s="33">
        <v>2010</v>
      </c>
      <c r="U18" s="33">
        <v>619</v>
      </c>
      <c r="V18" s="33">
        <v>90</v>
      </c>
      <c r="W18" s="33">
        <v>1</v>
      </c>
      <c r="X18" s="33">
        <v>4</v>
      </c>
      <c r="Y18" s="13">
        <v>1</v>
      </c>
      <c r="Z18" s="13"/>
      <c r="AA18" s="33"/>
      <c r="AB18" s="33"/>
      <c r="AC18" s="33"/>
      <c r="AD18" s="33"/>
      <c r="AE18" s="33"/>
      <c r="AF18" s="33"/>
      <c r="AG18" s="33"/>
      <c r="AH18" s="33"/>
      <c r="AI18" s="33"/>
      <c r="AJ18" s="33"/>
      <c r="AK18" s="33"/>
      <c r="AL18" s="33"/>
      <c r="AM18" s="13"/>
      <c r="AN18" s="13"/>
      <c r="AO18" s="33"/>
      <c r="AP18" s="33"/>
      <c r="AQ18" s="33"/>
      <c r="AR18" s="13"/>
      <c r="AS18" s="13"/>
      <c r="AT18" s="13"/>
      <c r="AU18" s="13"/>
      <c r="AV18" s="13"/>
      <c r="AW18" s="13"/>
      <c r="AX18" s="13"/>
      <c r="AY18" s="13"/>
      <c r="AZ18" s="13"/>
      <c r="BA18" s="33"/>
      <c r="BB18" s="33"/>
      <c r="BC18" s="33"/>
      <c r="BD18" s="33"/>
      <c r="BE18" s="33"/>
      <c r="BF18" s="13"/>
      <c r="BK18" s="33"/>
      <c r="BL18" s="33"/>
      <c r="BM18" s="33"/>
      <c r="BN18" s="15">
        <v>7117</v>
      </c>
      <c r="BO18">
        <v>174</v>
      </c>
      <c r="BP18">
        <v>81</v>
      </c>
      <c r="BQ18">
        <v>610</v>
      </c>
      <c r="BR18">
        <v>424</v>
      </c>
    </row>
    <row r="19" spans="1:70">
      <c r="A19" s="33"/>
      <c r="B19" s="13">
        <v>18</v>
      </c>
      <c r="C19" s="33">
        <v>18</v>
      </c>
      <c r="D19" s="33">
        <v>0.71</v>
      </c>
      <c r="E19" s="33">
        <v>0.15</v>
      </c>
      <c r="F19" s="33">
        <v>0.13</v>
      </c>
      <c r="G19" s="33">
        <v>0.01</v>
      </c>
      <c r="H19" s="33"/>
      <c r="I19" s="13" t="s">
        <v>558</v>
      </c>
      <c r="J19" s="13">
        <v>18</v>
      </c>
      <c r="K19" s="33">
        <v>209</v>
      </c>
      <c r="L19" s="33">
        <v>112009</v>
      </c>
      <c r="M19" s="13"/>
      <c r="N19" s="13"/>
      <c r="O19" s="13"/>
      <c r="P19" s="13"/>
      <c r="Q19" s="13"/>
      <c r="R19" s="33" t="s">
        <v>559</v>
      </c>
      <c r="S19" s="33">
        <v>154</v>
      </c>
      <c r="T19" s="33">
        <v>2006</v>
      </c>
      <c r="U19" s="33">
        <v>618</v>
      </c>
      <c r="V19" s="33">
        <v>54</v>
      </c>
      <c r="W19" s="33">
        <v>1</v>
      </c>
      <c r="X19" s="33">
        <v>2</v>
      </c>
      <c r="Y19" s="13">
        <v>1</v>
      </c>
      <c r="Z19" s="13"/>
      <c r="AA19" s="33"/>
      <c r="AB19" s="33"/>
      <c r="AC19" s="33"/>
      <c r="AD19" s="33"/>
      <c r="AE19" s="33"/>
      <c r="AF19" s="33"/>
      <c r="AG19" s="33"/>
      <c r="AH19" s="33"/>
      <c r="AI19" s="33"/>
      <c r="AJ19" s="33"/>
      <c r="AK19" s="33"/>
      <c r="AL19" s="33"/>
      <c r="AM19" s="13"/>
      <c r="AN19" s="13"/>
      <c r="AO19" s="33"/>
      <c r="AP19" s="33"/>
      <c r="AQ19" s="33"/>
      <c r="AR19" s="13"/>
      <c r="AS19" s="13"/>
      <c r="AT19" s="13"/>
      <c r="AU19" s="13"/>
      <c r="AV19" s="13"/>
      <c r="AW19" s="13"/>
      <c r="AX19" s="13"/>
      <c r="AY19" s="13"/>
      <c r="AZ19" s="13"/>
      <c r="BA19" s="33"/>
      <c r="BB19" s="33"/>
      <c r="BC19" s="33"/>
      <c r="BD19" s="33"/>
      <c r="BE19" s="33"/>
      <c r="BF19" s="13"/>
      <c r="BK19" s="33"/>
      <c r="BL19" s="33"/>
      <c r="BM19" s="33"/>
      <c r="BN19" s="15">
        <v>7118</v>
      </c>
      <c r="BO19">
        <v>81</v>
      </c>
      <c r="BP19">
        <v>174</v>
      </c>
      <c r="BQ19">
        <v>610</v>
      </c>
      <c r="BR19">
        <v>424</v>
      </c>
    </row>
    <row r="20" spans="1:70">
      <c r="A20" s="33"/>
      <c r="B20" s="13">
        <v>19</v>
      </c>
      <c r="C20" s="33">
        <v>19</v>
      </c>
      <c r="D20" s="33">
        <v>0.74</v>
      </c>
      <c r="E20" s="33">
        <v>0.2</v>
      </c>
      <c r="F20" s="33">
        <v>0.05</v>
      </c>
      <c r="G20" s="33">
        <v>0.01</v>
      </c>
      <c r="H20" s="33"/>
      <c r="I20" s="13" t="s">
        <v>560</v>
      </c>
      <c r="J20" s="13">
        <v>19</v>
      </c>
      <c r="K20" s="33">
        <v>301</v>
      </c>
      <c r="L20" s="33">
        <v>112001</v>
      </c>
      <c r="M20" s="13"/>
      <c r="N20" s="13"/>
      <c r="O20" s="13"/>
      <c r="P20" s="13"/>
      <c r="Q20" s="13"/>
      <c r="R20" s="33" t="s">
        <v>561</v>
      </c>
      <c r="S20" s="33">
        <v>155</v>
      </c>
      <c r="T20" s="33">
        <v>2005</v>
      </c>
      <c r="U20" s="33">
        <v>618</v>
      </c>
      <c r="V20" s="33">
        <v>45</v>
      </c>
      <c r="W20" s="33">
        <v>1</v>
      </c>
      <c r="X20" s="33">
        <v>5</v>
      </c>
      <c r="Y20" s="13">
        <v>1</v>
      </c>
      <c r="Z20" s="13"/>
      <c r="AA20" s="33"/>
      <c r="AB20" s="33"/>
      <c r="AC20" s="33"/>
      <c r="AD20" s="33"/>
      <c r="AE20" s="33"/>
      <c r="AF20" s="33"/>
      <c r="AG20" s="33"/>
      <c r="AH20" s="33"/>
      <c r="AI20" s="33"/>
      <c r="AJ20" s="33"/>
      <c r="AK20" s="33"/>
      <c r="AL20" s="33"/>
      <c r="AM20" s="13"/>
      <c r="AN20" s="13"/>
      <c r="AO20" s="33"/>
      <c r="AP20" s="33"/>
      <c r="AQ20" s="33"/>
      <c r="AR20" s="13"/>
      <c r="AS20" s="13"/>
      <c r="AT20" s="13"/>
      <c r="AU20" s="13"/>
      <c r="AV20" s="13"/>
      <c r="AW20" s="13"/>
      <c r="AX20" s="13"/>
      <c r="AY20" s="13"/>
      <c r="AZ20" s="13"/>
      <c r="BA20" s="33"/>
      <c r="BB20" s="33"/>
      <c r="BC20" s="33"/>
      <c r="BD20" s="33"/>
      <c r="BE20" s="33"/>
      <c r="BF20" s="13"/>
      <c r="BK20" s="33"/>
      <c r="BL20" s="33"/>
      <c r="BM20" s="33"/>
      <c r="BN20" s="15">
        <v>7119</v>
      </c>
      <c r="BO20">
        <v>424</v>
      </c>
      <c r="BP20">
        <v>174</v>
      </c>
      <c r="BQ20">
        <v>81</v>
      </c>
      <c r="BR20">
        <v>610</v>
      </c>
    </row>
    <row r="21" spans="1:70">
      <c r="A21" s="33"/>
      <c r="B21" s="13">
        <v>20</v>
      </c>
      <c r="C21" s="33">
        <v>20</v>
      </c>
      <c r="D21" s="33">
        <v>0.77</v>
      </c>
      <c r="E21" s="33">
        <v>0.15</v>
      </c>
      <c r="F21" s="33">
        <v>7.0000000000000007E-2</v>
      </c>
      <c r="G21" s="33">
        <v>0.01</v>
      </c>
      <c r="H21" s="33"/>
      <c r="I21" s="13" t="s">
        <v>562</v>
      </c>
      <c r="J21" s="13">
        <v>20</v>
      </c>
      <c r="K21" s="33">
        <v>302</v>
      </c>
      <c r="L21" s="33">
        <v>112003</v>
      </c>
      <c r="M21" s="13"/>
      <c r="N21" s="13"/>
      <c r="O21" s="13"/>
      <c r="P21" s="13"/>
      <c r="Q21" s="13"/>
      <c r="R21" s="33" t="s">
        <v>563</v>
      </c>
      <c r="S21" s="33">
        <v>156</v>
      </c>
      <c r="T21" s="33">
        <v>2003</v>
      </c>
      <c r="U21" s="33">
        <v>617</v>
      </c>
      <c r="V21" s="33">
        <v>27</v>
      </c>
      <c r="W21" s="33">
        <v>3</v>
      </c>
      <c r="X21" s="33">
        <v>3</v>
      </c>
      <c r="Y21" s="13">
        <v>1</v>
      </c>
      <c r="Z21" s="13"/>
      <c r="AA21" s="33"/>
      <c r="AB21" s="33"/>
      <c r="AC21" s="33"/>
      <c r="AD21" s="33"/>
      <c r="AE21" s="33"/>
      <c r="AF21" s="33"/>
      <c r="AG21" s="33"/>
      <c r="AH21" s="33"/>
      <c r="AI21" s="33"/>
      <c r="AJ21" s="33"/>
      <c r="AK21" s="33"/>
      <c r="AL21" s="33"/>
      <c r="AM21" s="13"/>
      <c r="AN21" s="13"/>
      <c r="AO21" s="33"/>
      <c r="AP21" s="33"/>
      <c r="AQ21" s="33"/>
      <c r="AR21" s="13"/>
      <c r="AS21" s="13"/>
      <c r="AT21" s="13"/>
      <c r="AU21" s="13"/>
      <c r="AV21" s="13"/>
      <c r="AW21" s="13"/>
      <c r="AX21" s="13"/>
      <c r="AY21" s="13"/>
      <c r="AZ21" s="13"/>
      <c r="BA21" s="33"/>
      <c r="BB21" s="33"/>
      <c r="BC21" s="33"/>
      <c r="BD21" s="33"/>
      <c r="BE21" s="33"/>
      <c r="BF21" s="13"/>
      <c r="BK21" s="33"/>
      <c r="BL21" s="33"/>
      <c r="BM21" s="33"/>
      <c r="BN21" s="15">
        <v>7120</v>
      </c>
      <c r="BO21">
        <v>424</v>
      </c>
      <c r="BP21">
        <v>81</v>
      </c>
      <c r="BQ21">
        <v>174</v>
      </c>
      <c r="BR21">
        <v>610</v>
      </c>
    </row>
    <row r="22" spans="1:70">
      <c r="A22" s="33"/>
      <c r="B22" s="13">
        <v>21</v>
      </c>
      <c r="C22" s="33">
        <v>21</v>
      </c>
      <c r="D22" s="33">
        <v>0.8</v>
      </c>
      <c r="E22" s="33">
        <v>0.1</v>
      </c>
      <c r="F22" s="33">
        <v>0.09</v>
      </c>
      <c r="G22" s="33">
        <v>0.01</v>
      </c>
      <c r="H22" s="33"/>
      <c r="I22" s="13" t="s">
        <v>564</v>
      </c>
      <c r="J22" s="13">
        <v>21</v>
      </c>
      <c r="K22" s="33">
        <v>303</v>
      </c>
      <c r="L22" s="33">
        <v>112002</v>
      </c>
      <c r="M22" s="13"/>
      <c r="N22" s="13"/>
      <c r="O22" s="13"/>
      <c r="P22" s="13"/>
      <c r="Q22" s="13"/>
      <c r="R22" s="33" t="s">
        <v>565</v>
      </c>
      <c r="S22" s="33">
        <v>131</v>
      </c>
      <c r="T22" s="33">
        <v>3004</v>
      </c>
      <c r="U22" s="33">
        <v>614</v>
      </c>
      <c r="V22" s="33">
        <v>36</v>
      </c>
      <c r="W22" s="33">
        <v>2</v>
      </c>
      <c r="X22" s="33">
        <v>1</v>
      </c>
      <c r="Y22" s="13">
        <v>0</v>
      </c>
      <c r="Z22" s="13"/>
      <c r="AA22" s="33"/>
      <c r="AB22" s="33"/>
      <c r="AC22" s="33"/>
      <c r="AD22" s="33"/>
      <c r="AE22" s="33"/>
      <c r="AF22" s="33"/>
      <c r="AG22" s="33"/>
      <c r="AH22" s="33"/>
      <c r="AI22" s="33"/>
      <c r="AJ22" s="33"/>
      <c r="AK22" s="33"/>
      <c r="AL22" s="33"/>
      <c r="AM22" s="13"/>
      <c r="AN22" s="13"/>
      <c r="AO22" s="33"/>
      <c r="AP22" s="33"/>
      <c r="AQ22" s="33"/>
      <c r="AR22" s="13"/>
      <c r="AS22" s="13"/>
      <c r="AT22" s="13"/>
      <c r="AU22" s="13"/>
      <c r="AV22" s="13"/>
      <c r="AW22" s="13"/>
      <c r="AX22" s="13"/>
      <c r="AY22" s="13"/>
      <c r="AZ22" s="13"/>
      <c r="BA22" s="33"/>
      <c r="BB22" s="33"/>
      <c r="BC22" s="33"/>
      <c r="BD22" s="33"/>
      <c r="BE22" s="33"/>
      <c r="BF22" s="13"/>
      <c r="BK22" s="33"/>
      <c r="BL22" s="33"/>
      <c r="BM22" s="33"/>
      <c r="BN22" s="15">
        <v>7121</v>
      </c>
      <c r="BO22">
        <v>174</v>
      </c>
      <c r="BP22">
        <v>424</v>
      </c>
      <c r="BQ22">
        <v>81</v>
      </c>
      <c r="BR22">
        <v>610</v>
      </c>
    </row>
    <row r="23" spans="1:70">
      <c r="A23" s="33"/>
      <c r="B23" s="13">
        <v>22</v>
      </c>
      <c r="C23" s="33">
        <v>22</v>
      </c>
      <c r="D23" s="33">
        <v>0.84</v>
      </c>
      <c r="E23" s="33">
        <v>0.1</v>
      </c>
      <c r="F23" s="33">
        <v>0.05</v>
      </c>
      <c r="G23" s="33">
        <v>0.01</v>
      </c>
      <c r="H23" s="33"/>
      <c r="I23" s="13" t="s">
        <v>566</v>
      </c>
      <c r="J23" s="13">
        <v>22</v>
      </c>
      <c r="K23" s="33">
        <v>304</v>
      </c>
      <c r="L23" s="33">
        <v>112004</v>
      </c>
      <c r="M23" s="13"/>
      <c r="N23" s="13"/>
      <c r="O23" s="13"/>
      <c r="P23" s="13"/>
      <c r="Q23" s="13"/>
      <c r="R23" s="33" t="s">
        <v>567</v>
      </c>
      <c r="S23" s="33">
        <v>132</v>
      </c>
      <c r="T23" s="33">
        <v>3003</v>
      </c>
      <c r="U23" s="33">
        <v>610</v>
      </c>
      <c r="V23" s="33">
        <v>27</v>
      </c>
      <c r="W23" s="33">
        <v>1</v>
      </c>
      <c r="X23" s="33">
        <v>5</v>
      </c>
      <c r="Y23" s="13">
        <v>0</v>
      </c>
      <c r="Z23" s="13"/>
      <c r="AA23" s="33"/>
      <c r="AB23" s="33"/>
      <c r="AC23" s="33"/>
      <c r="AD23" s="33"/>
      <c r="AE23" s="33"/>
      <c r="AF23" s="33"/>
      <c r="AG23" s="33"/>
      <c r="AH23" s="33"/>
      <c r="AI23" s="33"/>
      <c r="AJ23" s="33"/>
      <c r="AK23" s="33"/>
      <c r="AL23" s="33"/>
      <c r="AM23" s="13"/>
      <c r="AN23" s="13"/>
      <c r="AO23" s="33"/>
      <c r="AP23" s="33"/>
      <c r="AQ23" s="33"/>
      <c r="AR23" s="13"/>
      <c r="AS23" s="13"/>
      <c r="AT23" s="13"/>
      <c r="AU23" s="13"/>
      <c r="AV23" s="13"/>
      <c r="AW23" s="13"/>
      <c r="AX23" s="13"/>
      <c r="AY23" s="13"/>
      <c r="AZ23" s="13"/>
      <c r="BA23" s="33"/>
      <c r="BB23" s="33"/>
      <c r="BC23" s="33"/>
      <c r="BD23" s="33"/>
      <c r="BE23" s="33"/>
      <c r="BF23" s="13"/>
      <c r="BK23" s="33"/>
      <c r="BL23" s="33"/>
      <c r="BM23" s="33"/>
      <c r="BN23" s="15">
        <v>7122</v>
      </c>
      <c r="BO23">
        <v>81</v>
      </c>
      <c r="BP23">
        <v>424</v>
      </c>
      <c r="BQ23">
        <v>174</v>
      </c>
      <c r="BR23">
        <v>610</v>
      </c>
    </row>
    <row r="24" spans="1:70">
      <c r="A24" s="33"/>
      <c r="B24" s="13">
        <v>101</v>
      </c>
      <c r="C24" s="33"/>
      <c r="D24" s="33"/>
      <c r="E24" s="33"/>
      <c r="F24" s="33"/>
      <c r="G24" s="33"/>
      <c r="H24" s="33"/>
      <c r="I24" s="13" t="s">
        <v>568</v>
      </c>
      <c r="J24" s="13">
        <v>23</v>
      </c>
      <c r="K24" s="33">
        <v>305</v>
      </c>
      <c r="L24" s="33">
        <v>112006</v>
      </c>
      <c r="M24" s="13"/>
      <c r="N24" s="13"/>
      <c r="O24" s="13"/>
      <c r="P24" s="13"/>
      <c r="Q24" s="13"/>
      <c r="R24" s="33" t="s">
        <v>569</v>
      </c>
      <c r="S24" s="33">
        <v>133</v>
      </c>
      <c r="T24" s="33">
        <v>3007</v>
      </c>
      <c r="U24" s="33">
        <v>610</v>
      </c>
      <c r="V24" s="33">
        <v>63</v>
      </c>
      <c r="W24" s="33">
        <v>1</v>
      </c>
      <c r="X24" s="33">
        <v>4</v>
      </c>
      <c r="Y24" s="13">
        <v>0</v>
      </c>
      <c r="Z24" s="13"/>
      <c r="AA24" s="33"/>
      <c r="AB24" s="33"/>
      <c r="AC24" s="33"/>
      <c r="AD24" s="33"/>
      <c r="AE24" s="33"/>
      <c r="AF24" s="33"/>
      <c r="AG24" s="33"/>
      <c r="AH24" s="33"/>
      <c r="AI24" s="33"/>
      <c r="AJ24" s="33"/>
      <c r="AK24" s="33"/>
      <c r="AL24" s="33"/>
      <c r="AM24" s="13"/>
      <c r="AN24" s="13"/>
      <c r="AO24" s="33"/>
      <c r="AP24" s="33"/>
      <c r="AQ24" s="33"/>
      <c r="AR24" s="13"/>
      <c r="AS24" s="13"/>
      <c r="AT24" s="13"/>
      <c r="AU24" s="13"/>
      <c r="AV24" s="13"/>
      <c r="AW24" s="13"/>
      <c r="AX24" s="13"/>
      <c r="AY24" s="13"/>
      <c r="AZ24" s="13"/>
      <c r="BA24" s="33"/>
      <c r="BB24" s="33"/>
      <c r="BC24" s="33"/>
      <c r="BD24" s="33"/>
      <c r="BE24" s="33"/>
      <c r="BF24" s="13"/>
      <c r="BK24" s="33"/>
      <c r="BL24" s="33"/>
      <c r="BM24" s="33"/>
      <c r="BN24" s="15">
        <v>7123</v>
      </c>
      <c r="BO24">
        <v>174</v>
      </c>
      <c r="BP24">
        <v>81</v>
      </c>
      <c r="BQ24">
        <v>424</v>
      </c>
      <c r="BR24">
        <v>610</v>
      </c>
    </row>
    <row r="25" spans="1:70">
      <c r="A25" s="33"/>
      <c r="B25" s="13">
        <v>102</v>
      </c>
      <c r="C25" s="33"/>
      <c r="D25" s="33"/>
      <c r="E25" s="33"/>
      <c r="F25" s="33"/>
      <c r="G25" s="33"/>
      <c r="H25" s="33"/>
      <c r="I25" s="13" t="s">
        <v>570</v>
      </c>
      <c r="J25" s="13">
        <v>24</v>
      </c>
      <c r="K25" s="33">
        <v>306</v>
      </c>
      <c r="L25" s="33">
        <v>112005</v>
      </c>
      <c r="M25" s="13"/>
      <c r="N25" s="13"/>
      <c r="O25" s="13"/>
      <c r="P25" s="13"/>
      <c r="Q25" s="13"/>
      <c r="R25" s="33" t="s">
        <v>571</v>
      </c>
      <c r="S25" s="33">
        <v>144</v>
      </c>
      <c r="T25" s="33">
        <v>3001</v>
      </c>
      <c r="U25" s="33">
        <v>610</v>
      </c>
      <c r="V25" s="33">
        <v>9</v>
      </c>
      <c r="W25" s="33">
        <v>1</v>
      </c>
      <c r="X25" s="33">
        <v>2</v>
      </c>
      <c r="Y25" s="13">
        <v>0</v>
      </c>
      <c r="Z25" s="13"/>
      <c r="AA25" s="33"/>
      <c r="AB25" s="33"/>
      <c r="AC25" s="33"/>
      <c r="AD25" s="33"/>
      <c r="AE25" s="33"/>
      <c r="AF25" s="33"/>
      <c r="AG25" s="33"/>
      <c r="AH25" s="33"/>
      <c r="AI25" s="33"/>
      <c r="AJ25" s="33"/>
      <c r="AK25" s="33"/>
      <c r="AL25" s="33"/>
      <c r="AM25" s="13"/>
      <c r="AN25" s="13"/>
      <c r="AO25" s="33"/>
      <c r="AP25" s="33"/>
      <c r="AQ25" s="33"/>
      <c r="AR25" s="13"/>
      <c r="AS25" s="13"/>
      <c r="AT25" s="13"/>
      <c r="AU25" s="13"/>
      <c r="AV25" s="13"/>
      <c r="AW25" s="13"/>
      <c r="AX25" s="13"/>
      <c r="AY25" s="13"/>
      <c r="AZ25" s="13"/>
      <c r="BA25" s="33"/>
      <c r="BB25" s="33"/>
      <c r="BC25" s="33"/>
      <c r="BD25" s="33"/>
      <c r="BE25" s="33"/>
      <c r="BF25" s="13"/>
      <c r="BK25" s="33"/>
      <c r="BL25" s="33"/>
      <c r="BM25" s="33"/>
      <c r="BN25" s="15">
        <v>7124</v>
      </c>
      <c r="BO25">
        <v>81</v>
      </c>
      <c r="BP25">
        <v>174</v>
      </c>
      <c r="BQ25">
        <v>424</v>
      </c>
      <c r="BR25">
        <v>610</v>
      </c>
    </row>
    <row r="26" spans="1:70">
      <c r="A26" s="33"/>
      <c r="B26" s="13">
        <v>103</v>
      </c>
      <c r="C26" s="33"/>
      <c r="D26" s="33"/>
      <c r="E26" s="33"/>
      <c r="F26" s="33"/>
      <c r="G26" s="33"/>
      <c r="H26" s="33"/>
      <c r="I26" s="13"/>
      <c r="J26" s="13"/>
      <c r="K26" s="33">
        <v>307</v>
      </c>
      <c r="L26" s="33">
        <v>112007</v>
      </c>
      <c r="M26" s="13"/>
      <c r="N26" s="13"/>
      <c r="O26" s="13"/>
      <c r="P26" s="13"/>
      <c r="Q26" s="13"/>
      <c r="R26" s="33" t="s">
        <v>572</v>
      </c>
      <c r="S26" s="33">
        <v>144</v>
      </c>
      <c r="T26" s="33">
        <v>3006</v>
      </c>
      <c r="U26" s="33">
        <v>620</v>
      </c>
      <c r="V26" s="33">
        <v>54</v>
      </c>
      <c r="W26" s="33">
        <v>2</v>
      </c>
      <c r="X26" s="33">
        <v>1</v>
      </c>
      <c r="Y26" s="13">
        <v>0</v>
      </c>
      <c r="Z26" s="13"/>
      <c r="AA26" s="33"/>
      <c r="AB26" s="33"/>
      <c r="AC26" s="33"/>
      <c r="AD26" s="33"/>
      <c r="AE26" s="33"/>
      <c r="AF26" s="33"/>
      <c r="AG26" s="33"/>
      <c r="AH26" s="33"/>
      <c r="AI26" s="33"/>
      <c r="AJ26" s="33"/>
      <c r="AK26" s="33"/>
      <c r="AL26" s="33"/>
      <c r="AM26" s="13"/>
      <c r="AN26" s="13"/>
      <c r="AO26" s="33"/>
      <c r="AP26" s="33"/>
      <c r="AQ26" s="33"/>
      <c r="AR26" s="13"/>
      <c r="AS26" s="13"/>
      <c r="AT26" s="13"/>
      <c r="AU26" s="13"/>
      <c r="AV26" s="13"/>
      <c r="AW26" s="13"/>
      <c r="AX26" s="13"/>
      <c r="AY26" s="13"/>
      <c r="AZ26" s="13"/>
      <c r="BA26" s="33"/>
      <c r="BB26" s="33"/>
      <c r="BC26" s="33"/>
      <c r="BD26" s="33"/>
      <c r="BE26" s="33"/>
      <c r="BF26" s="13"/>
      <c r="BK26" s="33"/>
      <c r="BL26" s="33"/>
      <c r="BM26" s="33"/>
      <c r="BN26" s="15">
        <v>7201</v>
      </c>
      <c r="BO26">
        <v>610</v>
      </c>
      <c r="BP26">
        <v>424</v>
      </c>
      <c r="BQ26">
        <v>174</v>
      </c>
      <c r="BR26">
        <v>81</v>
      </c>
    </row>
    <row r="27" spans="1:70">
      <c r="A27" s="33"/>
      <c r="B27" s="13">
        <v>104</v>
      </c>
      <c r="C27" s="33"/>
      <c r="D27" s="33"/>
      <c r="E27" s="33"/>
      <c r="F27" s="33"/>
      <c r="G27" s="33"/>
      <c r="H27" s="33"/>
      <c r="I27" s="13"/>
      <c r="J27" s="13"/>
      <c r="K27" s="33">
        <v>308</v>
      </c>
      <c r="L27" s="33">
        <v>112009</v>
      </c>
      <c r="M27" s="13"/>
      <c r="N27" s="13"/>
      <c r="O27" s="13"/>
      <c r="P27" s="13"/>
      <c r="Q27" s="13"/>
      <c r="R27" s="33" t="s">
        <v>573</v>
      </c>
      <c r="S27" s="33">
        <v>145</v>
      </c>
      <c r="T27" s="33">
        <v>3009</v>
      </c>
      <c r="U27" s="33">
        <v>613</v>
      </c>
      <c r="V27" s="33">
        <v>81</v>
      </c>
      <c r="W27" s="33">
        <v>3</v>
      </c>
      <c r="X27" s="33">
        <v>3</v>
      </c>
      <c r="Y27" s="13">
        <v>0</v>
      </c>
      <c r="Z27" s="13"/>
      <c r="AA27" s="33"/>
      <c r="AB27" s="33"/>
      <c r="AC27" s="33"/>
      <c r="AD27" s="33"/>
      <c r="AE27" s="33"/>
      <c r="AF27" s="33"/>
      <c r="AG27" s="33"/>
      <c r="AH27" s="33"/>
      <c r="AI27" s="33"/>
      <c r="AJ27" s="33"/>
      <c r="AK27" s="33"/>
      <c r="AL27" s="33"/>
      <c r="AM27" s="13"/>
      <c r="AN27" s="13"/>
      <c r="AO27" s="33"/>
      <c r="AP27" s="33"/>
      <c r="AQ27" s="33"/>
      <c r="AR27" s="13"/>
      <c r="AS27" s="13"/>
      <c r="AT27" s="13"/>
      <c r="AU27" s="13"/>
      <c r="AV27" s="13"/>
      <c r="AW27" s="13"/>
      <c r="AX27" s="13"/>
      <c r="AY27" s="13"/>
      <c r="AZ27" s="13"/>
      <c r="BA27" s="33"/>
      <c r="BB27" s="33"/>
      <c r="BC27" s="33"/>
      <c r="BD27" s="33"/>
      <c r="BE27" s="33"/>
      <c r="BF27" s="13"/>
      <c r="BK27" s="33"/>
      <c r="BL27" s="33"/>
      <c r="BM27" s="33"/>
      <c r="BN27" s="15">
        <v>7202</v>
      </c>
      <c r="BO27">
        <v>610</v>
      </c>
      <c r="BP27">
        <v>424</v>
      </c>
      <c r="BQ27">
        <v>81</v>
      </c>
      <c r="BR27">
        <v>174</v>
      </c>
    </row>
    <row r="28" spans="1:70">
      <c r="A28" s="33"/>
      <c r="B28" s="13">
        <v>105</v>
      </c>
      <c r="C28" s="33"/>
      <c r="D28" s="33"/>
      <c r="E28" s="33"/>
      <c r="F28" s="33"/>
      <c r="G28" s="33"/>
      <c r="H28" s="33"/>
      <c r="I28" s="13"/>
      <c r="J28" s="13"/>
      <c r="K28" s="33">
        <v>309</v>
      </c>
      <c r="L28" s="33">
        <v>112008</v>
      </c>
      <c r="M28" s="13"/>
      <c r="N28" s="13"/>
      <c r="O28" s="13"/>
      <c r="P28" s="13"/>
      <c r="Q28" s="13"/>
      <c r="R28" s="33" t="s">
        <v>574</v>
      </c>
      <c r="S28" s="33">
        <v>146</v>
      </c>
      <c r="T28" s="33">
        <v>3005</v>
      </c>
      <c r="U28" s="33">
        <v>618</v>
      </c>
      <c r="V28" s="33">
        <v>45</v>
      </c>
      <c r="W28" s="33">
        <v>1</v>
      </c>
      <c r="X28" s="33">
        <v>5</v>
      </c>
      <c r="Y28" s="13">
        <v>0</v>
      </c>
      <c r="Z28" s="13"/>
      <c r="AA28" s="33"/>
      <c r="AB28" s="33"/>
      <c r="AC28" s="33"/>
      <c r="AD28" s="33"/>
      <c r="AE28" s="33"/>
      <c r="AF28" s="33"/>
      <c r="AG28" s="33"/>
      <c r="AH28" s="33"/>
      <c r="AI28" s="33"/>
      <c r="AJ28" s="33"/>
      <c r="AK28" s="33"/>
      <c r="AL28" s="33"/>
      <c r="AM28" s="13"/>
      <c r="AN28" s="13"/>
      <c r="AO28" s="33"/>
      <c r="AP28" s="33"/>
      <c r="AQ28" s="33"/>
      <c r="AR28" s="13"/>
      <c r="AS28" s="13"/>
      <c r="AT28" s="13"/>
      <c r="AU28" s="13"/>
      <c r="AV28" s="13"/>
      <c r="AW28" s="13"/>
      <c r="AX28" s="13"/>
      <c r="AY28" s="13"/>
      <c r="AZ28" s="13"/>
      <c r="BA28" s="33"/>
      <c r="BB28" s="33"/>
      <c r="BC28" s="33"/>
      <c r="BD28" s="33"/>
      <c r="BE28" s="33"/>
      <c r="BF28" s="13"/>
      <c r="BK28" s="33"/>
      <c r="BL28" s="33"/>
      <c r="BM28" s="33"/>
      <c r="BN28" s="15">
        <v>7203</v>
      </c>
      <c r="BO28">
        <v>610</v>
      </c>
      <c r="BP28">
        <v>174</v>
      </c>
      <c r="BQ28">
        <v>424</v>
      </c>
      <c r="BR28">
        <v>81</v>
      </c>
    </row>
    <row r="29" spans="1:70">
      <c r="A29" s="33"/>
      <c r="B29" s="13">
        <v>106</v>
      </c>
      <c r="C29" s="33"/>
      <c r="D29" s="33"/>
      <c r="E29" s="33"/>
      <c r="F29" s="33"/>
      <c r="G29" s="33"/>
      <c r="H29" s="33"/>
      <c r="I29" s="13"/>
      <c r="J29" s="13"/>
      <c r="K29" s="33">
        <v>401</v>
      </c>
      <c r="L29" s="33">
        <v>112003</v>
      </c>
      <c r="M29" s="13"/>
      <c r="N29" s="13"/>
      <c r="O29" s="13"/>
      <c r="P29" s="13"/>
      <c r="Q29" s="13"/>
      <c r="R29" s="33" t="s">
        <v>575</v>
      </c>
      <c r="S29" s="33">
        <v>157</v>
      </c>
      <c r="T29" s="33">
        <v>3002</v>
      </c>
      <c r="U29" s="33">
        <v>618</v>
      </c>
      <c r="V29" s="33">
        <v>18</v>
      </c>
      <c r="W29" s="33">
        <v>1</v>
      </c>
      <c r="X29" s="33">
        <v>2</v>
      </c>
      <c r="Y29" s="13">
        <v>0</v>
      </c>
      <c r="Z29" s="13"/>
      <c r="AA29" s="33"/>
      <c r="AB29" s="33"/>
      <c r="AC29" s="33"/>
      <c r="AD29" s="33"/>
      <c r="AE29" s="33"/>
      <c r="AF29" s="33"/>
      <c r="AG29" s="33"/>
      <c r="AH29" s="33"/>
      <c r="AI29" s="33"/>
      <c r="AJ29" s="33"/>
      <c r="AK29" s="33"/>
      <c r="AL29" s="33"/>
      <c r="AM29" s="13"/>
      <c r="AN29" s="13"/>
      <c r="AO29" s="33"/>
      <c r="AP29" s="33"/>
      <c r="AQ29" s="33"/>
      <c r="AR29" s="13"/>
      <c r="AS29" s="13"/>
      <c r="AT29" s="13"/>
      <c r="AU29" s="13"/>
      <c r="AV29" s="13"/>
      <c r="AW29" s="13"/>
      <c r="AX29" s="13"/>
      <c r="AY29" s="13"/>
      <c r="AZ29" s="13"/>
      <c r="BA29" s="33"/>
      <c r="BB29" s="33"/>
      <c r="BC29" s="33"/>
      <c r="BD29" s="33"/>
      <c r="BE29" s="33"/>
      <c r="BF29" s="13"/>
      <c r="BK29" s="33"/>
      <c r="BL29" s="33"/>
      <c r="BM29" s="33"/>
      <c r="BN29" s="15">
        <v>7204</v>
      </c>
      <c r="BO29">
        <v>610</v>
      </c>
      <c r="BP29">
        <v>81</v>
      </c>
      <c r="BQ29">
        <v>424</v>
      </c>
      <c r="BR29">
        <v>174</v>
      </c>
    </row>
    <row r="30" spans="1:70">
      <c r="A30" s="33"/>
      <c r="B30" s="13">
        <v>107</v>
      </c>
      <c r="C30" s="33"/>
      <c r="D30" s="33"/>
      <c r="E30" s="33"/>
      <c r="F30" s="33"/>
      <c r="G30" s="33"/>
      <c r="H30" s="33"/>
      <c r="I30" s="13"/>
      <c r="J30" s="13"/>
      <c r="K30" s="33">
        <v>402</v>
      </c>
      <c r="L30" s="33">
        <v>112002</v>
      </c>
      <c r="M30" s="13"/>
      <c r="N30" s="13"/>
      <c r="O30" s="13"/>
      <c r="P30" s="13"/>
      <c r="Q30" s="13"/>
      <c r="R30" s="33" t="s">
        <v>576</v>
      </c>
      <c r="S30" s="33">
        <v>158</v>
      </c>
      <c r="T30" s="33">
        <v>3008</v>
      </c>
      <c r="U30" s="33">
        <v>617</v>
      </c>
      <c r="V30" s="33">
        <v>72</v>
      </c>
      <c r="W30" s="33">
        <v>1</v>
      </c>
      <c r="X30" s="33">
        <v>4</v>
      </c>
      <c r="Y30" s="13">
        <v>0</v>
      </c>
      <c r="Z30" s="13"/>
      <c r="AA30" s="33"/>
      <c r="AB30" s="33"/>
      <c r="AC30" s="33"/>
      <c r="AD30" s="33"/>
      <c r="AE30" s="33"/>
      <c r="AF30" s="33"/>
      <c r="AG30" s="33"/>
      <c r="AH30" s="33"/>
      <c r="AI30" s="33"/>
      <c r="AJ30" s="33"/>
      <c r="AK30" s="33"/>
      <c r="AL30" s="33"/>
      <c r="AM30" s="13"/>
      <c r="AN30" s="13"/>
      <c r="AO30" s="33"/>
      <c r="AP30" s="33"/>
      <c r="AQ30" s="33"/>
      <c r="AR30" s="13"/>
      <c r="AS30" s="13"/>
      <c r="AT30" s="13"/>
      <c r="AU30" s="13"/>
      <c r="AV30" s="13"/>
      <c r="AW30" s="13"/>
      <c r="AX30" s="13"/>
      <c r="AY30" s="13"/>
      <c r="AZ30" s="13"/>
      <c r="BA30" s="33"/>
      <c r="BB30" s="33"/>
      <c r="BC30" s="33"/>
      <c r="BD30" s="33"/>
      <c r="BE30" s="33"/>
      <c r="BF30" s="13"/>
      <c r="BK30" s="33"/>
      <c r="BL30" s="33"/>
      <c r="BM30" s="33"/>
      <c r="BN30" s="15">
        <v>7205</v>
      </c>
      <c r="BO30">
        <v>610</v>
      </c>
      <c r="BP30">
        <v>174</v>
      </c>
      <c r="BQ30">
        <v>81</v>
      </c>
      <c r="BR30">
        <v>424</v>
      </c>
    </row>
    <row r="31" spans="1:70">
      <c r="A31" s="33"/>
      <c r="B31" s="13">
        <v>108</v>
      </c>
      <c r="C31" s="33"/>
      <c r="D31" s="33"/>
      <c r="E31" s="33"/>
      <c r="F31" s="33"/>
      <c r="G31" s="33"/>
      <c r="H31" s="33"/>
      <c r="I31" s="13"/>
      <c r="J31" s="13"/>
      <c r="K31" s="33">
        <v>403</v>
      </c>
      <c r="L31" s="33">
        <v>112001</v>
      </c>
      <c r="M31" s="13"/>
      <c r="N31" s="13"/>
      <c r="O31" s="13"/>
      <c r="P31" s="13"/>
      <c r="Q31" s="13"/>
      <c r="R31" s="33" t="s">
        <v>577</v>
      </c>
      <c r="S31" s="33">
        <v>159</v>
      </c>
      <c r="T31" s="33">
        <v>3010</v>
      </c>
      <c r="U31" s="33">
        <v>619</v>
      </c>
      <c r="V31" s="33">
        <v>90</v>
      </c>
      <c r="W31" s="33">
        <v>3</v>
      </c>
      <c r="X31" s="33">
        <v>3</v>
      </c>
      <c r="Y31" s="13">
        <v>0</v>
      </c>
      <c r="Z31" s="13"/>
      <c r="AA31" s="33"/>
      <c r="AB31" s="33"/>
      <c r="AC31" s="33"/>
      <c r="AD31" s="33"/>
      <c r="AE31" s="33"/>
      <c r="AF31" s="33"/>
      <c r="AG31" s="33"/>
      <c r="AH31" s="33"/>
      <c r="AI31" s="33"/>
      <c r="AJ31" s="33"/>
      <c r="AK31" s="33"/>
      <c r="AL31" s="33"/>
      <c r="AM31" s="13"/>
      <c r="AN31" s="13"/>
      <c r="AO31" s="33"/>
      <c r="AP31" s="33"/>
      <c r="AQ31" s="33"/>
      <c r="AR31" s="13"/>
      <c r="AS31" s="13"/>
      <c r="AT31" s="13"/>
      <c r="AU31" s="13"/>
      <c r="AV31" s="13"/>
      <c r="AW31" s="13"/>
      <c r="AX31" s="13"/>
      <c r="AY31" s="13"/>
      <c r="AZ31" s="13"/>
      <c r="BA31" s="33"/>
      <c r="BB31" s="33"/>
      <c r="BC31" s="33"/>
      <c r="BD31" s="33"/>
      <c r="BE31" s="33"/>
      <c r="BF31" s="13"/>
      <c r="BK31" s="33"/>
      <c r="BL31" s="33"/>
      <c r="BM31" s="33"/>
      <c r="BN31" s="15">
        <v>7206</v>
      </c>
      <c r="BO31">
        <v>610</v>
      </c>
      <c r="BP31">
        <v>81</v>
      </c>
      <c r="BQ31">
        <v>174</v>
      </c>
      <c r="BR31">
        <v>424</v>
      </c>
    </row>
    <row r="32" spans="1:70">
      <c r="A32" s="33"/>
      <c r="B32" s="13">
        <v>109</v>
      </c>
      <c r="C32" s="33"/>
      <c r="D32" s="33"/>
      <c r="E32" s="33"/>
      <c r="F32" s="33"/>
      <c r="G32" s="33"/>
      <c r="H32" s="33"/>
      <c r="I32" s="13"/>
      <c r="J32" s="13"/>
      <c r="K32" s="33">
        <v>404</v>
      </c>
      <c r="L32" s="33">
        <v>112006</v>
      </c>
      <c r="M32" s="13"/>
      <c r="N32" s="13"/>
      <c r="O32" s="13"/>
      <c r="P32" s="13"/>
      <c r="Q32" s="13"/>
      <c r="R32" s="33" t="s">
        <v>578</v>
      </c>
      <c r="S32" s="33">
        <v>134</v>
      </c>
      <c r="T32" s="33">
        <v>4001</v>
      </c>
      <c r="U32" s="33">
        <v>615</v>
      </c>
      <c r="V32" s="33">
        <v>18</v>
      </c>
      <c r="W32" s="33">
        <v>2</v>
      </c>
      <c r="X32" s="33">
        <v>1</v>
      </c>
      <c r="Y32" s="13">
        <v>0</v>
      </c>
      <c r="Z32" s="13"/>
      <c r="AA32" s="33"/>
      <c r="AB32" s="33"/>
      <c r="AC32" s="33"/>
      <c r="AD32" s="33"/>
      <c r="AE32" s="33"/>
      <c r="AF32" s="33"/>
      <c r="AG32" s="33"/>
      <c r="AH32" s="33"/>
      <c r="AI32" s="33"/>
      <c r="AJ32" s="33"/>
      <c r="AK32" s="33"/>
      <c r="AL32" s="33"/>
      <c r="AM32" s="13"/>
      <c r="AN32" s="13"/>
      <c r="AO32" s="33"/>
      <c r="AP32" s="33"/>
      <c r="AQ32" s="33"/>
      <c r="AR32" s="13"/>
      <c r="AS32" s="13"/>
      <c r="AT32" s="13"/>
      <c r="AU32" s="13"/>
      <c r="AV32" s="13"/>
      <c r="AW32" s="13"/>
      <c r="AX32" s="13"/>
      <c r="AY32" s="13"/>
      <c r="AZ32" s="13"/>
      <c r="BA32" s="33"/>
      <c r="BB32" s="33"/>
      <c r="BC32" s="33"/>
      <c r="BD32" s="33"/>
      <c r="BE32" s="33"/>
      <c r="BF32" s="13"/>
      <c r="BK32" s="33"/>
      <c r="BL32" s="33"/>
      <c r="BM32" s="33"/>
      <c r="BN32" s="15">
        <v>7207</v>
      </c>
      <c r="BO32">
        <v>424</v>
      </c>
      <c r="BP32">
        <v>610</v>
      </c>
      <c r="BQ32">
        <v>174</v>
      </c>
      <c r="BR32">
        <v>81</v>
      </c>
    </row>
    <row r="33" spans="1:70">
      <c r="A33" s="33"/>
      <c r="B33" s="13">
        <v>110</v>
      </c>
      <c r="C33" s="33"/>
      <c r="D33" s="33"/>
      <c r="E33" s="33"/>
      <c r="F33" s="33"/>
      <c r="G33" s="33"/>
      <c r="H33" s="33"/>
      <c r="I33" s="13"/>
      <c r="J33" s="13"/>
      <c r="K33" s="33">
        <v>405</v>
      </c>
      <c r="L33" s="33">
        <v>112005</v>
      </c>
      <c r="M33" s="13"/>
      <c r="N33" s="13"/>
      <c r="O33" s="13"/>
      <c r="P33" s="13"/>
      <c r="Q33" s="13"/>
      <c r="R33" s="33" t="s">
        <v>579</v>
      </c>
      <c r="S33" s="33">
        <v>135</v>
      </c>
      <c r="T33" s="33">
        <v>4003</v>
      </c>
      <c r="U33" s="33">
        <v>610</v>
      </c>
      <c r="V33" s="33">
        <v>36</v>
      </c>
      <c r="W33" s="33">
        <v>1</v>
      </c>
      <c r="X33" s="33">
        <v>5</v>
      </c>
      <c r="Y33" s="13">
        <v>0</v>
      </c>
      <c r="Z33" s="13"/>
      <c r="AA33" s="33"/>
      <c r="AB33" s="33"/>
      <c r="AC33" s="33"/>
      <c r="AD33" s="33"/>
      <c r="AE33" s="33"/>
      <c r="AF33" s="33"/>
      <c r="AG33" s="33"/>
      <c r="AH33" s="33"/>
      <c r="AI33" s="33"/>
      <c r="AJ33" s="33"/>
      <c r="AK33" s="33"/>
      <c r="AL33" s="33"/>
      <c r="AM33" s="13"/>
      <c r="AN33" s="13"/>
      <c r="AO33" s="33"/>
      <c r="AP33" s="33"/>
      <c r="AQ33" s="33"/>
      <c r="AR33" s="13"/>
      <c r="AS33" s="13"/>
      <c r="AT33" s="13"/>
      <c r="AU33" s="13"/>
      <c r="AV33" s="13"/>
      <c r="AW33" s="13"/>
      <c r="AX33" s="13"/>
      <c r="AY33" s="13"/>
      <c r="AZ33" s="13"/>
      <c r="BA33" s="33"/>
      <c r="BB33" s="33"/>
      <c r="BC33" s="33"/>
      <c r="BD33" s="33"/>
      <c r="BE33" s="33"/>
      <c r="BF33" s="13"/>
      <c r="BK33" s="33"/>
      <c r="BL33" s="33"/>
      <c r="BM33" s="33"/>
      <c r="BN33" s="15">
        <v>7208</v>
      </c>
      <c r="BO33">
        <v>424</v>
      </c>
      <c r="BP33">
        <v>610</v>
      </c>
      <c r="BQ33">
        <v>81</v>
      </c>
      <c r="BR33">
        <v>174</v>
      </c>
    </row>
    <row r="34" spans="1:70">
      <c r="A34" s="33"/>
      <c r="B34" s="13">
        <v>111</v>
      </c>
      <c r="C34" s="33"/>
      <c r="D34" s="33"/>
      <c r="E34" s="33"/>
      <c r="F34" s="33"/>
      <c r="G34" s="33"/>
      <c r="H34" s="33"/>
      <c r="I34" s="13"/>
      <c r="J34" s="13"/>
      <c r="K34" s="33">
        <v>406</v>
      </c>
      <c r="L34" s="33">
        <v>112004</v>
      </c>
      <c r="M34" s="13"/>
      <c r="N34" s="13"/>
      <c r="O34" s="13"/>
      <c r="P34" s="13"/>
      <c r="Q34" s="13"/>
      <c r="R34" s="33" t="s">
        <v>580</v>
      </c>
      <c r="S34" s="33">
        <v>136</v>
      </c>
      <c r="T34" s="33">
        <v>4005</v>
      </c>
      <c r="U34" s="33">
        <v>613</v>
      </c>
      <c r="V34" s="33">
        <v>45</v>
      </c>
      <c r="W34" s="33">
        <v>1</v>
      </c>
      <c r="X34" s="33">
        <v>4</v>
      </c>
      <c r="Y34" s="13">
        <v>0</v>
      </c>
      <c r="Z34" s="13"/>
      <c r="AA34" s="33"/>
      <c r="AB34" s="33"/>
      <c r="AC34" s="33"/>
      <c r="AD34" s="33"/>
      <c r="AE34" s="33"/>
      <c r="AF34" s="33"/>
      <c r="AG34" s="33"/>
      <c r="AH34" s="33"/>
      <c r="AI34" s="33"/>
      <c r="AJ34" s="33"/>
      <c r="AK34" s="33"/>
      <c r="AL34" s="33"/>
      <c r="AM34" s="13"/>
      <c r="AN34" s="13"/>
      <c r="AO34" s="33"/>
      <c r="AP34" s="33"/>
      <c r="AQ34" s="33"/>
      <c r="AR34" s="13"/>
      <c r="AS34" s="13"/>
      <c r="AT34" s="13"/>
      <c r="AU34" s="13"/>
      <c r="AV34" s="13"/>
      <c r="AW34" s="13"/>
      <c r="AX34" s="13"/>
      <c r="AY34" s="13"/>
      <c r="AZ34" s="13"/>
      <c r="BA34" s="33"/>
      <c r="BB34" s="33"/>
      <c r="BC34" s="33"/>
      <c r="BD34" s="33"/>
      <c r="BE34" s="33"/>
      <c r="BF34" s="13"/>
      <c r="BK34" s="33"/>
      <c r="BL34" s="33"/>
      <c r="BM34" s="33"/>
      <c r="BN34" s="15">
        <v>7209</v>
      </c>
      <c r="BO34">
        <v>174</v>
      </c>
      <c r="BP34">
        <v>610</v>
      </c>
      <c r="BQ34">
        <v>424</v>
      </c>
      <c r="BR34">
        <v>81</v>
      </c>
    </row>
    <row r="35" spans="1:70">
      <c r="A35" s="33"/>
      <c r="B35" s="13">
        <v>112</v>
      </c>
      <c r="C35" s="33"/>
      <c r="D35" s="33"/>
      <c r="E35" s="33"/>
      <c r="F35" s="33"/>
      <c r="G35" s="33"/>
      <c r="H35" s="33"/>
      <c r="I35" s="13"/>
      <c r="J35" s="13"/>
      <c r="K35" s="33">
        <v>407</v>
      </c>
      <c r="L35" s="33">
        <v>112009</v>
      </c>
      <c r="M35" s="13"/>
      <c r="N35" s="13"/>
      <c r="O35" s="13"/>
      <c r="P35" s="13"/>
      <c r="Q35" s="13"/>
      <c r="R35" s="33" t="s">
        <v>581</v>
      </c>
      <c r="S35" s="33">
        <v>147</v>
      </c>
      <c r="T35" s="33">
        <v>4002</v>
      </c>
      <c r="U35" s="33">
        <v>613</v>
      </c>
      <c r="V35" s="33">
        <v>27</v>
      </c>
      <c r="W35" s="33">
        <v>1</v>
      </c>
      <c r="X35" s="33">
        <v>2</v>
      </c>
      <c r="Y35" s="13">
        <v>0</v>
      </c>
      <c r="Z35" s="13"/>
      <c r="AA35" s="33"/>
      <c r="AB35" s="33"/>
      <c r="AC35" s="33"/>
      <c r="AD35" s="33"/>
      <c r="AE35" s="33"/>
      <c r="AF35" s="33"/>
      <c r="AG35" s="33"/>
      <c r="AH35" s="33"/>
      <c r="AI35" s="33"/>
      <c r="AJ35" s="33"/>
      <c r="AK35" s="33"/>
      <c r="AL35" s="33"/>
      <c r="AM35" s="13"/>
      <c r="AN35" s="13"/>
      <c r="AO35" s="33"/>
      <c r="AP35" s="33"/>
      <c r="AQ35" s="33"/>
      <c r="AR35" s="13"/>
      <c r="AS35" s="13"/>
      <c r="AT35" s="13"/>
      <c r="AU35" s="13"/>
      <c r="AV35" s="13"/>
      <c r="AW35" s="13"/>
      <c r="AX35" s="13"/>
      <c r="AY35" s="13"/>
      <c r="AZ35" s="13"/>
      <c r="BA35" s="33"/>
      <c r="BB35" s="33"/>
      <c r="BC35" s="33"/>
      <c r="BD35" s="33"/>
      <c r="BE35" s="33"/>
      <c r="BF35" s="13"/>
      <c r="BK35" s="33"/>
      <c r="BL35" s="33"/>
      <c r="BM35" s="33"/>
      <c r="BN35" s="15">
        <v>7210</v>
      </c>
      <c r="BO35">
        <v>81</v>
      </c>
      <c r="BP35">
        <v>610</v>
      </c>
      <c r="BQ35">
        <v>424</v>
      </c>
      <c r="BR35">
        <v>174</v>
      </c>
    </row>
    <row r="36" spans="1:70">
      <c r="A36" s="33"/>
      <c r="B36" s="13">
        <v>113</v>
      </c>
      <c r="C36" s="33"/>
      <c r="D36" s="33"/>
      <c r="E36" s="33"/>
      <c r="F36" s="33"/>
      <c r="G36" s="33"/>
      <c r="H36" s="33"/>
      <c r="I36" s="13"/>
      <c r="J36" s="13"/>
      <c r="K36" s="33">
        <v>408</v>
      </c>
      <c r="L36" s="33">
        <v>112008</v>
      </c>
      <c r="M36" s="13"/>
      <c r="N36" s="13"/>
      <c r="O36" s="13"/>
      <c r="P36" s="13"/>
      <c r="Q36" s="13"/>
      <c r="R36" s="33" t="s">
        <v>582</v>
      </c>
      <c r="S36" s="33">
        <v>147</v>
      </c>
      <c r="T36" s="33">
        <v>4007</v>
      </c>
      <c r="U36" s="33">
        <v>620</v>
      </c>
      <c r="V36" s="33">
        <v>63</v>
      </c>
      <c r="W36" s="33">
        <v>2</v>
      </c>
      <c r="X36" s="33">
        <v>1</v>
      </c>
      <c r="Y36" s="13">
        <v>0</v>
      </c>
      <c r="Z36" s="13"/>
      <c r="AA36" s="33"/>
      <c r="AB36" s="33"/>
      <c r="AC36" s="33"/>
      <c r="AD36" s="33"/>
      <c r="AE36" s="33"/>
      <c r="AF36" s="33"/>
      <c r="AG36" s="33"/>
      <c r="AH36" s="33"/>
      <c r="AI36" s="33"/>
      <c r="AJ36" s="33"/>
      <c r="AK36" s="33"/>
      <c r="AL36" s="33"/>
      <c r="AM36" s="13"/>
      <c r="AN36" s="13"/>
      <c r="AO36" s="33"/>
      <c r="AP36" s="33"/>
      <c r="AQ36" s="33"/>
      <c r="AR36" s="13"/>
      <c r="AS36" s="13"/>
      <c r="AT36" s="13"/>
      <c r="AU36" s="13"/>
      <c r="AV36" s="13"/>
      <c r="AW36" s="13"/>
      <c r="AX36" s="13"/>
      <c r="AY36" s="13"/>
      <c r="AZ36" s="13"/>
      <c r="BA36" s="33"/>
      <c r="BB36" s="33"/>
      <c r="BC36" s="33"/>
      <c r="BD36" s="33"/>
      <c r="BE36" s="33"/>
      <c r="BF36" s="13"/>
      <c r="BK36" s="33"/>
      <c r="BL36" s="33"/>
      <c r="BM36" s="33"/>
      <c r="BN36" s="15">
        <v>7211</v>
      </c>
      <c r="BO36">
        <v>174</v>
      </c>
      <c r="BP36">
        <v>610</v>
      </c>
      <c r="BQ36">
        <v>81</v>
      </c>
      <c r="BR36">
        <v>424</v>
      </c>
    </row>
    <row r="37" spans="1:70">
      <c r="A37" s="33"/>
      <c r="B37" s="13">
        <v>114</v>
      </c>
      <c r="C37" s="33"/>
      <c r="D37" s="33"/>
      <c r="E37" s="33"/>
      <c r="F37" s="33"/>
      <c r="G37" s="33"/>
      <c r="H37" s="33"/>
      <c r="I37" s="13"/>
      <c r="J37" s="13"/>
      <c r="K37" s="33">
        <v>409</v>
      </c>
      <c r="L37" s="33">
        <v>112007</v>
      </c>
      <c r="M37" s="13"/>
      <c r="N37" s="13"/>
      <c r="O37" s="13"/>
      <c r="P37" s="13"/>
      <c r="Q37" s="13"/>
      <c r="R37" s="33" t="s">
        <v>583</v>
      </c>
      <c r="S37" s="33">
        <v>148</v>
      </c>
      <c r="T37" s="33">
        <v>4004</v>
      </c>
      <c r="U37" s="33">
        <v>610</v>
      </c>
      <c r="V37" s="33">
        <v>9</v>
      </c>
      <c r="W37" s="33">
        <v>4</v>
      </c>
      <c r="X37" s="33">
        <v>3</v>
      </c>
      <c r="Y37" s="13">
        <v>0</v>
      </c>
      <c r="Z37" s="13"/>
      <c r="AA37" s="33"/>
      <c r="AB37" s="33"/>
      <c r="AC37" s="33"/>
      <c r="AD37" s="33"/>
      <c r="AE37" s="33"/>
      <c r="AF37" s="33"/>
      <c r="AG37" s="33"/>
      <c r="AH37" s="33"/>
      <c r="AI37" s="33"/>
      <c r="AJ37" s="33"/>
      <c r="AK37" s="33"/>
      <c r="AL37" s="33"/>
      <c r="AM37" s="13"/>
      <c r="AN37" s="13"/>
      <c r="AO37" s="33"/>
      <c r="AP37" s="33"/>
      <c r="AQ37" s="33"/>
      <c r="AR37" s="13"/>
      <c r="AS37" s="13"/>
      <c r="AT37" s="13"/>
      <c r="AU37" s="13"/>
      <c r="AV37" s="13"/>
      <c r="AW37" s="13"/>
      <c r="AX37" s="13"/>
      <c r="AY37" s="13"/>
      <c r="AZ37" s="13"/>
      <c r="BA37" s="33"/>
      <c r="BB37" s="33"/>
      <c r="BC37" s="33"/>
      <c r="BD37" s="33"/>
      <c r="BE37" s="33"/>
      <c r="BF37" s="13"/>
      <c r="BK37" s="33"/>
      <c r="BL37" s="33"/>
      <c r="BM37" s="33"/>
      <c r="BN37" s="15">
        <v>7212</v>
      </c>
      <c r="BO37">
        <v>81</v>
      </c>
      <c r="BP37">
        <v>610</v>
      </c>
      <c r="BQ37">
        <v>174</v>
      </c>
      <c r="BR37">
        <v>424</v>
      </c>
    </row>
    <row r="38" spans="1:70">
      <c r="A38" s="33"/>
      <c r="B38" s="13">
        <v>115</v>
      </c>
      <c r="C38" s="33"/>
      <c r="D38" s="33"/>
      <c r="E38" s="33"/>
      <c r="F38" s="33"/>
      <c r="G38" s="33"/>
      <c r="H38" s="33"/>
      <c r="I38" s="13"/>
      <c r="J38" s="13"/>
      <c r="K38" s="33">
        <v>501</v>
      </c>
      <c r="L38" s="33">
        <v>112002</v>
      </c>
      <c r="M38" s="13"/>
      <c r="N38" s="13"/>
      <c r="O38" s="13"/>
      <c r="P38" s="13"/>
      <c r="Q38" s="13"/>
      <c r="R38" s="33" t="s">
        <v>584</v>
      </c>
      <c r="S38" s="33">
        <v>149</v>
      </c>
      <c r="T38" s="33">
        <v>4006</v>
      </c>
      <c r="U38" s="33">
        <v>618</v>
      </c>
      <c r="V38" s="33">
        <v>54</v>
      </c>
      <c r="W38" s="33">
        <v>1</v>
      </c>
      <c r="X38" s="33">
        <v>4</v>
      </c>
      <c r="Y38" s="13">
        <v>0</v>
      </c>
      <c r="Z38" s="13"/>
      <c r="AA38" s="33"/>
      <c r="AB38" s="33"/>
      <c r="AC38" s="33"/>
      <c r="AD38" s="33"/>
      <c r="AE38" s="33"/>
      <c r="AF38" s="33"/>
      <c r="AG38" s="33"/>
      <c r="AH38" s="33"/>
      <c r="AI38" s="33"/>
      <c r="AJ38" s="33"/>
      <c r="AK38" s="33"/>
      <c r="AL38" s="33"/>
      <c r="AM38" s="13"/>
      <c r="AN38" s="13"/>
      <c r="AO38" s="33"/>
      <c r="AP38" s="33"/>
      <c r="AQ38" s="33"/>
      <c r="AR38" s="13"/>
      <c r="AS38" s="13"/>
      <c r="AT38" s="13"/>
      <c r="AU38" s="13"/>
      <c r="AV38" s="13"/>
      <c r="AW38" s="13"/>
      <c r="AX38" s="13"/>
      <c r="AY38" s="13"/>
      <c r="AZ38" s="13"/>
      <c r="BA38" s="33"/>
      <c r="BB38" s="33"/>
      <c r="BC38" s="33"/>
      <c r="BD38" s="33"/>
      <c r="BE38" s="33"/>
      <c r="BF38" s="13"/>
      <c r="BK38" s="33"/>
      <c r="BL38" s="33"/>
      <c r="BM38" s="33"/>
      <c r="BN38" s="15">
        <v>7213</v>
      </c>
      <c r="BO38">
        <v>424</v>
      </c>
      <c r="BP38">
        <v>174</v>
      </c>
      <c r="BQ38">
        <v>610</v>
      </c>
      <c r="BR38">
        <v>81</v>
      </c>
    </row>
    <row r="39" spans="1:70">
      <c r="A39" s="33"/>
      <c r="B39" s="13">
        <v>116</v>
      </c>
      <c r="C39" s="33"/>
      <c r="D39" s="33"/>
      <c r="E39" s="33"/>
      <c r="F39" s="33"/>
      <c r="G39" s="33"/>
      <c r="H39" s="33"/>
      <c r="I39" s="13"/>
      <c r="J39" s="13"/>
      <c r="K39" s="33">
        <v>502</v>
      </c>
      <c r="L39" s="33">
        <v>112003</v>
      </c>
      <c r="M39" s="13"/>
      <c r="N39" s="13"/>
      <c r="O39" s="13"/>
      <c r="P39" s="13"/>
      <c r="Q39" s="13"/>
      <c r="R39" s="33" t="s">
        <v>585</v>
      </c>
      <c r="S39" s="33">
        <v>160</v>
      </c>
      <c r="T39" s="33">
        <v>4009</v>
      </c>
      <c r="U39" s="33">
        <v>619</v>
      </c>
      <c r="V39" s="33">
        <v>81</v>
      </c>
      <c r="W39" s="33">
        <v>1</v>
      </c>
      <c r="X39" s="33">
        <v>2</v>
      </c>
      <c r="Y39" s="13">
        <v>0</v>
      </c>
      <c r="Z39" s="13"/>
      <c r="AA39" s="33"/>
      <c r="AB39" s="33"/>
      <c r="AC39" s="33"/>
      <c r="AD39" s="33"/>
      <c r="AE39" s="33"/>
      <c r="AF39" s="33"/>
      <c r="AG39" s="33"/>
      <c r="AH39" s="33"/>
      <c r="AI39" s="33"/>
      <c r="AJ39" s="33"/>
      <c r="AK39" s="33"/>
      <c r="AL39" s="33"/>
      <c r="AM39" s="13"/>
      <c r="AN39" s="13"/>
      <c r="AO39" s="33"/>
      <c r="AP39" s="33"/>
      <c r="AQ39" s="33"/>
      <c r="AR39" s="13"/>
      <c r="AS39" s="13"/>
      <c r="AT39" s="13"/>
      <c r="AU39" s="13"/>
      <c r="AV39" s="13"/>
      <c r="AW39" s="13"/>
      <c r="AX39" s="13"/>
      <c r="AY39" s="13"/>
      <c r="AZ39" s="13"/>
      <c r="BA39" s="33"/>
      <c r="BB39" s="33"/>
      <c r="BC39" s="33"/>
      <c r="BD39" s="33"/>
      <c r="BE39" s="33"/>
      <c r="BF39" s="13"/>
      <c r="BK39" s="33"/>
      <c r="BL39" s="33"/>
      <c r="BM39" s="33"/>
      <c r="BN39" s="15">
        <v>7214</v>
      </c>
      <c r="BO39">
        <v>424</v>
      </c>
      <c r="BP39">
        <v>81</v>
      </c>
      <c r="BQ39">
        <v>610</v>
      </c>
      <c r="BR39">
        <v>174</v>
      </c>
    </row>
    <row r="40" spans="1:70">
      <c r="A40" s="33"/>
      <c r="B40" s="13">
        <v>117</v>
      </c>
      <c r="C40" s="33"/>
      <c r="D40" s="33"/>
      <c r="E40" s="33"/>
      <c r="F40" s="33"/>
      <c r="G40" s="33"/>
      <c r="H40" s="33"/>
      <c r="I40" s="13"/>
      <c r="J40" s="13"/>
      <c r="K40" s="33">
        <v>503</v>
      </c>
      <c r="L40" s="33">
        <v>112004</v>
      </c>
      <c r="M40" s="13"/>
      <c r="N40" s="13"/>
      <c r="O40" s="13"/>
      <c r="P40" s="13"/>
      <c r="Q40" s="13"/>
      <c r="R40" s="33" t="s">
        <v>586</v>
      </c>
      <c r="S40" s="33">
        <v>161</v>
      </c>
      <c r="T40" s="33">
        <v>4008</v>
      </c>
      <c r="U40" s="33">
        <v>619</v>
      </c>
      <c r="V40" s="33">
        <v>72</v>
      </c>
      <c r="W40" s="33">
        <v>1</v>
      </c>
      <c r="X40" s="33">
        <v>5</v>
      </c>
      <c r="Y40" s="13">
        <v>0</v>
      </c>
      <c r="Z40" s="13"/>
      <c r="AA40" s="33"/>
      <c r="AB40" s="33"/>
      <c r="AC40" s="33"/>
      <c r="AD40" s="33"/>
      <c r="AE40" s="33"/>
      <c r="AF40" s="33"/>
      <c r="AG40" s="33"/>
      <c r="AH40" s="33"/>
      <c r="AI40" s="33"/>
      <c r="AJ40" s="33"/>
      <c r="AK40" s="33"/>
      <c r="AL40" s="33"/>
      <c r="AM40" s="13"/>
      <c r="AN40" s="13"/>
      <c r="AO40" s="33"/>
      <c r="AP40" s="33"/>
      <c r="AQ40" s="33"/>
      <c r="AR40" s="13"/>
      <c r="AS40" s="13"/>
      <c r="AT40" s="13"/>
      <c r="AU40" s="13"/>
      <c r="AV40" s="13"/>
      <c r="AW40" s="13"/>
      <c r="AX40" s="13"/>
      <c r="AY40" s="13"/>
      <c r="AZ40" s="13"/>
      <c r="BA40" s="33"/>
      <c r="BB40" s="33"/>
      <c r="BC40" s="33"/>
      <c r="BD40" s="33"/>
      <c r="BE40" s="33"/>
      <c r="BF40" s="13"/>
      <c r="BK40" s="33"/>
      <c r="BL40" s="33"/>
      <c r="BM40" s="33"/>
      <c r="BN40" s="15">
        <v>7215</v>
      </c>
      <c r="BO40">
        <v>174</v>
      </c>
      <c r="BP40">
        <v>424</v>
      </c>
      <c r="BQ40">
        <v>610</v>
      </c>
      <c r="BR40">
        <v>81</v>
      </c>
    </row>
    <row r="41" spans="1:70">
      <c r="A41" s="33"/>
      <c r="B41" s="13">
        <v>118</v>
      </c>
      <c r="C41" s="33"/>
      <c r="D41" s="33"/>
      <c r="E41" s="33"/>
      <c r="F41" s="33"/>
      <c r="G41" s="33"/>
      <c r="H41" s="33"/>
      <c r="I41" s="13"/>
      <c r="J41" s="13"/>
      <c r="K41" s="33">
        <v>504</v>
      </c>
      <c r="L41" s="33">
        <v>112005</v>
      </c>
      <c r="M41" s="13"/>
      <c r="N41" s="13"/>
      <c r="O41" s="13"/>
      <c r="P41" s="13"/>
      <c r="Q41" s="13"/>
      <c r="R41" s="33" t="s">
        <v>587</v>
      </c>
      <c r="S41" s="33">
        <v>162</v>
      </c>
      <c r="T41" s="33">
        <v>4010</v>
      </c>
      <c r="U41" s="33">
        <v>617</v>
      </c>
      <c r="V41" s="33">
        <v>90</v>
      </c>
      <c r="W41" s="33">
        <v>3</v>
      </c>
      <c r="X41" s="33">
        <v>3</v>
      </c>
      <c r="Y41" s="13">
        <v>0</v>
      </c>
      <c r="Z41" s="13"/>
      <c r="AA41" s="33"/>
      <c r="AB41" s="33"/>
      <c r="AC41" s="33"/>
      <c r="AD41" s="33"/>
      <c r="AE41" s="33"/>
      <c r="AF41" s="33"/>
      <c r="AG41" s="33"/>
      <c r="AH41" s="33"/>
      <c r="AI41" s="33"/>
      <c r="AJ41" s="33"/>
      <c r="AK41" s="33"/>
      <c r="AL41" s="33"/>
      <c r="AM41" s="13"/>
      <c r="AN41" s="13"/>
      <c r="AO41" s="33"/>
      <c r="AP41" s="33"/>
      <c r="AQ41" s="33"/>
      <c r="AR41" s="13"/>
      <c r="AS41" s="13"/>
      <c r="AT41" s="13"/>
      <c r="AU41" s="13"/>
      <c r="AV41" s="13"/>
      <c r="AW41" s="13"/>
      <c r="AX41" s="13"/>
      <c r="AY41" s="13"/>
      <c r="AZ41" s="13"/>
      <c r="BA41" s="33"/>
      <c r="BB41" s="33"/>
      <c r="BC41" s="33"/>
      <c r="BD41" s="33"/>
      <c r="BE41" s="33"/>
      <c r="BF41" s="13"/>
      <c r="BG41" s="13"/>
      <c r="BH41" s="13"/>
      <c r="BI41" s="13"/>
      <c r="BJ41" s="13"/>
      <c r="BK41" s="33"/>
      <c r="BL41" s="33"/>
      <c r="BM41" s="33"/>
      <c r="BN41" s="15">
        <v>7216</v>
      </c>
      <c r="BO41">
        <v>81</v>
      </c>
      <c r="BP41">
        <v>424</v>
      </c>
      <c r="BQ41">
        <v>610</v>
      </c>
      <c r="BR41">
        <v>174</v>
      </c>
    </row>
    <row r="42" spans="1:70">
      <c r="A42" s="33"/>
      <c r="B42" s="13">
        <v>119</v>
      </c>
      <c r="C42" s="33"/>
      <c r="D42" s="33"/>
      <c r="E42" s="33"/>
      <c r="F42" s="33"/>
      <c r="G42" s="33"/>
      <c r="H42" s="33"/>
      <c r="I42" s="13"/>
      <c r="J42" s="13"/>
      <c r="K42" s="33">
        <v>505</v>
      </c>
      <c r="L42" s="33">
        <v>112006</v>
      </c>
      <c r="M42" s="13"/>
      <c r="N42" s="13"/>
      <c r="O42" s="13"/>
      <c r="P42" s="13"/>
      <c r="Q42" s="13"/>
      <c r="R42" s="33" t="s">
        <v>588</v>
      </c>
      <c r="S42" s="33">
        <v>137</v>
      </c>
      <c r="T42" s="33">
        <v>5001</v>
      </c>
      <c r="U42" s="33">
        <v>613</v>
      </c>
      <c r="V42" s="33">
        <v>30</v>
      </c>
      <c r="W42" s="33">
        <v>4</v>
      </c>
      <c r="X42" s="33">
        <v>3</v>
      </c>
      <c r="Y42" s="13">
        <v>1</v>
      </c>
      <c r="Z42" s="13"/>
      <c r="AA42" s="33"/>
      <c r="AB42" s="33"/>
      <c r="AC42" s="33"/>
      <c r="AD42" s="33"/>
      <c r="AE42" s="33"/>
      <c r="AF42" s="33"/>
      <c r="AG42" s="33"/>
      <c r="AH42" s="33"/>
      <c r="AI42" s="33"/>
      <c r="AJ42" s="33"/>
      <c r="AK42" s="33"/>
      <c r="AL42" s="33"/>
      <c r="AM42" s="13"/>
      <c r="AN42" s="13"/>
      <c r="AO42" s="33"/>
      <c r="AP42" s="33"/>
      <c r="AQ42" s="33"/>
      <c r="AR42" s="13"/>
      <c r="AS42" s="13"/>
      <c r="AT42" s="13"/>
      <c r="AU42" s="13"/>
      <c r="AV42" s="13"/>
      <c r="AW42" s="13"/>
      <c r="AX42" s="13"/>
      <c r="AY42" s="13"/>
      <c r="AZ42" s="13"/>
      <c r="BA42" s="33"/>
      <c r="BB42" s="33"/>
      <c r="BC42" s="33"/>
      <c r="BD42" s="33"/>
      <c r="BE42" s="33"/>
      <c r="BF42" s="13"/>
      <c r="BK42" s="33"/>
      <c r="BL42" s="33"/>
      <c r="BM42" s="33"/>
      <c r="BN42" s="15">
        <v>7217</v>
      </c>
      <c r="BO42">
        <v>174</v>
      </c>
      <c r="BP42">
        <v>81</v>
      </c>
      <c r="BQ42">
        <v>610</v>
      </c>
      <c r="BR42">
        <v>424</v>
      </c>
    </row>
    <row r="43" spans="1:70">
      <c r="A43" s="33"/>
      <c r="B43" s="13">
        <v>120</v>
      </c>
      <c r="C43" s="33"/>
      <c r="D43" s="33"/>
      <c r="E43" s="33"/>
      <c r="F43" s="33"/>
      <c r="G43" s="33"/>
      <c r="H43" s="33"/>
      <c r="I43" s="13"/>
      <c r="J43" s="13"/>
      <c r="K43" s="33">
        <v>506</v>
      </c>
      <c r="L43" s="33">
        <v>112007</v>
      </c>
      <c r="M43" s="13"/>
      <c r="N43" s="13"/>
      <c r="O43" s="13"/>
      <c r="P43" s="13"/>
      <c r="Q43" s="13"/>
      <c r="R43" s="33" t="s">
        <v>589</v>
      </c>
      <c r="S43" s="33">
        <v>150</v>
      </c>
      <c r="T43" s="33">
        <v>5002</v>
      </c>
      <c r="U43" s="33">
        <v>617</v>
      </c>
      <c r="V43" s="33">
        <v>30</v>
      </c>
      <c r="W43" s="33">
        <v>3</v>
      </c>
      <c r="X43" s="33">
        <v>3</v>
      </c>
      <c r="Y43" s="13">
        <v>1</v>
      </c>
      <c r="Z43" s="13"/>
      <c r="AA43" s="33"/>
      <c r="AB43" s="33"/>
      <c r="AC43" s="33"/>
      <c r="AD43" s="33"/>
      <c r="AE43" s="33"/>
      <c r="AF43" s="33"/>
      <c r="AG43" s="33"/>
      <c r="AH43" s="33"/>
      <c r="AI43" s="33"/>
      <c r="AJ43" s="33"/>
      <c r="AK43" s="33"/>
      <c r="AL43" s="33"/>
      <c r="AM43" s="13"/>
      <c r="AN43" s="13"/>
      <c r="AO43" s="33"/>
      <c r="AP43" s="33"/>
      <c r="AQ43" s="33"/>
      <c r="AR43" s="13"/>
      <c r="AS43" s="13"/>
      <c r="AT43" s="13"/>
      <c r="AU43" s="13"/>
      <c r="AV43" s="13"/>
      <c r="AW43" s="13"/>
      <c r="AX43" s="13"/>
      <c r="AY43" s="13"/>
      <c r="AZ43" s="13"/>
      <c r="BA43" s="33"/>
      <c r="BB43" s="33"/>
      <c r="BC43" s="33"/>
      <c r="BD43" s="33"/>
      <c r="BE43" s="33"/>
      <c r="BF43" s="13"/>
      <c r="BK43" s="33"/>
      <c r="BL43" s="33"/>
      <c r="BM43" s="33"/>
      <c r="BN43" s="15">
        <v>7218</v>
      </c>
      <c r="BO43">
        <v>81</v>
      </c>
      <c r="BP43">
        <v>174</v>
      </c>
      <c r="BQ43">
        <v>610</v>
      </c>
      <c r="BR43">
        <v>424</v>
      </c>
    </row>
    <row r="44" spans="1:70">
      <c r="A44" s="33"/>
      <c r="B44" s="13">
        <v>121</v>
      </c>
      <c r="C44" s="33"/>
      <c r="D44" s="33"/>
      <c r="E44" s="33"/>
      <c r="F44" s="33"/>
      <c r="G44" s="33"/>
      <c r="H44" s="33"/>
      <c r="I44" s="13"/>
      <c r="J44" s="13"/>
      <c r="K44" s="33">
        <v>507</v>
      </c>
      <c r="L44" s="33">
        <v>112008</v>
      </c>
      <c r="M44" s="13"/>
      <c r="N44" s="13"/>
      <c r="O44" s="13"/>
      <c r="P44" s="13"/>
      <c r="Q44" s="13"/>
      <c r="R44" s="33" t="s">
        <v>590</v>
      </c>
      <c r="S44" s="33">
        <v>163</v>
      </c>
      <c r="T44" s="33">
        <v>5003</v>
      </c>
      <c r="U44" s="33">
        <v>618</v>
      </c>
      <c r="V44" s="33">
        <v>30</v>
      </c>
      <c r="W44" s="33">
        <v>3</v>
      </c>
      <c r="X44" s="33">
        <v>3</v>
      </c>
      <c r="Y44" s="13">
        <v>1</v>
      </c>
      <c r="Z44" s="13"/>
      <c r="AA44" s="33"/>
      <c r="AB44" s="33"/>
      <c r="AC44" s="33"/>
      <c r="AD44" s="33"/>
      <c r="AE44" s="33"/>
      <c r="AF44" s="33"/>
      <c r="AG44" s="33"/>
      <c r="AH44" s="33"/>
      <c r="AI44" s="33"/>
      <c r="AJ44" s="33"/>
      <c r="AK44" s="33"/>
      <c r="AL44" s="33"/>
      <c r="AM44" s="13"/>
      <c r="AN44" s="13"/>
      <c r="AO44" s="33"/>
      <c r="AP44" s="33"/>
      <c r="AQ44" s="33"/>
      <c r="AR44" s="13"/>
      <c r="AS44" s="13"/>
      <c r="AT44" s="13"/>
      <c r="AU44" s="13"/>
      <c r="AV44" s="13"/>
      <c r="AW44" s="13"/>
      <c r="AX44" s="13"/>
      <c r="AY44" s="13"/>
      <c r="AZ44" s="13"/>
      <c r="BA44" s="33"/>
      <c r="BB44" s="33"/>
      <c r="BC44" s="33"/>
      <c r="BD44" s="33"/>
      <c r="BE44" s="33"/>
      <c r="BF44" s="13"/>
      <c r="BK44" s="33"/>
      <c r="BL44" s="33"/>
      <c r="BM44" s="33"/>
      <c r="BN44" s="15">
        <v>7219</v>
      </c>
      <c r="BO44">
        <v>424</v>
      </c>
      <c r="BP44">
        <v>174</v>
      </c>
      <c r="BQ44">
        <v>81</v>
      </c>
      <c r="BR44">
        <v>610</v>
      </c>
    </row>
    <row r="45" spans="1:70">
      <c r="A45" s="33"/>
      <c r="B45" s="13">
        <v>122</v>
      </c>
      <c r="C45" s="33"/>
      <c r="D45" s="33"/>
      <c r="E45" s="33"/>
      <c r="F45" s="33"/>
      <c r="G45" s="33"/>
      <c r="H45" s="33"/>
      <c r="I45" s="13"/>
      <c r="J45" s="13"/>
      <c r="K45" s="33">
        <v>508</v>
      </c>
      <c r="L45" s="33">
        <v>112009</v>
      </c>
      <c r="M45" s="13"/>
      <c r="N45" s="13"/>
      <c r="O45" s="13"/>
      <c r="P45" s="13"/>
      <c r="Q45" s="13"/>
      <c r="R45" s="33" t="s">
        <v>591</v>
      </c>
      <c r="S45" s="33">
        <v>198</v>
      </c>
      <c r="T45" s="33"/>
      <c r="U45" s="33">
        <v>610</v>
      </c>
      <c r="V45" s="33"/>
      <c r="W45" s="33">
        <v>1</v>
      </c>
      <c r="X45" s="33">
        <v>2</v>
      </c>
      <c r="Y45" s="13">
        <v>0</v>
      </c>
      <c r="Z45" s="13"/>
      <c r="AA45" s="33"/>
      <c r="AB45" s="33"/>
      <c r="AC45" s="33"/>
      <c r="AD45" s="33"/>
      <c r="AE45" s="33"/>
      <c r="AF45" s="33"/>
      <c r="AG45" s="33"/>
      <c r="AH45" s="33"/>
      <c r="AI45" s="33"/>
      <c r="AJ45" s="33"/>
      <c r="AK45" s="33"/>
      <c r="AL45" s="33"/>
      <c r="AM45" s="13"/>
      <c r="AN45" s="13"/>
      <c r="AO45" s="33"/>
      <c r="AP45" s="33"/>
      <c r="AQ45" s="33"/>
      <c r="AR45" s="13"/>
      <c r="AS45" s="13"/>
      <c r="AT45" s="13"/>
      <c r="AU45" s="13"/>
      <c r="AV45" s="13"/>
      <c r="AW45" s="13"/>
      <c r="AX45" s="13"/>
      <c r="AY45" s="13"/>
      <c r="AZ45" s="13"/>
      <c r="BA45" s="33"/>
      <c r="BB45" s="33"/>
      <c r="BC45" s="33"/>
      <c r="BD45" s="33"/>
      <c r="BE45" s="33"/>
      <c r="BF45" s="13"/>
      <c r="BK45" s="33"/>
      <c r="BL45" s="33"/>
      <c r="BM45" s="33"/>
      <c r="BN45" s="15">
        <v>7220</v>
      </c>
      <c r="BO45">
        <v>424</v>
      </c>
      <c r="BP45">
        <v>81</v>
      </c>
      <c r="BQ45">
        <v>174</v>
      </c>
      <c r="BR45">
        <v>610</v>
      </c>
    </row>
    <row r="46" spans="1:70">
      <c r="A46" s="33"/>
      <c r="B46" s="13">
        <v>123</v>
      </c>
      <c r="C46" s="33"/>
      <c r="D46" s="33"/>
      <c r="E46" s="33"/>
      <c r="F46" s="33"/>
      <c r="G46" s="33"/>
      <c r="H46" s="33"/>
      <c r="I46" s="13"/>
      <c r="J46" s="13"/>
      <c r="K46" s="33">
        <v>509</v>
      </c>
      <c r="L46" s="33">
        <v>112008</v>
      </c>
      <c r="M46" s="13"/>
      <c r="N46" s="13"/>
      <c r="O46" s="13"/>
      <c r="P46" s="13"/>
      <c r="Q46" s="13"/>
      <c r="R46" s="33" t="s">
        <v>592</v>
      </c>
      <c r="S46" s="33">
        <v>199</v>
      </c>
      <c r="T46" s="33"/>
      <c r="U46" s="33">
        <v>614</v>
      </c>
      <c r="V46" s="33"/>
      <c r="W46" s="33">
        <v>1</v>
      </c>
      <c r="X46" s="33">
        <v>2</v>
      </c>
      <c r="Y46" s="13">
        <v>1</v>
      </c>
      <c r="Z46" s="13"/>
      <c r="AA46" s="33"/>
      <c r="AB46" s="33"/>
      <c r="AC46" s="33"/>
      <c r="AD46" s="33"/>
      <c r="AE46" s="33"/>
      <c r="AF46" s="33"/>
      <c r="AG46" s="33"/>
      <c r="AH46" s="33"/>
      <c r="AI46" s="33"/>
      <c r="AJ46" s="33"/>
      <c r="AK46" s="33"/>
      <c r="AL46" s="33"/>
      <c r="AM46" s="13"/>
      <c r="AN46" s="13"/>
      <c r="AO46" s="33"/>
      <c r="AP46" s="33"/>
      <c r="AQ46" s="33"/>
      <c r="AR46" s="13"/>
      <c r="AS46" s="13"/>
      <c r="AT46" s="13"/>
      <c r="AU46" s="13"/>
      <c r="AV46" s="13"/>
      <c r="AW46" s="13"/>
      <c r="AX46" s="13"/>
      <c r="AY46" s="13"/>
      <c r="AZ46" s="13"/>
      <c r="BA46" s="33"/>
      <c r="BB46" s="33"/>
      <c r="BC46" s="33"/>
      <c r="BD46" s="33"/>
      <c r="BE46" s="33"/>
      <c r="BF46" s="13"/>
      <c r="BK46" s="33"/>
      <c r="BL46" s="33"/>
      <c r="BM46" s="33"/>
      <c r="BN46" s="15">
        <v>7221</v>
      </c>
      <c r="BO46">
        <v>174</v>
      </c>
      <c r="BP46">
        <v>424</v>
      </c>
      <c r="BQ46">
        <v>81</v>
      </c>
      <c r="BR46">
        <v>610</v>
      </c>
    </row>
    <row r="47" spans="1:70">
      <c r="A47" s="33"/>
      <c r="B47" s="13">
        <v>124</v>
      </c>
      <c r="C47" s="33"/>
      <c r="D47" s="33"/>
      <c r="E47" s="33"/>
      <c r="F47" s="33"/>
      <c r="G47" s="33"/>
      <c r="H47" s="33"/>
      <c r="I47" s="13"/>
      <c r="J47" s="13"/>
      <c r="K47" s="33">
        <v>801</v>
      </c>
      <c r="L47" s="33">
        <v>112002</v>
      </c>
      <c r="M47" s="13"/>
      <c r="N47" s="13"/>
      <c r="O47" s="13"/>
      <c r="P47" s="13"/>
      <c r="Q47" s="13"/>
      <c r="R47" s="33"/>
      <c r="S47" s="33"/>
      <c r="T47" s="33"/>
      <c r="U47" s="33"/>
      <c r="V47" s="33"/>
      <c r="W47" s="33"/>
      <c r="X47" s="33"/>
      <c r="Y47" s="13"/>
      <c r="Z47" s="13"/>
      <c r="AA47" s="33"/>
      <c r="AB47" s="33"/>
      <c r="AC47" s="33"/>
      <c r="AD47" s="33"/>
      <c r="AE47" s="33"/>
      <c r="AF47" s="33"/>
      <c r="AG47" s="33"/>
      <c r="AH47" s="33"/>
      <c r="AI47" s="33"/>
      <c r="AJ47" s="33"/>
      <c r="AK47" s="33"/>
      <c r="AL47" s="33"/>
      <c r="AM47" s="13"/>
      <c r="AN47" s="13"/>
      <c r="AO47" s="33"/>
      <c r="AP47" s="33"/>
      <c r="AQ47" s="33"/>
      <c r="AR47" s="13"/>
      <c r="AS47" s="13"/>
      <c r="AT47" s="13"/>
      <c r="AU47" s="13"/>
      <c r="AV47" s="13"/>
      <c r="AW47" s="13"/>
      <c r="AX47" s="13"/>
      <c r="AY47" s="13"/>
      <c r="AZ47" s="13"/>
      <c r="BA47" s="33"/>
      <c r="BB47" s="33"/>
      <c r="BC47" s="33"/>
      <c r="BD47" s="33"/>
      <c r="BE47" s="33"/>
      <c r="BF47" s="13"/>
      <c r="BK47" s="33"/>
      <c r="BL47" s="33"/>
      <c r="BM47" s="33"/>
      <c r="BN47" s="15">
        <v>7222</v>
      </c>
      <c r="BO47">
        <v>81</v>
      </c>
      <c r="BP47">
        <v>424</v>
      </c>
      <c r="BQ47">
        <v>174</v>
      </c>
      <c r="BR47">
        <v>610</v>
      </c>
    </row>
    <row r="48" spans="1:70">
      <c r="A48" s="33"/>
      <c r="B48" s="13">
        <v>125</v>
      </c>
      <c r="C48" s="33"/>
      <c r="D48" s="33"/>
      <c r="E48" s="33"/>
      <c r="F48" s="33"/>
      <c r="G48" s="33"/>
      <c r="H48" s="33"/>
      <c r="I48" s="13"/>
      <c r="J48" s="13"/>
      <c r="K48" s="33">
        <v>802</v>
      </c>
      <c r="L48" s="33">
        <v>112003</v>
      </c>
      <c r="M48" s="13"/>
      <c r="N48" s="13"/>
      <c r="O48" s="13"/>
      <c r="P48" s="13"/>
      <c r="Q48" s="13"/>
      <c r="R48" s="33"/>
      <c r="S48" s="33"/>
      <c r="T48" s="33"/>
      <c r="U48" s="33"/>
      <c r="V48" s="33"/>
      <c r="W48" s="33"/>
      <c r="X48" s="33"/>
      <c r="Y48" s="13"/>
      <c r="Z48" s="13"/>
      <c r="AA48" s="33"/>
      <c r="AB48" s="33"/>
      <c r="AC48" s="33"/>
      <c r="AD48" s="33"/>
      <c r="AE48" s="33"/>
      <c r="AF48" s="33"/>
      <c r="AG48" s="33"/>
      <c r="AH48" s="33"/>
      <c r="AI48" s="33"/>
      <c r="AJ48" s="33"/>
      <c r="AK48" s="33"/>
      <c r="AL48" s="33"/>
      <c r="AM48" s="13"/>
      <c r="AN48" s="13"/>
      <c r="AO48" s="33"/>
      <c r="AP48" s="33"/>
      <c r="AQ48" s="33"/>
      <c r="AR48" s="13"/>
      <c r="AS48" s="13"/>
      <c r="AT48" s="13"/>
      <c r="AU48" s="13"/>
      <c r="AV48" s="13"/>
      <c r="AW48" s="13"/>
      <c r="AX48" s="13"/>
      <c r="AY48" s="13"/>
      <c r="AZ48" s="13"/>
      <c r="BA48" s="33"/>
      <c r="BB48" s="33"/>
      <c r="BC48" s="33"/>
      <c r="BD48" s="33"/>
      <c r="BE48" s="33"/>
      <c r="BF48" s="13"/>
      <c r="BK48" s="33"/>
      <c r="BL48" s="33"/>
      <c r="BM48" s="33"/>
      <c r="BN48" s="15">
        <v>7223</v>
      </c>
      <c r="BO48">
        <v>174</v>
      </c>
      <c r="BP48">
        <v>81</v>
      </c>
      <c r="BQ48">
        <v>424</v>
      </c>
      <c r="BR48">
        <v>610</v>
      </c>
    </row>
    <row r="49" spans="1:70">
      <c r="A49" s="33"/>
      <c r="B49" s="13">
        <v>126</v>
      </c>
      <c r="C49" s="33"/>
      <c r="D49" s="33"/>
      <c r="E49" s="33"/>
      <c r="F49" s="33"/>
      <c r="G49" s="33"/>
      <c r="H49" s="33"/>
      <c r="I49" s="13"/>
      <c r="J49" s="13"/>
      <c r="K49" s="33">
        <v>803</v>
      </c>
      <c r="L49" s="33">
        <v>112004</v>
      </c>
      <c r="M49" s="13"/>
      <c r="N49" s="13"/>
      <c r="O49" s="13"/>
      <c r="P49" s="13"/>
      <c r="Q49" s="13"/>
      <c r="R49" s="33"/>
      <c r="S49" s="33"/>
      <c r="T49" s="33"/>
      <c r="U49" s="33"/>
      <c r="V49" s="33"/>
      <c r="W49" s="33"/>
      <c r="X49" s="33"/>
      <c r="Y49" s="13"/>
      <c r="Z49" s="13"/>
      <c r="AA49" s="33"/>
      <c r="AB49" s="33"/>
      <c r="AC49" s="33"/>
      <c r="AD49" s="33"/>
      <c r="AE49" s="33"/>
      <c r="AF49" s="33"/>
      <c r="AG49" s="33"/>
      <c r="AH49" s="33"/>
      <c r="AI49" s="33"/>
      <c r="AJ49" s="33"/>
      <c r="AK49" s="33"/>
      <c r="AL49" s="33"/>
      <c r="AM49" s="13"/>
      <c r="AN49" s="13"/>
      <c r="AO49" s="33"/>
      <c r="AP49" s="33"/>
      <c r="AQ49" s="33"/>
      <c r="AR49" s="13"/>
      <c r="AS49" s="13"/>
      <c r="AT49" s="13"/>
      <c r="AU49" s="13"/>
      <c r="AV49" s="13"/>
      <c r="AW49" s="13"/>
      <c r="AX49" s="13"/>
      <c r="AY49" s="13"/>
      <c r="AZ49" s="13"/>
      <c r="BA49" s="33"/>
      <c r="BB49" s="33"/>
      <c r="BC49" s="33"/>
      <c r="BD49" s="33"/>
      <c r="BE49" s="33"/>
      <c r="BF49" s="13"/>
      <c r="BK49" s="33"/>
      <c r="BL49" s="33"/>
      <c r="BM49" s="33"/>
      <c r="BN49" s="15">
        <v>7224</v>
      </c>
      <c r="BO49">
        <v>81</v>
      </c>
      <c r="BP49">
        <v>174</v>
      </c>
      <c r="BQ49">
        <v>424</v>
      </c>
      <c r="BR49">
        <v>610</v>
      </c>
    </row>
    <row r="50" spans="1:70">
      <c r="A50" s="33"/>
      <c r="B50" s="13">
        <v>127</v>
      </c>
      <c r="C50" s="33"/>
      <c r="D50" s="33"/>
      <c r="E50" s="33"/>
      <c r="F50" s="33"/>
      <c r="G50" s="33"/>
      <c r="H50" s="33"/>
      <c r="I50" s="13"/>
      <c r="J50" s="13"/>
      <c r="K50" s="33">
        <v>804</v>
      </c>
      <c r="L50" s="33">
        <v>112005</v>
      </c>
      <c r="M50" s="13"/>
      <c r="N50" s="13"/>
      <c r="O50" s="13"/>
      <c r="P50" s="13"/>
      <c r="Q50" s="13"/>
      <c r="R50" s="33"/>
      <c r="S50" s="33"/>
      <c r="T50" s="33"/>
      <c r="U50" s="33"/>
      <c r="V50" s="33"/>
      <c r="W50" s="33"/>
      <c r="X50" s="33"/>
      <c r="Y50" s="13"/>
      <c r="Z50" s="13"/>
      <c r="AA50" s="33"/>
      <c r="AB50" s="33"/>
      <c r="AC50" s="33"/>
      <c r="AD50" s="33"/>
      <c r="AE50" s="33"/>
      <c r="AF50" s="33"/>
      <c r="AG50" s="33"/>
      <c r="AH50" s="33"/>
      <c r="AI50" s="33"/>
      <c r="AJ50" s="33"/>
      <c r="AK50" s="33"/>
      <c r="AL50" s="33"/>
      <c r="AM50" s="13"/>
      <c r="AN50" s="13"/>
      <c r="AO50" s="33"/>
      <c r="AP50" s="33"/>
      <c r="AQ50" s="33"/>
      <c r="AR50" s="13"/>
      <c r="AS50" s="13"/>
      <c r="AT50" s="13"/>
      <c r="AU50" s="13"/>
      <c r="AV50" s="13"/>
      <c r="AW50" s="13"/>
      <c r="AX50" s="13"/>
      <c r="AY50" s="13"/>
      <c r="AZ50" s="13"/>
      <c r="BA50" s="33"/>
      <c r="BB50" s="33"/>
      <c r="BC50" s="33"/>
      <c r="BD50" s="33"/>
      <c r="BE50" s="33"/>
      <c r="BF50" s="13"/>
      <c r="BK50" s="33"/>
      <c r="BL50" s="33"/>
      <c r="BM50" s="33"/>
      <c r="BN50" s="15">
        <v>7301</v>
      </c>
      <c r="BO50">
        <v>610</v>
      </c>
      <c r="BP50">
        <v>424</v>
      </c>
      <c r="BQ50">
        <v>174</v>
      </c>
      <c r="BR50">
        <v>81</v>
      </c>
    </row>
    <row r="51" spans="1:70">
      <c r="A51" s="33"/>
      <c r="B51" s="13">
        <v>128</v>
      </c>
      <c r="C51" s="33"/>
      <c r="D51" s="33"/>
      <c r="E51" s="33"/>
      <c r="F51" s="33"/>
      <c r="G51" s="33"/>
      <c r="H51" s="33"/>
      <c r="I51" s="13"/>
      <c r="J51" s="13"/>
      <c r="K51" s="33">
        <v>805</v>
      </c>
      <c r="L51" s="33">
        <v>112006</v>
      </c>
      <c r="M51" s="13"/>
      <c r="N51" s="13"/>
      <c r="O51" s="13"/>
      <c r="P51" s="13"/>
      <c r="Q51" s="13"/>
      <c r="R51" s="33"/>
      <c r="S51" s="33"/>
      <c r="T51" s="33"/>
      <c r="U51" s="33"/>
      <c r="V51" s="33"/>
      <c r="W51" s="33"/>
      <c r="X51" s="33"/>
      <c r="Y51" s="13"/>
      <c r="Z51" s="13"/>
      <c r="AA51" s="33"/>
      <c r="AB51" s="33"/>
      <c r="AC51" s="33"/>
      <c r="AD51" s="33"/>
      <c r="AE51" s="33"/>
      <c r="AF51" s="33"/>
      <c r="AG51" s="33"/>
      <c r="AH51" s="33"/>
      <c r="AI51" s="33"/>
      <c r="AJ51" s="33"/>
      <c r="AK51" s="33"/>
      <c r="AL51" s="33"/>
      <c r="AM51" s="13"/>
      <c r="AN51" s="13"/>
      <c r="AO51" s="33"/>
      <c r="AP51" s="33"/>
      <c r="AQ51" s="33"/>
      <c r="AR51" s="13"/>
      <c r="AS51" s="13"/>
      <c r="AT51" s="13"/>
      <c r="AU51" s="13"/>
      <c r="AV51" s="13"/>
      <c r="AW51" s="13"/>
      <c r="AX51" s="13"/>
      <c r="AY51" s="13"/>
      <c r="AZ51" s="13"/>
      <c r="BA51" s="33"/>
      <c r="BB51" s="33"/>
      <c r="BC51" s="33"/>
      <c r="BD51" s="33"/>
      <c r="BE51" s="33"/>
      <c r="BF51" s="13"/>
      <c r="BK51" s="33"/>
      <c r="BL51" s="33"/>
      <c r="BM51" s="33"/>
      <c r="BN51" s="15">
        <v>7302</v>
      </c>
      <c r="BO51">
        <v>610</v>
      </c>
      <c r="BP51">
        <v>424</v>
      </c>
      <c r="BQ51">
        <v>81</v>
      </c>
      <c r="BR51">
        <v>174</v>
      </c>
    </row>
    <row r="52" spans="1:70">
      <c r="A52" s="33"/>
      <c r="B52" s="13">
        <v>129</v>
      </c>
      <c r="C52" s="33"/>
      <c r="D52" s="33"/>
      <c r="E52" s="33"/>
      <c r="F52" s="33"/>
      <c r="G52" s="33"/>
      <c r="H52" s="33"/>
      <c r="I52" s="13"/>
      <c r="J52" s="13"/>
      <c r="K52" s="33">
        <v>806</v>
      </c>
      <c r="L52" s="33">
        <v>112007</v>
      </c>
      <c r="M52" s="13"/>
      <c r="N52" s="13"/>
      <c r="O52" s="13"/>
      <c r="P52" s="13"/>
      <c r="Q52" s="13"/>
      <c r="R52" s="33"/>
      <c r="S52" s="33"/>
      <c r="T52" s="33"/>
      <c r="U52" s="33"/>
      <c r="V52" s="33"/>
      <c r="W52" s="33"/>
      <c r="X52" s="33"/>
      <c r="Y52" s="13"/>
      <c r="Z52" s="13"/>
      <c r="AA52" s="33"/>
      <c r="AB52" s="33"/>
      <c r="AC52" s="33"/>
      <c r="AD52" s="33"/>
      <c r="AE52" s="33"/>
      <c r="AF52" s="33"/>
      <c r="AG52" s="33"/>
      <c r="AH52" s="33"/>
      <c r="AI52" s="33"/>
      <c r="AJ52" s="33"/>
      <c r="AK52" s="33"/>
      <c r="AL52" s="33"/>
      <c r="AM52" s="13"/>
      <c r="AN52" s="13"/>
      <c r="AO52" s="33"/>
      <c r="AP52" s="33"/>
      <c r="AQ52" s="33"/>
      <c r="AR52" s="13"/>
      <c r="AS52" s="13"/>
      <c r="AT52" s="13"/>
      <c r="AU52" s="13"/>
      <c r="AV52" s="13"/>
      <c r="AW52" s="13"/>
      <c r="AX52" s="13"/>
      <c r="AY52" s="13"/>
      <c r="AZ52" s="13"/>
      <c r="BA52" s="33"/>
      <c r="BB52" s="33"/>
      <c r="BC52" s="33"/>
      <c r="BD52" s="33"/>
      <c r="BE52" s="33"/>
      <c r="BF52" s="13"/>
      <c r="BK52" s="33"/>
      <c r="BL52" s="33"/>
      <c r="BM52" s="33"/>
      <c r="BN52" s="15">
        <v>7303</v>
      </c>
      <c r="BO52">
        <v>610</v>
      </c>
      <c r="BP52">
        <v>174</v>
      </c>
      <c r="BQ52">
        <v>424</v>
      </c>
      <c r="BR52">
        <v>81</v>
      </c>
    </row>
    <row r="53" spans="1:70">
      <c r="A53" s="33"/>
      <c r="B53" s="13">
        <v>130</v>
      </c>
      <c r="C53" s="33"/>
      <c r="D53" s="33"/>
      <c r="E53" s="33"/>
      <c r="F53" s="33"/>
      <c r="G53" s="33"/>
      <c r="H53" s="33"/>
      <c r="I53" s="13"/>
      <c r="J53" s="13"/>
      <c r="K53" s="33">
        <v>807</v>
      </c>
      <c r="L53" s="33">
        <v>112008</v>
      </c>
      <c r="M53" s="13"/>
      <c r="N53" s="13"/>
      <c r="O53" s="13"/>
      <c r="P53" s="13"/>
      <c r="Q53" s="13"/>
      <c r="R53" s="33"/>
      <c r="S53" s="33"/>
      <c r="T53" s="33"/>
      <c r="U53" s="33"/>
      <c r="V53" s="33"/>
      <c r="W53" s="33"/>
      <c r="X53" s="33"/>
      <c r="Y53" s="13"/>
      <c r="Z53" s="13"/>
      <c r="AA53" s="33"/>
      <c r="AB53" s="33"/>
      <c r="AC53" s="33"/>
      <c r="AD53" s="33"/>
      <c r="AE53" s="33"/>
      <c r="AF53" s="33"/>
      <c r="AG53" s="33"/>
      <c r="AH53" s="33"/>
      <c r="AI53" s="33"/>
      <c r="AJ53" s="33"/>
      <c r="AK53" s="33"/>
      <c r="AL53" s="33"/>
      <c r="AM53" s="13"/>
      <c r="AN53" s="13"/>
      <c r="AO53" s="33"/>
      <c r="AP53" s="33"/>
      <c r="AQ53" s="33"/>
      <c r="AR53" s="13"/>
      <c r="AS53" s="13"/>
      <c r="AT53" s="13"/>
      <c r="AU53" s="13"/>
      <c r="AV53" s="13"/>
      <c r="AW53" s="13"/>
      <c r="AX53" s="13"/>
      <c r="AY53" s="13"/>
      <c r="AZ53" s="13"/>
      <c r="BA53" s="33"/>
      <c r="BB53" s="33"/>
      <c r="BC53" s="33"/>
      <c r="BD53" s="33"/>
      <c r="BE53" s="33"/>
      <c r="BF53" s="13"/>
      <c r="BK53" s="33"/>
      <c r="BL53" s="33"/>
      <c r="BM53" s="33"/>
      <c r="BN53" s="15">
        <v>7304</v>
      </c>
      <c r="BO53">
        <v>610</v>
      </c>
      <c r="BP53">
        <v>81</v>
      </c>
      <c r="BQ53">
        <v>424</v>
      </c>
      <c r="BR53">
        <v>174</v>
      </c>
    </row>
    <row r="54" spans="1:70">
      <c r="A54" s="33"/>
      <c r="B54" s="13">
        <v>131</v>
      </c>
      <c r="C54" s="33"/>
      <c r="D54" s="33"/>
      <c r="E54" s="33"/>
      <c r="F54" s="33"/>
      <c r="G54" s="33"/>
      <c r="H54" s="33"/>
      <c r="I54" s="13"/>
      <c r="J54" s="13"/>
      <c r="K54" s="33">
        <v>808</v>
      </c>
      <c r="L54" s="33">
        <v>112009</v>
      </c>
      <c r="M54" s="13"/>
      <c r="N54" s="13"/>
      <c r="O54" s="13"/>
      <c r="P54" s="13"/>
      <c r="Q54" s="13"/>
      <c r="R54" s="33"/>
      <c r="S54" s="33"/>
      <c r="T54" s="33"/>
      <c r="U54" s="33"/>
      <c r="V54" s="33"/>
      <c r="W54" s="33"/>
      <c r="X54" s="33"/>
      <c r="Y54" s="13"/>
      <c r="Z54" s="13"/>
      <c r="AA54" s="33"/>
      <c r="AB54" s="33"/>
      <c r="AC54" s="33"/>
      <c r="AD54" s="33"/>
      <c r="AE54" s="33"/>
      <c r="AF54" s="33"/>
      <c r="AG54" s="33"/>
      <c r="AH54" s="33"/>
      <c r="AI54" s="33"/>
      <c r="AJ54" s="33"/>
      <c r="AK54" s="33"/>
      <c r="AL54" s="33"/>
      <c r="AM54" s="13"/>
      <c r="AN54" s="13"/>
      <c r="AO54" s="33"/>
      <c r="AP54" s="33"/>
      <c r="AQ54" s="33"/>
      <c r="AR54" s="13"/>
      <c r="AS54" s="13"/>
      <c r="AT54" s="13"/>
      <c r="AU54" s="13"/>
      <c r="AV54" s="13"/>
      <c r="AW54" s="13"/>
      <c r="AX54" s="13"/>
      <c r="AY54" s="13"/>
      <c r="AZ54" s="13"/>
      <c r="BA54" s="33"/>
      <c r="BB54" s="33"/>
      <c r="BC54" s="33"/>
      <c r="BD54" s="33"/>
      <c r="BE54" s="33"/>
      <c r="BF54" s="13"/>
      <c r="BK54" s="33"/>
      <c r="BL54" s="33"/>
      <c r="BM54" s="33"/>
      <c r="BN54" s="15">
        <v>7305</v>
      </c>
      <c r="BO54">
        <v>610</v>
      </c>
      <c r="BP54">
        <v>174</v>
      </c>
      <c r="BQ54">
        <v>81</v>
      </c>
      <c r="BR54">
        <v>424</v>
      </c>
    </row>
    <row r="55" spans="1:70">
      <c r="A55" s="33"/>
      <c r="B55" s="13">
        <v>132</v>
      </c>
      <c r="C55" s="33"/>
      <c r="D55" s="33"/>
      <c r="E55" s="33"/>
      <c r="F55" s="33"/>
      <c r="G55" s="33"/>
      <c r="H55" s="33"/>
      <c r="I55" s="13"/>
      <c r="J55" s="13"/>
      <c r="K55" s="33">
        <v>809</v>
      </c>
      <c r="L55" s="33">
        <v>112008</v>
      </c>
      <c r="M55" s="13"/>
      <c r="N55" s="13"/>
      <c r="O55" s="13"/>
      <c r="P55" s="13"/>
      <c r="Q55" s="13"/>
      <c r="R55" s="33"/>
      <c r="S55" s="33"/>
      <c r="T55" s="33"/>
      <c r="U55" s="33"/>
      <c r="V55" s="33"/>
      <c r="W55" s="33"/>
      <c r="X55" s="33"/>
      <c r="Y55" s="13"/>
      <c r="Z55" s="13"/>
      <c r="AA55" s="33"/>
      <c r="AB55" s="33"/>
      <c r="AC55" s="33"/>
      <c r="AD55" s="33"/>
      <c r="AE55" s="33"/>
      <c r="AF55" s="33"/>
      <c r="AG55" s="33"/>
      <c r="AH55" s="33"/>
      <c r="AI55" s="33"/>
      <c r="AJ55" s="33"/>
      <c r="AK55" s="33"/>
      <c r="AL55" s="33"/>
      <c r="AM55" s="13"/>
      <c r="AN55" s="13"/>
      <c r="AO55" s="33"/>
      <c r="AP55" s="33"/>
      <c r="AQ55" s="33"/>
      <c r="AR55" s="13"/>
      <c r="AS55" s="13"/>
      <c r="AT55" s="13"/>
      <c r="AU55" s="13"/>
      <c r="AV55" s="13"/>
      <c r="AW55" s="13"/>
      <c r="AX55" s="13"/>
      <c r="AY55" s="13"/>
      <c r="AZ55" s="13"/>
      <c r="BA55" s="33"/>
      <c r="BB55" s="33"/>
      <c r="BC55" s="33"/>
      <c r="BD55" s="33"/>
      <c r="BE55" s="33"/>
      <c r="BF55" s="13"/>
      <c r="BK55" s="33"/>
      <c r="BL55" s="33"/>
      <c r="BM55" s="33"/>
      <c r="BN55" s="15">
        <v>7306</v>
      </c>
      <c r="BO55">
        <v>610</v>
      </c>
      <c r="BP55">
        <v>81</v>
      </c>
      <c r="BQ55">
        <v>174</v>
      </c>
      <c r="BR55">
        <v>424</v>
      </c>
    </row>
    <row r="56" spans="1:70">
      <c r="B56" s="13">
        <v>133</v>
      </c>
      <c r="BN56" s="15">
        <v>7307</v>
      </c>
      <c r="BO56">
        <v>424</v>
      </c>
      <c r="BP56">
        <v>610</v>
      </c>
      <c r="BQ56">
        <v>174</v>
      </c>
      <c r="BR56">
        <v>81</v>
      </c>
    </row>
    <row r="57" spans="1:70">
      <c r="B57" s="13">
        <v>134</v>
      </c>
      <c r="BN57" s="15">
        <v>7308</v>
      </c>
      <c r="BO57">
        <v>424</v>
      </c>
      <c r="BP57">
        <v>610</v>
      </c>
      <c r="BQ57">
        <v>81</v>
      </c>
      <c r="BR57">
        <v>174</v>
      </c>
    </row>
    <row r="58" spans="1:70">
      <c r="B58" s="13">
        <v>135</v>
      </c>
      <c r="BN58" s="15">
        <v>7309</v>
      </c>
      <c r="BO58">
        <v>174</v>
      </c>
      <c r="BP58">
        <v>610</v>
      </c>
      <c r="BQ58">
        <v>424</v>
      </c>
      <c r="BR58">
        <v>81</v>
      </c>
    </row>
    <row r="59" spans="1:70">
      <c r="B59" s="13">
        <v>136</v>
      </c>
      <c r="BN59" s="15">
        <v>7310</v>
      </c>
      <c r="BO59">
        <v>81</v>
      </c>
      <c r="BP59">
        <v>610</v>
      </c>
      <c r="BQ59">
        <v>424</v>
      </c>
      <c r="BR59">
        <v>174</v>
      </c>
    </row>
    <row r="60" spans="1:70">
      <c r="B60" s="13">
        <v>137</v>
      </c>
      <c r="BN60" s="15">
        <v>7311</v>
      </c>
      <c r="BO60">
        <v>174</v>
      </c>
      <c r="BP60">
        <v>610</v>
      </c>
      <c r="BQ60">
        <v>81</v>
      </c>
      <c r="BR60">
        <v>424</v>
      </c>
    </row>
    <row r="61" spans="1:70">
      <c r="B61" s="13">
        <v>138</v>
      </c>
      <c r="BN61" s="15">
        <v>7312</v>
      </c>
      <c r="BO61">
        <v>81</v>
      </c>
      <c r="BP61">
        <v>610</v>
      </c>
      <c r="BQ61">
        <v>174</v>
      </c>
      <c r="BR61">
        <v>424</v>
      </c>
    </row>
    <row r="62" spans="1:70">
      <c r="B62" s="13">
        <v>139</v>
      </c>
      <c r="BN62" s="15">
        <v>7313</v>
      </c>
      <c r="BO62">
        <v>424</v>
      </c>
      <c r="BP62">
        <v>174</v>
      </c>
      <c r="BQ62">
        <v>610</v>
      </c>
      <c r="BR62">
        <v>81</v>
      </c>
    </row>
    <row r="63" spans="1:70">
      <c r="B63" s="13">
        <v>201</v>
      </c>
      <c r="BN63" s="15">
        <v>7314</v>
      </c>
      <c r="BO63">
        <v>424</v>
      </c>
      <c r="BP63">
        <v>81</v>
      </c>
      <c r="BQ63">
        <v>610</v>
      </c>
      <c r="BR63">
        <v>174</v>
      </c>
    </row>
    <row r="64" spans="1:70">
      <c r="B64" s="13">
        <v>202</v>
      </c>
      <c r="BN64" s="15">
        <v>7315</v>
      </c>
      <c r="BO64">
        <v>174</v>
      </c>
      <c r="BP64">
        <v>424</v>
      </c>
      <c r="BQ64">
        <v>610</v>
      </c>
      <c r="BR64">
        <v>81</v>
      </c>
    </row>
    <row r="65" spans="2:70">
      <c r="B65" s="13">
        <v>203</v>
      </c>
      <c r="BN65" s="15">
        <v>7316</v>
      </c>
      <c r="BO65">
        <v>81</v>
      </c>
      <c r="BP65">
        <v>424</v>
      </c>
      <c r="BQ65">
        <v>610</v>
      </c>
      <c r="BR65">
        <v>174</v>
      </c>
    </row>
    <row r="66" spans="2:70">
      <c r="B66" s="13">
        <v>204</v>
      </c>
      <c r="BN66" s="15">
        <v>7317</v>
      </c>
      <c r="BO66">
        <v>174</v>
      </c>
      <c r="BP66">
        <v>81</v>
      </c>
      <c r="BQ66">
        <v>610</v>
      </c>
      <c r="BR66">
        <v>424</v>
      </c>
    </row>
    <row r="67" spans="2:70">
      <c r="B67" s="13">
        <v>205</v>
      </c>
      <c r="BN67" s="15">
        <v>7318</v>
      </c>
      <c r="BO67">
        <v>81</v>
      </c>
      <c r="BP67">
        <v>174</v>
      </c>
      <c r="BQ67">
        <v>610</v>
      </c>
      <c r="BR67">
        <v>424</v>
      </c>
    </row>
    <row r="68" spans="2:70">
      <c r="B68" s="13">
        <v>206</v>
      </c>
      <c r="BN68" s="15">
        <v>7319</v>
      </c>
      <c r="BO68">
        <v>424</v>
      </c>
      <c r="BP68">
        <v>174</v>
      </c>
      <c r="BQ68">
        <v>81</v>
      </c>
      <c r="BR68">
        <v>610</v>
      </c>
    </row>
    <row r="69" spans="2:70">
      <c r="B69" s="13">
        <v>207</v>
      </c>
      <c r="BN69" s="15">
        <v>7320</v>
      </c>
      <c r="BO69">
        <v>424</v>
      </c>
      <c r="BP69">
        <v>81</v>
      </c>
      <c r="BQ69">
        <v>174</v>
      </c>
      <c r="BR69">
        <v>610</v>
      </c>
    </row>
    <row r="70" spans="2:70">
      <c r="B70" s="13">
        <v>208</v>
      </c>
      <c r="BN70" s="15">
        <v>7321</v>
      </c>
      <c r="BO70">
        <v>174</v>
      </c>
      <c r="BP70">
        <v>424</v>
      </c>
      <c r="BQ70">
        <v>81</v>
      </c>
      <c r="BR70">
        <v>610</v>
      </c>
    </row>
    <row r="71" spans="2:70">
      <c r="B71" s="13">
        <v>209</v>
      </c>
      <c r="BN71" s="15">
        <v>7322</v>
      </c>
      <c r="BO71">
        <v>81</v>
      </c>
      <c r="BP71">
        <v>424</v>
      </c>
      <c r="BQ71">
        <v>174</v>
      </c>
      <c r="BR71">
        <v>610</v>
      </c>
    </row>
    <row r="72" spans="2:70">
      <c r="B72" s="13">
        <v>210</v>
      </c>
      <c r="BN72" s="15">
        <v>7323</v>
      </c>
      <c r="BO72">
        <v>174</v>
      </c>
      <c r="BP72">
        <v>81</v>
      </c>
      <c r="BQ72">
        <v>424</v>
      </c>
      <c r="BR72">
        <v>610</v>
      </c>
    </row>
    <row r="73" spans="2:70">
      <c r="B73" s="13">
        <v>211</v>
      </c>
      <c r="BN73" s="15">
        <v>7324</v>
      </c>
      <c r="BO73">
        <v>81</v>
      </c>
      <c r="BP73">
        <v>174</v>
      </c>
      <c r="BQ73">
        <v>424</v>
      </c>
      <c r="BR73">
        <v>610</v>
      </c>
    </row>
    <row r="74" spans="2:70">
      <c r="B74" s="13">
        <v>212</v>
      </c>
      <c r="BN74" s="15">
        <v>7401</v>
      </c>
      <c r="BO74">
        <v>761</v>
      </c>
      <c r="BP74">
        <v>529</v>
      </c>
      <c r="BQ74">
        <v>217</v>
      </c>
      <c r="BR74">
        <v>101</v>
      </c>
    </row>
    <row r="75" spans="2:70">
      <c r="B75" s="13">
        <v>213</v>
      </c>
      <c r="BN75" s="15">
        <v>7402</v>
      </c>
      <c r="BO75">
        <v>761</v>
      </c>
      <c r="BP75">
        <v>529</v>
      </c>
      <c r="BQ75">
        <v>101</v>
      </c>
      <c r="BR75">
        <v>217</v>
      </c>
    </row>
    <row r="76" spans="2:70">
      <c r="B76" s="13">
        <v>214</v>
      </c>
      <c r="BN76" s="15">
        <v>7403</v>
      </c>
      <c r="BO76">
        <v>761</v>
      </c>
      <c r="BP76">
        <v>217</v>
      </c>
      <c r="BQ76">
        <v>529</v>
      </c>
      <c r="BR76">
        <v>101</v>
      </c>
    </row>
    <row r="77" spans="2:70">
      <c r="B77" s="13">
        <v>215</v>
      </c>
      <c r="BN77" s="15">
        <v>7404</v>
      </c>
      <c r="BO77">
        <v>761</v>
      </c>
      <c r="BP77">
        <v>101</v>
      </c>
      <c r="BQ77">
        <v>529</v>
      </c>
      <c r="BR77">
        <v>217</v>
      </c>
    </row>
    <row r="78" spans="2:70">
      <c r="B78" s="13">
        <v>216</v>
      </c>
      <c r="BN78" s="15">
        <v>7405</v>
      </c>
      <c r="BO78">
        <v>761</v>
      </c>
      <c r="BP78">
        <v>217</v>
      </c>
      <c r="BQ78">
        <v>101</v>
      </c>
      <c r="BR78">
        <v>529</v>
      </c>
    </row>
    <row r="79" spans="2:70">
      <c r="B79" s="13">
        <v>217</v>
      </c>
      <c r="BN79" s="15">
        <v>7406</v>
      </c>
      <c r="BO79">
        <v>761</v>
      </c>
      <c r="BP79">
        <v>101</v>
      </c>
      <c r="BQ79">
        <v>217</v>
      </c>
      <c r="BR79">
        <v>529</v>
      </c>
    </row>
    <row r="80" spans="2:70">
      <c r="B80" s="13">
        <v>218</v>
      </c>
      <c r="BN80" s="15">
        <v>7407</v>
      </c>
      <c r="BO80">
        <v>529</v>
      </c>
      <c r="BP80">
        <v>761</v>
      </c>
      <c r="BQ80">
        <v>217</v>
      </c>
      <c r="BR80">
        <v>101</v>
      </c>
    </row>
    <row r="81" spans="2:70">
      <c r="B81" s="13">
        <v>219</v>
      </c>
      <c r="BN81" s="15">
        <v>7408</v>
      </c>
      <c r="BO81">
        <v>529</v>
      </c>
      <c r="BP81">
        <v>761</v>
      </c>
      <c r="BQ81">
        <v>101</v>
      </c>
      <c r="BR81">
        <v>217</v>
      </c>
    </row>
    <row r="82" spans="2:70">
      <c r="B82" s="13">
        <v>220</v>
      </c>
      <c r="BN82" s="15">
        <v>7409</v>
      </c>
      <c r="BO82">
        <v>217</v>
      </c>
      <c r="BP82">
        <v>761</v>
      </c>
      <c r="BQ82">
        <v>529</v>
      </c>
      <c r="BR82">
        <v>101</v>
      </c>
    </row>
    <row r="83" spans="2:70">
      <c r="B83" s="13">
        <v>221</v>
      </c>
      <c r="BN83" s="15">
        <v>7410</v>
      </c>
      <c r="BO83">
        <v>101</v>
      </c>
      <c r="BP83">
        <v>761</v>
      </c>
      <c r="BQ83">
        <v>529</v>
      </c>
      <c r="BR83">
        <v>217</v>
      </c>
    </row>
    <row r="84" spans="2:70">
      <c r="B84" s="13">
        <v>222</v>
      </c>
      <c r="BN84" s="15">
        <v>7411</v>
      </c>
      <c r="BO84">
        <v>217</v>
      </c>
      <c r="BP84">
        <v>761</v>
      </c>
      <c r="BQ84">
        <v>101</v>
      </c>
      <c r="BR84">
        <v>529</v>
      </c>
    </row>
    <row r="85" spans="2:70">
      <c r="B85" s="13">
        <v>223</v>
      </c>
      <c r="BN85" s="15">
        <v>7412</v>
      </c>
      <c r="BO85">
        <v>101</v>
      </c>
      <c r="BP85">
        <v>761</v>
      </c>
      <c r="BQ85">
        <v>217</v>
      </c>
      <c r="BR85">
        <v>529</v>
      </c>
    </row>
    <row r="86" spans="2:70">
      <c r="B86" s="13">
        <v>224</v>
      </c>
      <c r="BN86" s="15">
        <v>7413</v>
      </c>
      <c r="BO86">
        <v>529</v>
      </c>
      <c r="BP86">
        <v>217</v>
      </c>
      <c r="BQ86">
        <v>761</v>
      </c>
      <c r="BR86">
        <v>101</v>
      </c>
    </row>
    <row r="87" spans="2:70">
      <c r="B87" s="13">
        <v>225</v>
      </c>
      <c r="BN87" s="15">
        <v>7414</v>
      </c>
      <c r="BO87">
        <v>529</v>
      </c>
      <c r="BP87">
        <v>101</v>
      </c>
      <c r="BQ87">
        <v>761</v>
      </c>
      <c r="BR87">
        <v>217</v>
      </c>
    </row>
    <row r="88" spans="2:70">
      <c r="B88" s="13">
        <v>226</v>
      </c>
      <c r="BN88" s="15">
        <v>7415</v>
      </c>
      <c r="BO88">
        <v>217</v>
      </c>
      <c r="BP88">
        <v>529</v>
      </c>
      <c r="BQ88">
        <v>761</v>
      </c>
      <c r="BR88">
        <v>101</v>
      </c>
    </row>
    <row r="89" spans="2:70">
      <c r="B89" s="13">
        <v>227</v>
      </c>
      <c r="BN89" s="15">
        <v>7416</v>
      </c>
      <c r="BO89">
        <v>101</v>
      </c>
      <c r="BP89">
        <v>529</v>
      </c>
      <c r="BQ89">
        <v>761</v>
      </c>
      <c r="BR89">
        <v>217</v>
      </c>
    </row>
    <row r="90" spans="2:70">
      <c r="B90" s="13">
        <v>228</v>
      </c>
      <c r="BN90" s="15">
        <v>7417</v>
      </c>
      <c r="BO90">
        <v>217</v>
      </c>
      <c r="BP90">
        <v>101</v>
      </c>
      <c r="BQ90">
        <v>761</v>
      </c>
      <c r="BR90">
        <v>529</v>
      </c>
    </row>
    <row r="91" spans="2:70">
      <c r="B91" s="13">
        <v>229</v>
      </c>
      <c r="BN91" s="15">
        <v>7418</v>
      </c>
      <c r="BO91">
        <v>101</v>
      </c>
      <c r="BP91">
        <v>217</v>
      </c>
      <c r="BQ91">
        <v>761</v>
      </c>
      <c r="BR91">
        <v>529</v>
      </c>
    </row>
    <row r="92" spans="2:70">
      <c r="B92" s="13">
        <v>230</v>
      </c>
      <c r="BN92" s="15">
        <v>7419</v>
      </c>
      <c r="BO92">
        <v>529</v>
      </c>
      <c r="BP92">
        <v>217</v>
      </c>
      <c r="BQ92">
        <v>101</v>
      </c>
      <c r="BR92">
        <v>761</v>
      </c>
    </row>
    <row r="93" spans="2:70">
      <c r="B93" s="13">
        <v>231</v>
      </c>
      <c r="BN93" s="15">
        <v>7420</v>
      </c>
      <c r="BO93">
        <v>529</v>
      </c>
      <c r="BP93">
        <v>101</v>
      </c>
      <c r="BQ93">
        <v>217</v>
      </c>
      <c r="BR93">
        <v>761</v>
      </c>
    </row>
    <row r="94" spans="2:70">
      <c r="B94" s="13">
        <v>232</v>
      </c>
      <c r="BN94" s="15">
        <v>7421</v>
      </c>
      <c r="BO94">
        <v>217</v>
      </c>
      <c r="BP94">
        <v>529</v>
      </c>
      <c r="BQ94">
        <v>101</v>
      </c>
      <c r="BR94">
        <v>761</v>
      </c>
    </row>
    <row r="95" spans="2:70">
      <c r="B95" s="13">
        <v>233</v>
      </c>
      <c r="BN95" s="15">
        <v>7422</v>
      </c>
      <c r="BO95">
        <v>101</v>
      </c>
      <c r="BP95">
        <v>529</v>
      </c>
      <c r="BQ95">
        <v>217</v>
      </c>
      <c r="BR95">
        <v>761</v>
      </c>
    </row>
    <row r="96" spans="2:70">
      <c r="B96" s="13">
        <v>234</v>
      </c>
      <c r="BN96" s="15">
        <v>7423</v>
      </c>
      <c r="BO96">
        <v>217</v>
      </c>
      <c r="BP96">
        <v>101</v>
      </c>
      <c r="BQ96">
        <v>529</v>
      </c>
      <c r="BR96">
        <v>761</v>
      </c>
    </row>
    <row r="97" spans="2:70">
      <c r="B97" s="13">
        <v>235</v>
      </c>
      <c r="BN97" s="15">
        <v>7424</v>
      </c>
      <c r="BO97">
        <v>101</v>
      </c>
      <c r="BP97">
        <v>217</v>
      </c>
      <c r="BQ97">
        <v>529</v>
      </c>
      <c r="BR97">
        <v>761</v>
      </c>
    </row>
    <row r="98" spans="2:70">
      <c r="B98" s="13">
        <v>236</v>
      </c>
      <c r="BN98" s="15"/>
      <c r="BO98" s="15"/>
    </row>
    <row r="99" spans="2:70">
      <c r="B99" s="13">
        <v>237</v>
      </c>
      <c r="BN99" s="15"/>
      <c r="BO99" s="15"/>
    </row>
    <row r="100" spans="2:70">
      <c r="B100" s="13">
        <v>238</v>
      </c>
      <c r="BN100" s="15"/>
      <c r="BO100" s="15"/>
    </row>
    <row r="101" spans="2:70">
      <c r="B101" s="13">
        <v>239</v>
      </c>
      <c r="BN101" s="15"/>
      <c r="BO101" s="15"/>
    </row>
    <row r="102" spans="2:70">
      <c r="B102" s="13">
        <v>240</v>
      </c>
      <c r="BN102" s="15"/>
      <c r="BO102" s="15"/>
    </row>
    <row r="103" spans="2:70">
      <c r="B103" s="13">
        <v>241</v>
      </c>
      <c r="BN103" s="15"/>
      <c r="BO103" s="15"/>
    </row>
    <row r="104" spans="2:70">
      <c r="BN104" s="15"/>
      <c r="BO104" s="15"/>
    </row>
    <row r="105" spans="2:70">
      <c r="BN105" s="15"/>
      <c r="BO105" s="15"/>
    </row>
    <row r="106" spans="2:70">
      <c r="BN106" s="15"/>
      <c r="BO106" s="15"/>
    </row>
    <row r="107" spans="2:70">
      <c r="BN107" s="15"/>
      <c r="BO107" s="15"/>
    </row>
    <row r="108" spans="2:70">
      <c r="BN108" s="15"/>
      <c r="BO108" s="15"/>
    </row>
    <row r="109" spans="2:70">
      <c r="BN109" s="15"/>
      <c r="BO109" s="15"/>
    </row>
    <row r="110" spans="2:70">
      <c r="BN110" s="15"/>
      <c r="BO110" s="15"/>
    </row>
    <row r="111" spans="2:70">
      <c r="BN111" s="15"/>
      <c r="BO111" s="15"/>
    </row>
    <row r="112" spans="2:70">
      <c r="BN112" s="15"/>
      <c r="BO112" s="15"/>
    </row>
    <row r="113" spans="66:67">
      <c r="BN113" s="15"/>
      <c r="BO113" s="15"/>
    </row>
    <row r="114" spans="66:67">
      <c r="BN114" s="15"/>
      <c r="BO114" s="15"/>
    </row>
    <row r="115" spans="66:67">
      <c r="BN115" s="15"/>
      <c r="BO115" s="15"/>
    </row>
    <row r="116" spans="66:67">
      <c r="BN116" s="15"/>
      <c r="BO116" s="15"/>
    </row>
    <row r="117" spans="66:67">
      <c r="BN117" s="15"/>
      <c r="BO117" s="15"/>
    </row>
    <row r="118" spans="66:67">
      <c r="BN118" s="15"/>
      <c r="BO118" s="15"/>
    </row>
    <row r="119" spans="66:67">
      <c r="BN119" s="15"/>
      <c r="BO119" s="15"/>
    </row>
    <row r="120" spans="66:67">
      <c r="BN120" s="15"/>
      <c r="BO120" s="15"/>
    </row>
    <row r="121" spans="66:67">
      <c r="BN121" s="15"/>
      <c r="BO121" s="15"/>
    </row>
    <row r="122" spans="66:67">
      <c r="BN122" s="15"/>
      <c r="BO122" s="15"/>
    </row>
    <row r="123" spans="66:67">
      <c r="BN123" s="15"/>
      <c r="BO123" s="15"/>
    </row>
    <row r="124" spans="66:67">
      <c r="BN124" s="15"/>
      <c r="BO124" s="15"/>
    </row>
    <row r="125" spans="66:67">
      <c r="BN125" s="15"/>
      <c r="BO125" s="15"/>
    </row>
    <row r="126" spans="66:67">
      <c r="BN126" s="15"/>
      <c r="BO126" s="15"/>
    </row>
    <row r="127" spans="66:67">
      <c r="BN127" s="15"/>
      <c r="BO127" s="15"/>
    </row>
    <row r="128" spans="66:67">
      <c r="BN128" s="15"/>
      <c r="BO128" s="15"/>
    </row>
    <row r="129" spans="66:67">
      <c r="BN129" s="15"/>
      <c r="BO129" s="15"/>
    </row>
    <row r="130" spans="66:67">
      <c r="BN130" s="15"/>
      <c r="BO130" s="15"/>
    </row>
    <row r="131" spans="66:67">
      <c r="BN131" s="15"/>
      <c r="BO131" s="15"/>
    </row>
    <row r="132" spans="66:67">
      <c r="BN132" s="15"/>
      <c r="BO132" s="15"/>
    </row>
    <row r="133" spans="66:67">
      <c r="BN133" s="15"/>
      <c r="BO133" s="15"/>
    </row>
    <row r="134" spans="66:67">
      <c r="BN134" s="15"/>
      <c r="BO134" s="15"/>
    </row>
    <row r="135" spans="66:67">
      <c r="BN135" s="15"/>
      <c r="BO135" s="15"/>
    </row>
    <row r="136" spans="66:67">
      <c r="BN136" s="15"/>
      <c r="BO136" s="15"/>
    </row>
    <row r="137" spans="66:67">
      <c r="BN137" s="15"/>
      <c r="BO137" s="15"/>
    </row>
    <row r="138" spans="66:67">
      <c r="BN138" s="15"/>
      <c r="BO138" s="15"/>
    </row>
    <row r="139" spans="66:67">
      <c r="BN139" s="15"/>
      <c r="BO139" s="15"/>
    </row>
    <row r="140" spans="66:67">
      <c r="BN140" s="15"/>
      <c r="BO140" s="15"/>
    </row>
    <row r="141" spans="66:67">
      <c r="BN141" s="15"/>
      <c r="BO141" s="15"/>
    </row>
    <row r="142" spans="66:67">
      <c r="BN142" s="15"/>
      <c r="BO142" s="15"/>
    </row>
    <row r="143" spans="66:67">
      <c r="BN143" s="15"/>
      <c r="BO143" s="15"/>
    </row>
    <row r="144" spans="66:67">
      <c r="BN144" s="15"/>
      <c r="BO144" s="15"/>
    </row>
    <row r="145" spans="66:67">
      <c r="BN145" s="15"/>
      <c r="BO145" s="15"/>
    </row>
    <row r="146" spans="66:67">
      <c r="BN146" s="15"/>
      <c r="BO146" s="15"/>
    </row>
    <row r="147" spans="66:67">
      <c r="BN147" s="15"/>
      <c r="BO147" s="15"/>
    </row>
    <row r="148" spans="66:67">
      <c r="BN148" s="15"/>
      <c r="BO148" s="15"/>
    </row>
    <row r="149" spans="66:67">
      <c r="BN149" s="15"/>
      <c r="BO149" s="15"/>
    </row>
    <row r="150" spans="66:67">
      <c r="BN150" s="15"/>
      <c r="BO150" s="15"/>
    </row>
    <row r="151" spans="66:67">
      <c r="BN151" s="15"/>
      <c r="BO151" s="15"/>
    </row>
    <row r="152" spans="66:67">
      <c r="BN152" s="15"/>
      <c r="BO152" s="15"/>
    </row>
    <row r="153" spans="66:67">
      <c r="BN153" s="15"/>
      <c r="BO153" s="15"/>
    </row>
    <row r="154" spans="66:67">
      <c r="BN154" s="15"/>
      <c r="BO154" s="15"/>
    </row>
    <row r="155" spans="66:67">
      <c r="BN155" s="15"/>
      <c r="BO155" s="15"/>
    </row>
    <row r="156" spans="66:67">
      <c r="BN156" s="15"/>
      <c r="BO156" s="15"/>
    </row>
    <row r="157" spans="66:67">
      <c r="BN157" s="15"/>
      <c r="BO157" s="15"/>
    </row>
    <row r="158" spans="66:67">
      <c r="BN158" s="15"/>
      <c r="BO158" s="15"/>
    </row>
    <row r="159" spans="66:67">
      <c r="BN159" s="15"/>
      <c r="BO159" s="15"/>
    </row>
    <row r="160" spans="66:67">
      <c r="BN160" s="15"/>
      <c r="BO160" s="15"/>
    </row>
    <row r="161" spans="66:67">
      <c r="BN161" s="15"/>
      <c r="BO161" s="15"/>
    </row>
    <row r="162" spans="66:67">
      <c r="BN162" s="15"/>
      <c r="BO162" s="15"/>
    </row>
    <row r="163" spans="66:67">
      <c r="BN163" s="15"/>
      <c r="BO163" s="15"/>
    </row>
    <row r="164" spans="66:67">
      <c r="BN164" s="15"/>
      <c r="BO164" s="15"/>
    </row>
    <row r="165" spans="66:67">
      <c r="BN165" s="15"/>
      <c r="BO165" s="15"/>
    </row>
    <row r="166" spans="66:67">
      <c r="BN166" s="15"/>
      <c r="BO166" s="15"/>
    </row>
    <row r="167" spans="66:67">
      <c r="BN167" s="15"/>
      <c r="BO167" s="15"/>
    </row>
    <row r="168" spans="66:67">
      <c r="BN168" s="15"/>
      <c r="BO168" s="15"/>
    </row>
    <row r="169" spans="66:67">
      <c r="BN169" s="15"/>
      <c r="BO169" s="15"/>
    </row>
    <row r="170" spans="66:67">
      <c r="BN170" s="15"/>
      <c r="BO170" s="15"/>
    </row>
    <row r="171" spans="66:67">
      <c r="BN171" s="15"/>
      <c r="BO171" s="15"/>
    </row>
    <row r="172" spans="66:67">
      <c r="BN172" s="15"/>
      <c r="BO172" s="15"/>
    </row>
    <row r="173" spans="66:67">
      <c r="BN173" s="15"/>
      <c r="BO173" s="15"/>
    </row>
    <row r="174" spans="66:67">
      <c r="BN174" s="15"/>
      <c r="BO174" s="15"/>
    </row>
    <row r="175" spans="66:67">
      <c r="BN175" s="15"/>
      <c r="BO175" s="15"/>
    </row>
    <row r="176" spans="66:67">
      <c r="BN176" s="15"/>
      <c r="BO176" s="15"/>
    </row>
    <row r="177" spans="66:67">
      <c r="BN177" s="15"/>
      <c r="BO177" s="15"/>
    </row>
    <row r="178" spans="66:67">
      <c r="BN178" s="15"/>
      <c r="BO178" s="15"/>
    </row>
    <row r="179" spans="66:67">
      <c r="BN179" s="15"/>
      <c r="BO179" s="15"/>
    </row>
    <row r="180" spans="66:67">
      <c r="BN180" s="15"/>
      <c r="BO180" s="15"/>
    </row>
    <row r="181" spans="66:67">
      <c r="BN181" s="15"/>
      <c r="BO181" s="15"/>
    </row>
    <row r="182" spans="66:67">
      <c r="BN182" s="15"/>
      <c r="BO182" s="15"/>
    </row>
    <row r="183" spans="66:67">
      <c r="BN183" s="15"/>
      <c r="BO183" s="15"/>
    </row>
    <row r="184" spans="66:67">
      <c r="BN184" s="15"/>
      <c r="BO184" s="15"/>
    </row>
    <row r="185" spans="66:67">
      <c r="BN185" s="15"/>
      <c r="BO185" s="15"/>
    </row>
    <row r="186" spans="66:67">
      <c r="BN186" s="15"/>
      <c r="BO186" s="15"/>
    </row>
    <row r="187" spans="66:67">
      <c r="BN187" s="15"/>
      <c r="BO187" s="15"/>
    </row>
    <row r="188" spans="66:67">
      <c r="BN188" s="15"/>
      <c r="BO188" s="15"/>
    </row>
    <row r="189" spans="66:67">
      <c r="BN189" s="15"/>
      <c r="BO189" s="15"/>
    </row>
    <row r="190" spans="66:67">
      <c r="BN190" s="15"/>
      <c r="BO190" s="15"/>
    </row>
    <row r="191" spans="66:67">
      <c r="BN191" s="15"/>
      <c r="BO191" s="15"/>
    </row>
    <row r="192" spans="66:67">
      <c r="BN192" s="15"/>
      <c r="BO192" s="15"/>
    </row>
    <row r="193" spans="66:67">
      <c r="BN193" s="15"/>
      <c r="BO193" s="15"/>
    </row>
    <row r="194" spans="66:67">
      <c r="BN194" s="15"/>
      <c r="BO194" s="15"/>
    </row>
    <row r="195" spans="66:67">
      <c r="BN195" s="15"/>
      <c r="BO195" s="15"/>
    </row>
    <row r="196" spans="66:67">
      <c r="BN196" s="15"/>
      <c r="BO196" s="15"/>
    </row>
    <row r="197" spans="66:67">
      <c r="BN197" s="15"/>
      <c r="BO197" s="15"/>
    </row>
    <row r="198" spans="66:67">
      <c r="BN198" s="15"/>
      <c r="BO198" s="15"/>
    </row>
    <row r="199" spans="66:67">
      <c r="BN199" s="15"/>
      <c r="BO199" s="15"/>
    </row>
    <row r="200" spans="66:67">
      <c r="BN200" s="15"/>
      <c r="BO200" s="15"/>
    </row>
    <row r="201" spans="66:67">
      <c r="BN201" s="15"/>
      <c r="BO201" s="15"/>
    </row>
    <row r="202" spans="66:67">
      <c r="BN202" s="15"/>
      <c r="BO202" s="15"/>
    </row>
    <row r="203" spans="66:67">
      <c r="BN203" s="15"/>
      <c r="BO203" s="15"/>
    </row>
    <row r="204" spans="66:67">
      <c r="BN204" s="15"/>
      <c r="BO204" s="15"/>
    </row>
    <row r="205" spans="66:67">
      <c r="BN205" s="15"/>
      <c r="BO205" s="15"/>
    </row>
    <row r="206" spans="66:67">
      <c r="BN206" s="15"/>
      <c r="BO206" s="15"/>
    </row>
    <row r="207" spans="66:67">
      <c r="BN207" s="15"/>
      <c r="BO207" s="15"/>
    </row>
    <row r="208" spans="66:67">
      <c r="BN208" s="15"/>
      <c r="BO208" s="15"/>
    </row>
    <row r="209" spans="66:67">
      <c r="BN209" s="15"/>
      <c r="BO209" s="15"/>
    </row>
    <row r="210" spans="66:67">
      <c r="BN210" s="15"/>
      <c r="BO210" s="15"/>
    </row>
    <row r="211" spans="66:67">
      <c r="BN211" s="15"/>
      <c r="BO211" s="15"/>
    </row>
    <row r="212" spans="66:67">
      <c r="BN212" s="15"/>
      <c r="BO212" s="15"/>
    </row>
    <row r="213" spans="66:67">
      <c r="BN213" s="15"/>
      <c r="BO213" s="15"/>
    </row>
    <row r="214" spans="66:67">
      <c r="BN214" s="15"/>
      <c r="BO214" s="15"/>
    </row>
    <row r="215" spans="66:67">
      <c r="BN215" s="15"/>
      <c r="BO215" s="15"/>
    </row>
    <row r="216" spans="66:67">
      <c r="BN216" s="15"/>
      <c r="BO216" s="15"/>
    </row>
    <row r="217" spans="66:67">
      <c r="BN217" s="15"/>
      <c r="BO217" s="15"/>
    </row>
    <row r="218" spans="66:67">
      <c r="BN218" s="15"/>
      <c r="BO218" s="15"/>
    </row>
    <row r="219" spans="66:67">
      <c r="BN219" s="15"/>
      <c r="BO219" s="15"/>
    </row>
    <row r="220" spans="66:67">
      <c r="BN220" s="15"/>
      <c r="BO220" s="15"/>
    </row>
    <row r="221" spans="66:67">
      <c r="BN221" s="15"/>
      <c r="BO221" s="15"/>
    </row>
    <row r="222" spans="66:67">
      <c r="BN222" s="15"/>
      <c r="BO222" s="15"/>
    </row>
    <row r="223" spans="66:67">
      <c r="BN223" s="15"/>
      <c r="BO223" s="15"/>
    </row>
    <row r="224" spans="66:67">
      <c r="BN224" s="15"/>
      <c r="BO224" s="15"/>
    </row>
    <row r="225" spans="66:67">
      <c r="BN225" s="15"/>
      <c r="BO225" s="15"/>
    </row>
    <row r="226" spans="66:67">
      <c r="BN226" s="15"/>
      <c r="BO226" s="15"/>
    </row>
    <row r="227" spans="66:67">
      <c r="BN227" s="15"/>
      <c r="BO227" s="15"/>
    </row>
    <row r="228" spans="66:67">
      <c r="BN228" s="15"/>
      <c r="BO228" s="15"/>
    </row>
    <row r="229" spans="66:67">
      <c r="BN229" s="15"/>
      <c r="BO229" s="15"/>
    </row>
    <row r="230" spans="66:67">
      <c r="BN230" s="15"/>
      <c r="BO230" s="15"/>
    </row>
    <row r="231" spans="66:67">
      <c r="BN231" s="15"/>
      <c r="BO231" s="15"/>
    </row>
    <row r="232" spans="66:67">
      <c r="BN232" s="15"/>
      <c r="BO232" s="15"/>
    </row>
    <row r="233" spans="66:67">
      <c r="BN233" s="15"/>
      <c r="BO233" s="15"/>
    </row>
    <row r="234" spans="66:67">
      <c r="BN234" s="15"/>
      <c r="BO234" s="15"/>
    </row>
    <row r="235" spans="66:67">
      <c r="BN235" s="15"/>
      <c r="BO235" s="15"/>
    </row>
    <row r="236" spans="66:67">
      <c r="BN236" s="15"/>
      <c r="BO236" s="15"/>
    </row>
    <row r="237" spans="66:67">
      <c r="BN237" s="15"/>
      <c r="BO237" s="15"/>
    </row>
    <row r="238" spans="66:67">
      <c r="BN238" s="15"/>
      <c r="BO238" s="15"/>
    </row>
    <row r="239" spans="66:67">
      <c r="BN239" s="15"/>
      <c r="BO239" s="15"/>
    </row>
    <row r="240" spans="66:67">
      <c r="BN240" s="15"/>
      <c r="BO240" s="15"/>
    </row>
    <row r="241" spans="66:67">
      <c r="BN241" s="15"/>
      <c r="BO241" s="15"/>
    </row>
    <row r="242" spans="66:67">
      <c r="BN242" s="15"/>
      <c r="BO242" s="15"/>
    </row>
    <row r="243" spans="66:67">
      <c r="BN243" s="15"/>
      <c r="BO243" s="15"/>
    </row>
    <row r="244" spans="66:67">
      <c r="BN244" s="15"/>
      <c r="BO244" s="15"/>
    </row>
    <row r="245" spans="66:67">
      <c r="BN245" s="15"/>
      <c r="BO245" s="15"/>
    </row>
    <row r="246" spans="66:67">
      <c r="BN246" s="15"/>
      <c r="BO246" s="15"/>
    </row>
    <row r="247" spans="66:67">
      <c r="BN247" s="15"/>
      <c r="BO247" s="15"/>
    </row>
    <row r="248" spans="66:67">
      <c r="BN248" s="15"/>
      <c r="BO248" s="15"/>
    </row>
    <row r="249" spans="66:67">
      <c r="BN249" s="15"/>
      <c r="BO249" s="15"/>
    </row>
    <row r="250" spans="66:67">
      <c r="BN250" s="15"/>
      <c r="BO250" s="15"/>
    </row>
    <row r="251" spans="66:67">
      <c r="BN251" s="15"/>
      <c r="BO251" s="15"/>
    </row>
    <row r="252" spans="66:67">
      <c r="BN252" s="15"/>
      <c r="BO252" s="15"/>
    </row>
    <row r="253" spans="66:67">
      <c r="BN253" s="15"/>
      <c r="BO253" s="15"/>
    </row>
    <row r="254" spans="66:67">
      <c r="BN254" s="15"/>
      <c r="BO254" s="15"/>
    </row>
    <row r="255" spans="66:67">
      <c r="BN255" s="15"/>
      <c r="BO255" s="15"/>
    </row>
    <row r="256" spans="66:67">
      <c r="BN256" s="15"/>
      <c r="BO256" s="15"/>
    </row>
    <row r="257" spans="66:67">
      <c r="BN257" s="15"/>
      <c r="BO257" s="15"/>
    </row>
    <row r="258" spans="66:67">
      <c r="BN258" s="15"/>
      <c r="BO258" s="15"/>
    </row>
    <row r="259" spans="66:67">
      <c r="BN259" s="15"/>
      <c r="BO259" s="15"/>
    </row>
    <row r="260" spans="66:67">
      <c r="BN260" s="15"/>
      <c r="BO260" s="15"/>
    </row>
    <row r="261" spans="66:67">
      <c r="BN261" s="15"/>
      <c r="BO261" s="15"/>
    </row>
    <row r="262" spans="66:67">
      <c r="BN262" s="15"/>
      <c r="BO262" s="15"/>
    </row>
    <row r="263" spans="66:67">
      <c r="BN263" s="15"/>
      <c r="BO263" s="15"/>
    </row>
    <row r="264" spans="66:67">
      <c r="BN264" s="15"/>
      <c r="BO264" s="15"/>
    </row>
    <row r="265" spans="66:67">
      <c r="BN265" s="15"/>
      <c r="BO265" s="15"/>
    </row>
    <row r="266" spans="66:67">
      <c r="BN266" s="15"/>
      <c r="BO266" s="15"/>
    </row>
    <row r="267" spans="66:67">
      <c r="BN267" s="15"/>
      <c r="BO267" s="15"/>
    </row>
    <row r="268" spans="66:67">
      <c r="BN268" s="15"/>
      <c r="BO268" s="15"/>
    </row>
    <row r="269" spans="66:67">
      <c r="BN269" s="15"/>
      <c r="BO269" s="15"/>
    </row>
    <row r="270" spans="66:67">
      <c r="BN270" s="15"/>
      <c r="BO270" s="15"/>
    </row>
    <row r="271" spans="66:67">
      <c r="BN271" s="15"/>
      <c r="BO271" s="15"/>
    </row>
    <row r="272" spans="66:67">
      <c r="BN272" s="15"/>
      <c r="BO272" s="15"/>
    </row>
    <row r="273" spans="66:67">
      <c r="BN273" s="15"/>
      <c r="BO273" s="15"/>
    </row>
    <row r="274" spans="66:67">
      <c r="BN274" s="15"/>
      <c r="BO274" s="15"/>
    </row>
    <row r="275" spans="66:67">
      <c r="BN275" s="15"/>
      <c r="BO275" s="15"/>
    </row>
    <row r="276" spans="66:67">
      <c r="BN276" s="15"/>
      <c r="BO276" s="15"/>
    </row>
    <row r="277" spans="66:67">
      <c r="BN277" s="15"/>
      <c r="BO277" s="15"/>
    </row>
    <row r="278" spans="66:67">
      <c r="BN278" s="15"/>
      <c r="BO278" s="15"/>
    </row>
    <row r="279" spans="66:67">
      <c r="BN279" s="15"/>
      <c r="BO279" s="15"/>
    </row>
    <row r="280" spans="66:67">
      <c r="BN280" s="15"/>
      <c r="BO280" s="15"/>
    </row>
    <row r="281" spans="66:67">
      <c r="BN281" s="15"/>
      <c r="BO281" s="15"/>
    </row>
    <row r="282" spans="66:67">
      <c r="BN282" s="15"/>
      <c r="BO282" s="15"/>
    </row>
    <row r="283" spans="66:67">
      <c r="BN283" s="15"/>
      <c r="BO283" s="15"/>
    </row>
    <row r="284" spans="66:67">
      <c r="BN284" s="15"/>
      <c r="BO284" s="15"/>
    </row>
    <row r="285" spans="66:67">
      <c r="BN285" s="15"/>
      <c r="BO285" s="15"/>
    </row>
    <row r="286" spans="66:67">
      <c r="BN286" s="15"/>
      <c r="BO286" s="15"/>
    </row>
    <row r="287" spans="66:67">
      <c r="BN287" s="15"/>
      <c r="BO287" s="15"/>
    </row>
    <row r="288" spans="66:67">
      <c r="BN288" s="15"/>
      <c r="BO288" s="15"/>
    </row>
    <row r="289" spans="66:67">
      <c r="BN289" s="15"/>
      <c r="BO289" s="15"/>
    </row>
    <row r="290" spans="66:67">
      <c r="BN290" s="15"/>
      <c r="BO290" s="15"/>
    </row>
    <row r="291" spans="66:67">
      <c r="BN291" s="15"/>
      <c r="BO291" s="15"/>
    </row>
    <row r="292" spans="66:67">
      <c r="BN292" s="15"/>
      <c r="BO292" s="15"/>
    </row>
    <row r="293" spans="66:67">
      <c r="BN293" s="15"/>
      <c r="BO293" s="15"/>
    </row>
    <row r="294" spans="66:67">
      <c r="BN294" s="15"/>
      <c r="BO294" s="15"/>
    </row>
    <row r="295" spans="66:67">
      <c r="BN295" s="15"/>
      <c r="BO295" s="15"/>
    </row>
    <row r="296" spans="66:67">
      <c r="BN296" s="15"/>
      <c r="BO296" s="15"/>
    </row>
    <row r="297" spans="66:67">
      <c r="BN297" s="15"/>
      <c r="BO297" s="15"/>
    </row>
    <row r="298" spans="66:67">
      <c r="BN298" s="15"/>
      <c r="BO298" s="15"/>
    </row>
    <row r="299" spans="66:67">
      <c r="BN299" s="15"/>
      <c r="BO299" s="15"/>
    </row>
    <row r="300" spans="66:67">
      <c r="BN300" s="15"/>
      <c r="BO300" s="15"/>
    </row>
    <row r="301" spans="66:67">
      <c r="BN301" s="15"/>
      <c r="BO301" s="15"/>
    </row>
    <row r="302" spans="66:67">
      <c r="BN302" s="15"/>
      <c r="BO302" s="15"/>
    </row>
    <row r="303" spans="66:67">
      <c r="BN303" s="15"/>
      <c r="BO303" s="15"/>
    </row>
    <row r="304" spans="66:67">
      <c r="BN304" s="15"/>
      <c r="BO304" s="15"/>
    </row>
    <row r="305" spans="66:67">
      <c r="BN305" s="15"/>
      <c r="BO305" s="15"/>
    </row>
    <row r="306" spans="66:67">
      <c r="BN306" s="15"/>
      <c r="BO306" s="15"/>
    </row>
    <row r="307" spans="66:67">
      <c r="BN307" s="15"/>
      <c r="BO307" s="15"/>
    </row>
    <row r="308" spans="66:67">
      <c r="BN308" s="15"/>
      <c r="BO308" s="15"/>
    </row>
    <row r="309" spans="66:67">
      <c r="BN309" s="15"/>
      <c r="BO309" s="15"/>
    </row>
    <row r="310" spans="66:67">
      <c r="BN310" s="15"/>
      <c r="BO310" s="15"/>
    </row>
    <row r="311" spans="66:67">
      <c r="BN311" s="15"/>
      <c r="BO311" s="15"/>
    </row>
    <row r="312" spans="66:67">
      <c r="BN312" s="15"/>
      <c r="BO312" s="15"/>
    </row>
    <row r="313" spans="66:67">
      <c r="BN313" s="15"/>
      <c r="BO313" s="15"/>
    </row>
    <row r="314" spans="66:67">
      <c r="BN314" s="15"/>
      <c r="BO314" s="15"/>
    </row>
    <row r="315" spans="66:67">
      <c r="BN315" s="15"/>
      <c r="BO315" s="15"/>
    </row>
    <row r="316" spans="66:67">
      <c r="BN316" s="15"/>
      <c r="BO316" s="15"/>
    </row>
    <row r="317" spans="66:67">
      <c r="BN317" s="15"/>
      <c r="BO317" s="15"/>
    </row>
    <row r="318" spans="66:67">
      <c r="BN318" s="15"/>
      <c r="BO318" s="15"/>
    </row>
    <row r="319" spans="66:67">
      <c r="BN319" s="15"/>
      <c r="BO319" s="15"/>
    </row>
    <row r="320" spans="66:67">
      <c r="BN320" s="15"/>
      <c r="BO320" s="15"/>
    </row>
    <row r="321" spans="66:67">
      <c r="BN321" s="15"/>
      <c r="BO321" s="15"/>
    </row>
    <row r="322" spans="66:67">
      <c r="BN322" s="15"/>
      <c r="BO322" s="15"/>
    </row>
    <row r="323" spans="66:67">
      <c r="BN323" s="15"/>
      <c r="BO323" s="15"/>
    </row>
    <row r="324" spans="66:67">
      <c r="BN324" s="15"/>
      <c r="BO324" s="15"/>
    </row>
    <row r="325" spans="66:67">
      <c r="BN325" s="15"/>
      <c r="BO325" s="15"/>
    </row>
    <row r="326" spans="66:67">
      <c r="BN326" s="15"/>
      <c r="BO326" s="15"/>
    </row>
    <row r="327" spans="66:67">
      <c r="BN327" s="15"/>
      <c r="BO327" s="15"/>
    </row>
    <row r="328" spans="66:67">
      <c r="BN328" s="15"/>
      <c r="BO328" s="15"/>
    </row>
    <row r="329" spans="66:67">
      <c r="BN329" s="15"/>
      <c r="BO329" s="15"/>
    </row>
    <row r="330" spans="66:67">
      <c r="BN330" s="15"/>
      <c r="BO330" s="15"/>
    </row>
    <row r="331" spans="66:67">
      <c r="BN331" s="15"/>
      <c r="BO331" s="15"/>
    </row>
    <row r="332" spans="66:67">
      <c r="BN332" s="15"/>
      <c r="BO332" s="15"/>
    </row>
    <row r="333" spans="66:67">
      <c r="BN333" s="15"/>
      <c r="BO333" s="15"/>
    </row>
    <row r="334" spans="66:67">
      <c r="BN334" s="15"/>
      <c r="BO334" s="15"/>
    </row>
    <row r="335" spans="66:67">
      <c r="BN335" s="15"/>
      <c r="BO335" s="15"/>
    </row>
    <row r="336" spans="66:67">
      <c r="BN336" s="15"/>
      <c r="BO336" s="15"/>
    </row>
    <row r="337" spans="66:67">
      <c r="BN337" s="15"/>
      <c r="BO337" s="15"/>
    </row>
    <row r="338" spans="66:67">
      <c r="BN338" s="15"/>
      <c r="BO338" s="15"/>
    </row>
    <row r="339" spans="66:67">
      <c r="BN339" s="15"/>
      <c r="BO339" s="15"/>
    </row>
    <row r="340" spans="66:67">
      <c r="BN340" s="15"/>
      <c r="BO340" s="15"/>
    </row>
    <row r="341" spans="66:67">
      <c r="BN341" s="15"/>
      <c r="BO341" s="15"/>
    </row>
    <row r="342" spans="66:67">
      <c r="BN342" s="15"/>
      <c r="BO342" s="15"/>
    </row>
    <row r="343" spans="66:67">
      <c r="BN343" s="15"/>
      <c r="BO343" s="15"/>
    </row>
    <row r="344" spans="66:67">
      <c r="BN344" s="15"/>
      <c r="BO344" s="15"/>
    </row>
    <row r="345" spans="66:67">
      <c r="BN345" s="15"/>
      <c r="BO345" s="15"/>
    </row>
    <row r="346" spans="66:67">
      <c r="BN346" s="15"/>
      <c r="BO346" s="15"/>
    </row>
    <row r="347" spans="66:67">
      <c r="BN347" s="15"/>
      <c r="BO347" s="15"/>
    </row>
    <row r="348" spans="66:67">
      <c r="BN348" s="15"/>
      <c r="BO348" s="15"/>
    </row>
    <row r="349" spans="66:67">
      <c r="BN349" s="15"/>
      <c r="BO349" s="15"/>
    </row>
    <row r="350" spans="66:67">
      <c r="BN350" s="15"/>
      <c r="BO350" s="15"/>
    </row>
    <row r="351" spans="66:67">
      <c r="BN351" s="15"/>
      <c r="BO351" s="15"/>
    </row>
    <row r="352" spans="66:67">
      <c r="BN352" s="15"/>
      <c r="BO352" s="15"/>
    </row>
    <row r="353" spans="66:67">
      <c r="BN353" s="15"/>
      <c r="BO353" s="15"/>
    </row>
    <row r="354" spans="66:67">
      <c r="BN354" s="15"/>
      <c r="BO354" s="15"/>
    </row>
    <row r="355" spans="66:67">
      <c r="BN355" s="15"/>
      <c r="BO355" s="15"/>
    </row>
    <row r="356" spans="66:67">
      <c r="BN356" s="15"/>
      <c r="BO356" s="15"/>
    </row>
    <row r="357" spans="66:67">
      <c r="BN357" s="15"/>
      <c r="BO357" s="15"/>
    </row>
    <row r="358" spans="66:67">
      <c r="BN358" s="15"/>
      <c r="BO358" s="15"/>
    </row>
    <row r="359" spans="66:67">
      <c r="BN359" s="15"/>
      <c r="BO359" s="15"/>
    </row>
    <row r="360" spans="66:67">
      <c r="BN360" s="15"/>
      <c r="BO360" s="15"/>
    </row>
    <row r="361" spans="66:67">
      <c r="BN361" s="15"/>
      <c r="BO361" s="15"/>
    </row>
    <row r="362" spans="66:67">
      <c r="BN362" s="15"/>
      <c r="BO362" s="15"/>
    </row>
    <row r="363" spans="66:67">
      <c r="BN363" s="15"/>
      <c r="BO363" s="15"/>
    </row>
    <row r="364" spans="66:67">
      <c r="BN364" s="15"/>
      <c r="BO364" s="15"/>
    </row>
    <row r="365" spans="66:67">
      <c r="BN365" s="15"/>
      <c r="BO365" s="15"/>
    </row>
    <row r="366" spans="66:67">
      <c r="BN366" s="15"/>
      <c r="BO366" s="15"/>
    </row>
    <row r="367" spans="66:67">
      <c r="BN367" s="15"/>
      <c r="BO367" s="15"/>
    </row>
    <row r="368" spans="66:67">
      <c r="BN368" s="15"/>
      <c r="BO368" s="15"/>
    </row>
    <row r="369" spans="66:67">
      <c r="BN369" s="15"/>
      <c r="BO369" s="15"/>
    </row>
    <row r="370" spans="66:67">
      <c r="BN370" s="15"/>
      <c r="BO370" s="15"/>
    </row>
    <row r="371" spans="66:67">
      <c r="BN371" s="15"/>
      <c r="BO371" s="15"/>
    </row>
    <row r="372" spans="66:67">
      <c r="BN372" s="15"/>
      <c r="BO372" s="15"/>
    </row>
    <row r="373" spans="66:67">
      <c r="BN373" s="15"/>
      <c r="BO373" s="15"/>
    </row>
    <row r="374" spans="66:67">
      <c r="BN374" s="15"/>
      <c r="BO374" s="15"/>
    </row>
    <row r="375" spans="66:67">
      <c r="BN375" s="15"/>
      <c r="BO375" s="15"/>
    </row>
    <row r="376" spans="66:67">
      <c r="BN376" s="15"/>
      <c r="BO376" s="15"/>
    </row>
    <row r="377" spans="66:67">
      <c r="BN377" s="15"/>
      <c r="BO377" s="15"/>
    </row>
    <row r="378" spans="66:67">
      <c r="BN378" s="15"/>
      <c r="BO378" s="15"/>
    </row>
    <row r="379" spans="66:67">
      <c r="BN379" s="15"/>
      <c r="BO379" s="15"/>
    </row>
    <row r="380" spans="66:67">
      <c r="BN380" s="15"/>
      <c r="BO380" s="15"/>
    </row>
    <row r="381" spans="66:67">
      <c r="BN381" s="15"/>
      <c r="BO381" s="15"/>
    </row>
    <row r="382" spans="66:67">
      <c r="BN382" s="15"/>
      <c r="BO382" s="15"/>
    </row>
    <row r="383" spans="66:67">
      <c r="BN383" s="15"/>
      <c r="BO383" s="15"/>
    </row>
    <row r="384" spans="66:67">
      <c r="BN384" s="15"/>
      <c r="BO384" s="15"/>
    </row>
    <row r="385" spans="66:67">
      <c r="BN385" s="15"/>
      <c r="BO385" s="15"/>
    </row>
    <row r="386" spans="66:67">
      <c r="BN386" s="15"/>
      <c r="BO386" s="15"/>
    </row>
    <row r="387" spans="66:67">
      <c r="BN387" s="15"/>
      <c r="BO387" s="15"/>
    </row>
    <row r="388" spans="66:67">
      <c r="BN388" s="15"/>
      <c r="BO388" s="15"/>
    </row>
    <row r="389" spans="66:67">
      <c r="BN389" s="15"/>
      <c r="BO389" s="15"/>
    </row>
    <row r="390" spans="66:67">
      <c r="BN390" s="15"/>
      <c r="BO390" s="15"/>
    </row>
    <row r="391" spans="66:67">
      <c r="BN391" s="15"/>
      <c r="BO391" s="15"/>
    </row>
    <row r="392" spans="66:67">
      <c r="BN392" s="15"/>
      <c r="BO392" s="15"/>
    </row>
    <row r="393" spans="66:67">
      <c r="BN393" s="15"/>
      <c r="BO393" s="15"/>
    </row>
    <row r="394" spans="66:67">
      <c r="BN394" s="15"/>
      <c r="BO394" s="15"/>
    </row>
    <row r="395" spans="66:67">
      <c r="BN395" s="15"/>
      <c r="BO395" s="15"/>
    </row>
    <row r="396" spans="66:67">
      <c r="BN396" s="15"/>
      <c r="BO396" s="15"/>
    </row>
    <row r="397" spans="66:67">
      <c r="BN397" s="15"/>
      <c r="BO397" s="15"/>
    </row>
    <row r="398" spans="66:67">
      <c r="BN398" s="15"/>
      <c r="BO398" s="15"/>
    </row>
    <row r="399" spans="66:67">
      <c r="BN399" s="15"/>
      <c r="BO399" s="15"/>
    </row>
    <row r="400" spans="66:67">
      <c r="BN400" s="15"/>
      <c r="BO400" s="15"/>
    </row>
    <row r="401" spans="66:67">
      <c r="BN401" s="15"/>
      <c r="BO401" s="15"/>
    </row>
    <row r="402" spans="66:67">
      <c r="BN402" s="15"/>
      <c r="BO402" s="15"/>
    </row>
    <row r="403" spans="66:67">
      <c r="BN403" s="15"/>
      <c r="BO403" s="15"/>
    </row>
    <row r="404" spans="66:67">
      <c r="BN404" s="15"/>
      <c r="BO404" s="15"/>
    </row>
    <row r="405" spans="66:67">
      <c r="BN405" s="15"/>
      <c r="BO405" s="15"/>
    </row>
    <row r="406" spans="66:67">
      <c r="BN406" s="15"/>
      <c r="BO406" s="15"/>
    </row>
    <row r="407" spans="66:67">
      <c r="BN407" s="15"/>
      <c r="BO407" s="15"/>
    </row>
    <row r="408" spans="66:67">
      <c r="BN408" s="15"/>
      <c r="BO408" s="15"/>
    </row>
    <row r="409" spans="66:67">
      <c r="BN409" s="15"/>
      <c r="BO409" s="15"/>
    </row>
    <row r="410" spans="66:67">
      <c r="BN410" s="15"/>
      <c r="BO410" s="15"/>
    </row>
    <row r="411" spans="66:67">
      <c r="BN411" s="15"/>
      <c r="BO411" s="15"/>
    </row>
    <row r="412" spans="66:67">
      <c r="BN412" s="15"/>
      <c r="BO412" s="15"/>
    </row>
    <row r="413" spans="66:67">
      <c r="BN413" s="15"/>
      <c r="BO413" s="15"/>
    </row>
    <row r="414" spans="66:67">
      <c r="BN414" s="15"/>
      <c r="BO414" s="15"/>
    </row>
    <row r="415" spans="66:67">
      <c r="BN415" s="15"/>
      <c r="BO415" s="15"/>
    </row>
    <row r="416" spans="66:67">
      <c r="BN416" s="15"/>
      <c r="BO416" s="15"/>
    </row>
    <row r="417" spans="66:67">
      <c r="BN417" s="15"/>
      <c r="BO417" s="15"/>
    </row>
    <row r="418" spans="66:67">
      <c r="BN418" s="15"/>
      <c r="BO418" s="15"/>
    </row>
    <row r="419" spans="66:67">
      <c r="BN419" s="15"/>
      <c r="BO419" s="15"/>
    </row>
    <row r="420" spans="66:67">
      <c r="BN420" s="15"/>
      <c r="BO420" s="15"/>
    </row>
    <row r="421" spans="66:67">
      <c r="BN421" s="15"/>
      <c r="BO421" s="15"/>
    </row>
    <row r="422" spans="66:67">
      <c r="BN422" s="15"/>
      <c r="BO422" s="15"/>
    </row>
    <row r="423" spans="66:67">
      <c r="BN423" s="15"/>
      <c r="BO423" s="15"/>
    </row>
    <row r="424" spans="66:67">
      <c r="BN424" s="15"/>
      <c r="BO424" s="15"/>
    </row>
    <row r="425" spans="66:67">
      <c r="BN425" s="15"/>
      <c r="BO425" s="15"/>
    </row>
    <row r="426" spans="66:67">
      <c r="BN426" s="15"/>
      <c r="BO426" s="15"/>
    </row>
    <row r="427" spans="66:67">
      <c r="BN427" s="15"/>
      <c r="BO427" s="15"/>
    </row>
    <row r="428" spans="66:67">
      <c r="BN428" s="15"/>
      <c r="BO428" s="15"/>
    </row>
    <row r="429" spans="66:67">
      <c r="BN429" s="15"/>
      <c r="BO429" s="15"/>
    </row>
    <row r="430" spans="66:67">
      <c r="BN430" s="15"/>
      <c r="BO430" s="15"/>
    </row>
    <row r="431" spans="66:67">
      <c r="BN431" s="15"/>
      <c r="BO431" s="15"/>
    </row>
    <row r="432" spans="66:67">
      <c r="BN432" s="15"/>
      <c r="BO432" s="15"/>
    </row>
    <row r="433" spans="66:67">
      <c r="BN433" s="15"/>
      <c r="BO433" s="15"/>
    </row>
    <row r="434" spans="66:67">
      <c r="BN434" s="15"/>
      <c r="BO434" s="15"/>
    </row>
    <row r="435" spans="66:67">
      <c r="BN435" s="15"/>
      <c r="BO435" s="15"/>
    </row>
    <row r="436" spans="66:67">
      <c r="BN436" s="15"/>
      <c r="BO436" s="15"/>
    </row>
    <row r="437" spans="66:67">
      <c r="BN437" s="15"/>
      <c r="BO437" s="15"/>
    </row>
    <row r="438" spans="66:67">
      <c r="BN438" s="15"/>
      <c r="BO438" s="15"/>
    </row>
    <row r="439" spans="66:67">
      <c r="BN439" s="15"/>
      <c r="BO439" s="15"/>
    </row>
    <row r="440" spans="66:67">
      <c r="BN440" s="15"/>
      <c r="BO440" s="15"/>
    </row>
    <row r="441" spans="66:67">
      <c r="BN441" s="15"/>
      <c r="BO441" s="15"/>
    </row>
    <row r="442" spans="66:67">
      <c r="BN442" s="15"/>
      <c r="BO442" s="15"/>
    </row>
    <row r="443" spans="66:67">
      <c r="BN443" s="15"/>
      <c r="BO443" s="15"/>
    </row>
    <row r="444" spans="66:67">
      <c r="BN444" s="15"/>
      <c r="BO444" s="15"/>
    </row>
    <row r="445" spans="66:67">
      <c r="BN445" s="15"/>
      <c r="BO445" s="15"/>
    </row>
    <row r="446" spans="66:67">
      <c r="BN446" s="15"/>
      <c r="BO446" s="15"/>
    </row>
    <row r="447" spans="66:67">
      <c r="BN447" s="15"/>
      <c r="BO447" s="15"/>
    </row>
    <row r="448" spans="66:67">
      <c r="BN448" s="15"/>
      <c r="BO448" s="15"/>
    </row>
    <row r="449" spans="66:67">
      <c r="BN449" s="15"/>
      <c r="BO449" s="15"/>
    </row>
    <row r="450" spans="66:67">
      <c r="BN450" s="15"/>
      <c r="BO450" s="15"/>
    </row>
    <row r="451" spans="66:67">
      <c r="BN451" s="15"/>
      <c r="BO451" s="15"/>
    </row>
    <row r="452" spans="66:67">
      <c r="BN452" s="15"/>
      <c r="BO452" s="15"/>
    </row>
    <row r="453" spans="66:67">
      <c r="BN453" s="15"/>
      <c r="BO453" s="15"/>
    </row>
    <row r="454" spans="66:67">
      <c r="BN454" s="15"/>
      <c r="BO454" s="15"/>
    </row>
    <row r="455" spans="66:67">
      <c r="BN455" s="15"/>
      <c r="BO455" s="15"/>
    </row>
    <row r="456" spans="66:67">
      <c r="BN456" s="15"/>
      <c r="BO456" s="15"/>
    </row>
    <row r="457" spans="66:67">
      <c r="BN457" s="15"/>
      <c r="BO457" s="15"/>
    </row>
    <row r="458" spans="66:67">
      <c r="BN458" s="15"/>
      <c r="BO458" s="15"/>
    </row>
    <row r="459" spans="66:67">
      <c r="BN459" s="15"/>
      <c r="BO459" s="15"/>
    </row>
    <row r="460" spans="66:67">
      <c r="BN460" s="15"/>
      <c r="BO460" s="15"/>
    </row>
    <row r="461" spans="66:67">
      <c r="BN461" s="15"/>
      <c r="BO461" s="15"/>
    </row>
    <row r="462" spans="66:67">
      <c r="BN462" s="15"/>
      <c r="BO462" s="15"/>
    </row>
    <row r="463" spans="66:67">
      <c r="BN463" s="15"/>
      <c r="BO463" s="15"/>
    </row>
    <row r="464" spans="66:67">
      <c r="BN464" s="15"/>
      <c r="BO464" s="15"/>
    </row>
    <row r="465" spans="66:67">
      <c r="BN465" s="15"/>
      <c r="BO465" s="15"/>
    </row>
    <row r="466" spans="66:67">
      <c r="BN466" s="15"/>
      <c r="BO466" s="15"/>
    </row>
    <row r="467" spans="66:67">
      <c r="BN467" s="15"/>
      <c r="BO467" s="15"/>
    </row>
    <row r="468" spans="66:67">
      <c r="BN468" s="15"/>
      <c r="BO468" s="15"/>
    </row>
    <row r="469" spans="66:67">
      <c r="BN469" s="15"/>
      <c r="BO469" s="15"/>
    </row>
    <row r="470" spans="66:67">
      <c r="BN470" s="15"/>
      <c r="BO470" s="15"/>
    </row>
    <row r="471" spans="66:67">
      <c r="BN471" s="15"/>
      <c r="BO471" s="15"/>
    </row>
    <row r="472" spans="66:67">
      <c r="BN472" s="15"/>
      <c r="BO472" s="15"/>
    </row>
    <row r="473" spans="66:67">
      <c r="BN473" s="15"/>
      <c r="BO473" s="15"/>
    </row>
    <row r="474" spans="66:67">
      <c r="BN474" s="15"/>
      <c r="BO474" s="15"/>
    </row>
    <row r="475" spans="66:67">
      <c r="BN475" s="15"/>
      <c r="BO475" s="15"/>
    </row>
    <row r="476" spans="66:67">
      <c r="BN476" s="15"/>
      <c r="BO476" s="15"/>
    </row>
    <row r="477" spans="66:67">
      <c r="BN477" s="15"/>
      <c r="BO477" s="15"/>
    </row>
    <row r="478" spans="66:67">
      <c r="BN478" s="15"/>
      <c r="BO478" s="15"/>
    </row>
    <row r="479" spans="66:67">
      <c r="BN479" s="15"/>
      <c r="BO479" s="15"/>
    </row>
    <row r="480" spans="66:67">
      <c r="BN480" s="15"/>
      <c r="BO480" s="15"/>
    </row>
    <row r="481" spans="66:67">
      <c r="BN481" s="15"/>
      <c r="BO481" s="15"/>
    </row>
    <row r="482" spans="66:67">
      <c r="BN482" s="15"/>
      <c r="BO482" s="15"/>
    </row>
    <row r="483" spans="66:67">
      <c r="BN483" s="15"/>
      <c r="BO483" s="15"/>
    </row>
    <row r="484" spans="66:67">
      <c r="BN484" s="15"/>
      <c r="BO484" s="15"/>
    </row>
    <row r="485" spans="66:67">
      <c r="BN485" s="15"/>
      <c r="BO485" s="15"/>
    </row>
    <row r="486" spans="66:67">
      <c r="BN486" s="15"/>
      <c r="BO486" s="15"/>
    </row>
    <row r="487" spans="66:67">
      <c r="BN487" s="15"/>
      <c r="BO487" s="15"/>
    </row>
    <row r="488" spans="66:67">
      <c r="BN488" s="15"/>
      <c r="BO488" s="15"/>
    </row>
    <row r="489" spans="66:67">
      <c r="BN489" s="15"/>
      <c r="BO489" s="15"/>
    </row>
    <row r="490" spans="66:67">
      <c r="BN490" s="15"/>
      <c r="BO490" s="15"/>
    </row>
    <row r="491" spans="66:67">
      <c r="BN491" s="15"/>
      <c r="BO491" s="15"/>
    </row>
    <row r="492" spans="66:67">
      <c r="BN492" s="15"/>
      <c r="BO492" s="15"/>
    </row>
    <row r="493" spans="66:67">
      <c r="BN493" s="15"/>
      <c r="BO493" s="15"/>
    </row>
    <row r="494" spans="66:67">
      <c r="BN494" s="15"/>
      <c r="BO494" s="15"/>
    </row>
    <row r="495" spans="66:67">
      <c r="BN495" s="15"/>
      <c r="BO495" s="15"/>
    </row>
    <row r="496" spans="66:67">
      <c r="BN496" s="15"/>
      <c r="BO496" s="15"/>
    </row>
    <row r="497" spans="66:67">
      <c r="BN497" s="15"/>
      <c r="BO497" s="15"/>
    </row>
    <row r="498" spans="66:67">
      <c r="BN498" s="15"/>
      <c r="BO498" s="15"/>
    </row>
    <row r="499" spans="66:67">
      <c r="BN499" s="15"/>
      <c r="BO499" s="15"/>
    </row>
    <row r="500" spans="66:67">
      <c r="BN500" s="15"/>
      <c r="BO500" s="15"/>
    </row>
    <row r="501" spans="66:67">
      <c r="BN501" s="15"/>
      <c r="BO501" s="15"/>
    </row>
    <row r="502" spans="66:67">
      <c r="BN502" s="15"/>
      <c r="BO502" s="15"/>
    </row>
    <row r="503" spans="66:67">
      <c r="BN503" s="15"/>
      <c r="BO503" s="15"/>
    </row>
    <row r="504" spans="66:67">
      <c r="BN504" s="15"/>
      <c r="BO504" s="15"/>
    </row>
    <row r="505" spans="66:67">
      <c r="BN505" s="15"/>
      <c r="BO505" s="15"/>
    </row>
    <row r="506" spans="66:67">
      <c r="BN506" s="15"/>
      <c r="BO506" s="15"/>
    </row>
    <row r="507" spans="66:67">
      <c r="BN507" s="15"/>
      <c r="BO507" s="15"/>
    </row>
    <row r="508" spans="66:67">
      <c r="BN508" s="15"/>
      <c r="BO508" s="15"/>
    </row>
    <row r="509" spans="66:67">
      <c r="BN509" s="15"/>
      <c r="BO509" s="15"/>
    </row>
    <row r="510" spans="66:67">
      <c r="BN510" s="15"/>
      <c r="BO510" s="15"/>
    </row>
    <row r="511" spans="66:67">
      <c r="BN511" s="15"/>
      <c r="BO511" s="15"/>
    </row>
    <row r="512" spans="66:67">
      <c r="BN512" s="15"/>
      <c r="BO512" s="15"/>
    </row>
    <row r="513" spans="66:67">
      <c r="BN513" s="15"/>
      <c r="BO513" s="15"/>
    </row>
    <row r="514" spans="66:67">
      <c r="BN514" s="15"/>
      <c r="BO514" s="15"/>
    </row>
    <row r="515" spans="66:67">
      <c r="BN515" s="15"/>
      <c r="BO515" s="15"/>
    </row>
    <row r="516" spans="66:67">
      <c r="BN516" s="15"/>
      <c r="BO516" s="15"/>
    </row>
    <row r="517" spans="66:67">
      <c r="BN517" s="15"/>
      <c r="BO517" s="15"/>
    </row>
    <row r="518" spans="66:67">
      <c r="BN518" s="15"/>
      <c r="BO518" s="15"/>
    </row>
    <row r="519" spans="66:67">
      <c r="BN519" s="15"/>
      <c r="BO519" s="15"/>
    </row>
    <row r="520" spans="66:67">
      <c r="BN520" s="15"/>
      <c r="BO520" s="15"/>
    </row>
    <row r="521" spans="66:67">
      <c r="BN521" s="15"/>
      <c r="BO521" s="15"/>
    </row>
    <row r="522" spans="66:67">
      <c r="BN522" s="15"/>
      <c r="BO522" s="15"/>
    </row>
    <row r="523" spans="66:67">
      <c r="BN523" s="15"/>
      <c r="BO523" s="15"/>
    </row>
    <row r="524" spans="66:67">
      <c r="BN524" s="15"/>
      <c r="BO524" s="15"/>
    </row>
    <row r="525" spans="66:67">
      <c r="BN525" s="15"/>
      <c r="BO525" s="15"/>
    </row>
    <row r="526" spans="66:67">
      <c r="BN526" s="15"/>
      <c r="BO526" s="15"/>
    </row>
    <row r="527" spans="66:67">
      <c r="BN527" s="15"/>
      <c r="BO527" s="15"/>
    </row>
    <row r="528" spans="66:67">
      <c r="BN528" s="15"/>
      <c r="BO528" s="15"/>
    </row>
    <row r="529" spans="66:67">
      <c r="BN529" s="15"/>
      <c r="BO529" s="15"/>
    </row>
    <row r="530" spans="66:67">
      <c r="BN530" s="15"/>
      <c r="BO530" s="15"/>
    </row>
    <row r="531" spans="66:67">
      <c r="BN531" s="15"/>
      <c r="BO531" s="15"/>
    </row>
    <row r="532" spans="66:67">
      <c r="BN532" s="15"/>
      <c r="BO532" s="15"/>
    </row>
    <row r="533" spans="66:67">
      <c r="BN533" s="15"/>
      <c r="BO533" s="15"/>
    </row>
    <row r="534" spans="66:67">
      <c r="BN534" s="15"/>
      <c r="BO534" s="15"/>
    </row>
    <row r="535" spans="66:67">
      <c r="BN535" s="15"/>
      <c r="BO535" s="15"/>
    </row>
    <row r="536" spans="66:67">
      <c r="BN536" s="15"/>
      <c r="BO536" s="15"/>
    </row>
    <row r="537" spans="66:67">
      <c r="BN537" s="15"/>
      <c r="BO537" s="15"/>
    </row>
    <row r="538" spans="66:67">
      <c r="BN538" s="15"/>
      <c r="BO538" s="15"/>
    </row>
    <row r="539" spans="66:67">
      <c r="BN539" s="15"/>
      <c r="BO539" s="15"/>
    </row>
    <row r="540" spans="66:67">
      <c r="BN540" s="15"/>
      <c r="BO540" s="15"/>
    </row>
    <row r="541" spans="66:67">
      <c r="BN541" s="15"/>
      <c r="BO541" s="15"/>
    </row>
    <row r="542" spans="66:67">
      <c r="BN542" s="15"/>
      <c r="BO542" s="15"/>
    </row>
    <row r="543" spans="66:67">
      <c r="BN543" s="15"/>
      <c r="BO543" s="15"/>
    </row>
    <row r="544" spans="66:67">
      <c r="BN544" s="15"/>
      <c r="BO544" s="15"/>
    </row>
    <row r="545" spans="66:67">
      <c r="BN545" s="15"/>
      <c r="BO545" s="15"/>
    </row>
    <row r="546" spans="66:67">
      <c r="BN546" s="15"/>
      <c r="BO546" s="15"/>
    </row>
    <row r="547" spans="66:67">
      <c r="BN547" s="15"/>
      <c r="BO547" s="15"/>
    </row>
    <row r="548" spans="66:67">
      <c r="BN548" s="15"/>
      <c r="BO548" s="15"/>
    </row>
    <row r="549" spans="66:67">
      <c r="BN549" s="15"/>
      <c r="BO549" s="15"/>
    </row>
    <row r="550" spans="66:67">
      <c r="BN550" s="15"/>
      <c r="BO550" s="15"/>
    </row>
    <row r="551" spans="66:67">
      <c r="BN551" s="15"/>
      <c r="BO551" s="15"/>
    </row>
    <row r="552" spans="66:67">
      <c r="BN552" s="15"/>
      <c r="BO552" s="15"/>
    </row>
    <row r="553" spans="66:67">
      <c r="BN553" s="15"/>
      <c r="BO553" s="15"/>
    </row>
    <row r="554" spans="66:67">
      <c r="BN554" s="15"/>
      <c r="BO554" s="15"/>
    </row>
    <row r="555" spans="66:67">
      <c r="BN555" s="15"/>
      <c r="BO555" s="15"/>
    </row>
    <row r="556" spans="66:67">
      <c r="BN556" s="15"/>
      <c r="BO556" s="15"/>
    </row>
    <row r="557" spans="66:67">
      <c r="BN557" s="15"/>
      <c r="BO557" s="15"/>
    </row>
    <row r="558" spans="66:67">
      <c r="BN558" s="15"/>
      <c r="BO558" s="15"/>
    </row>
    <row r="559" spans="66:67">
      <c r="BN559" s="15"/>
      <c r="BO559" s="15"/>
    </row>
    <row r="560" spans="66:67">
      <c r="BN560" s="15"/>
      <c r="BO560" s="15"/>
    </row>
    <row r="561" spans="66:67">
      <c r="BN561" s="15"/>
      <c r="BO561" s="15"/>
    </row>
    <row r="562" spans="66:67">
      <c r="BN562" s="15"/>
      <c r="BO562" s="15"/>
    </row>
    <row r="563" spans="66:67">
      <c r="BN563" s="15"/>
      <c r="BO563" s="15"/>
    </row>
    <row r="564" spans="66:67">
      <c r="BN564" s="15"/>
      <c r="BO564" s="15"/>
    </row>
    <row r="565" spans="66:67">
      <c r="BN565" s="15"/>
      <c r="BO565" s="15"/>
    </row>
    <row r="566" spans="66:67">
      <c r="BN566" s="15"/>
      <c r="BO566" s="15"/>
    </row>
    <row r="567" spans="66:67">
      <c r="BN567" s="15"/>
      <c r="BO567" s="15"/>
    </row>
    <row r="568" spans="66:67">
      <c r="BN568" s="15"/>
      <c r="BO568" s="15"/>
    </row>
    <row r="569" spans="66:67">
      <c r="BN569" s="15"/>
      <c r="BO569" s="15"/>
    </row>
    <row r="570" spans="66:67">
      <c r="BN570" s="15"/>
      <c r="BO570" s="15"/>
    </row>
    <row r="571" spans="66:67">
      <c r="BN571" s="15"/>
      <c r="BO571" s="15"/>
    </row>
    <row r="572" spans="66:67">
      <c r="BN572" s="15"/>
      <c r="BO572" s="15"/>
    </row>
    <row r="573" spans="66:67">
      <c r="BN573" s="15"/>
      <c r="BO573" s="15"/>
    </row>
    <row r="574" spans="66:67">
      <c r="BN574" s="15"/>
      <c r="BO574" s="15"/>
    </row>
    <row r="575" spans="66:67">
      <c r="BN575" s="15"/>
      <c r="BO575" s="15"/>
    </row>
    <row r="576" spans="66:67">
      <c r="BN576" s="15"/>
      <c r="BO576" s="15"/>
    </row>
    <row r="577" spans="66:67">
      <c r="BN577" s="15"/>
      <c r="BO577" s="15"/>
    </row>
    <row r="578" spans="66:67">
      <c r="BN578" s="15"/>
      <c r="BO578" s="15"/>
    </row>
    <row r="579" spans="66:67">
      <c r="BN579" s="15"/>
      <c r="BO579" s="15"/>
    </row>
    <row r="580" spans="66:67">
      <c r="BN580" s="15"/>
      <c r="BO580" s="15"/>
    </row>
    <row r="581" spans="66:67">
      <c r="BN581" s="15"/>
      <c r="BO581" s="15"/>
    </row>
    <row r="582" spans="66:67">
      <c r="BN582" s="15"/>
      <c r="BO582" s="15"/>
    </row>
    <row r="583" spans="66:67">
      <c r="BN583" s="15"/>
      <c r="BO583" s="15"/>
    </row>
    <row r="584" spans="66:67">
      <c r="BN584" s="15"/>
      <c r="BO584" s="15"/>
    </row>
    <row r="585" spans="66:67">
      <c r="BN585" s="15"/>
      <c r="BO585" s="15"/>
    </row>
    <row r="586" spans="66:67">
      <c r="BN586" s="15"/>
      <c r="BO586" s="15"/>
    </row>
    <row r="587" spans="66:67">
      <c r="BN587" s="15"/>
      <c r="BO587" s="15"/>
    </row>
    <row r="588" spans="66:67">
      <c r="BN588" s="15"/>
      <c r="BO588" s="15"/>
    </row>
    <row r="589" spans="66:67">
      <c r="BN589" s="15"/>
      <c r="BO589" s="15"/>
    </row>
    <row r="590" spans="66:67">
      <c r="BN590" s="15"/>
      <c r="BO590" s="15"/>
    </row>
    <row r="591" spans="66:67">
      <c r="BN591" s="15"/>
      <c r="BO591" s="15"/>
    </row>
    <row r="592" spans="66:67">
      <c r="BN592" s="15"/>
      <c r="BO592" s="15"/>
    </row>
    <row r="593" spans="66:67">
      <c r="BN593" s="15"/>
      <c r="BO593" s="15"/>
    </row>
    <row r="594" spans="66:67">
      <c r="BN594" s="15"/>
      <c r="BO594" s="15"/>
    </row>
    <row r="595" spans="66:67">
      <c r="BN595" s="15"/>
      <c r="BO595" s="15"/>
    </row>
    <row r="596" spans="66:67">
      <c r="BN596" s="15"/>
      <c r="BO596" s="15"/>
    </row>
    <row r="597" spans="66:67">
      <c r="BN597" s="15"/>
      <c r="BO597" s="15"/>
    </row>
    <row r="598" spans="66:67">
      <c r="BN598" s="15"/>
      <c r="BO598" s="15"/>
    </row>
    <row r="599" spans="66:67">
      <c r="BN599" s="15"/>
      <c r="BO599" s="15"/>
    </row>
    <row r="600" spans="66:67">
      <c r="BN600" s="15"/>
      <c r="BO600" s="15"/>
    </row>
    <row r="601" spans="66:67">
      <c r="BN601" s="15"/>
      <c r="BO601" s="15"/>
    </row>
    <row r="602" spans="66:67">
      <c r="BN602" s="15"/>
      <c r="BO602" s="15"/>
    </row>
    <row r="603" spans="66:67">
      <c r="BN603" s="15"/>
      <c r="BO603" s="15"/>
    </row>
    <row r="604" spans="66:67">
      <c r="BN604" s="15"/>
      <c r="BO604" s="15"/>
    </row>
    <row r="605" spans="66:67">
      <c r="BN605" s="15"/>
      <c r="BO605" s="15"/>
    </row>
    <row r="606" spans="66:67">
      <c r="BN606" s="15"/>
      <c r="BO606" s="15"/>
    </row>
    <row r="607" spans="66:67">
      <c r="BN607" s="15"/>
      <c r="BO607" s="15"/>
    </row>
    <row r="608" spans="66:67">
      <c r="BN608" s="15"/>
      <c r="BO608" s="15"/>
    </row>
    <row r="609" spans="66:67">
      <c r="BN609" s="15"/>
      <c r="BO609" s="15"/>
    </row>
    <row r="610" spans="66:67">
      <c r="BN610" s="15"/>
      <c r="BO610" s="15"/>
    </row>
    <row r="611" spans="66:67">
      <c r="BN611" s="15"/>
      <c r="BO611" s="15"/>
    </row>
    <row r="612" spans="66:67">
      <c r="BN612" s="15"/>
      <c r="BO612" s="15"/>
    </row>
    <row r="613" spans="66:67">
      <c r="BN613" s="15"/>
      <c r="BO613" s="15"/>
    </row>
    <row r="614" spans="66:67">
      <c r="BN614" s="15"/>
      <c r="BO614" s="15"/>
    </row>
    <row r="615" spans="66:67">
      <c r="BN615" s="15"/>
      <c r="BO615" s="15"/>
    </row>
    <row r="616" spans="66:67">
      <c r="BN616" s="15"/>
      <c r="BO616" s="15"/>
    </row>
    <row r="617" spans="66:67">
      <c r="BN617" s="15"/>
      <c r="BO617" s="15"/>
    </row>
    <row r="618" spans="66:67">
      <c r="BN618" s="15"/>
      <c r="BO618" s="15"/>
    </row>
    <row r="619" spans="66:67">
      <c r="BN619" s="15"/>
      <c r="BO619" s="15"/>
    </row>
    <row r="620" spans="66:67">
      <c r="BN620" s="15"/>
      <c r="BO620" s="15"/>
    </row>
    <row r="621" spans="66:67">
      <c r="BN621" s="15"/>
      <c r="BO621" s="15"/>
    </row>
    <row r="622" spans="66:67">
      <c r="BN622" s="15"/>
      <c r="BO622" s="15"/>
    </row>
    <row r="623" spans="66:67">
      <c r="BN623" s="15"/>
      <c r="BO623" s="15"/>
    </row>
    <row r="624" spans="66:67">
      <c r="BN624" s="15"/>
      <c r="BO624" s="15"/>
    </row>
    <row r="625" spans="66:67">
      <c r="BN625" s="15"/>
      <c r="BO625" s="15"/>
    </row>
    <row r="626" spans="66:67">
      <c r="BN626" s="15"/>
      <c r="BO626" s="15"/>
    </row>
    <row r="627" spans="66:67">
      <c r="BN627" s="15"/>
      <c r="BO627" s="15"/>
    </row>
    <row r="628" spans="66:67">
      <c r="BN628" s="15"/>
      <c r="BO628" s="15"/>
    </row>
    <row r="629" spans="66:67">
      <c r="BN629" s="15"/>
      <c r="BO629" s="15"/>
    </row>
    <row r="630" spans="66:67">
      <c r="BN630" s="15"/>
      <c r="BO630" s="15"/>
    </row>
    <row r="631" spans="66:67">
      <c r="BN631" s="15"/>
      <c r="BO631" s="15"/>
    </row>
    <row r="632" spans="66:67">
      <c r="BN632" s="15"/>
      <c r="BO632" s="15"/>
    </row>
    <row r="633" spans="66:67">
      <c r="BN633" s="15"/>
      <c r="BO633" s="15"/>
    </row>
    <row r="634" spans="66:67">
      <c r="BN634" s="15"/>
      <c r="BO634" s="15"/>
    </row>
    <row r="635" spans="66:67">
      <c r="BN635" s="15"/>
      <c r="BO635" s="15"/>
    </row>
    <row r="636" spans="66:67">
      <c r="BN636" s="15"/>
      <c r="BO636" s="15"/>
    </row>
    <row r="637" spans="66:67">
      <c r="BN637" s="15"/>
      <c r="BO637" s="15"/>
    </row>
    <row r="638" spans="66:67">
      <c r="BN638" s="15"/>
      <c r="BO638" s="15"/>
    </row>
    <row r="639" spans="66:67">
      <c r="BN639" s="15"/>
      <c r="BO639" s="15"/>
    </row>
    <row r="640" spans="66:67">
      <c r="BN640" s="15"/>
      <c r="BO640" s="15"/>
    </row>
    <row r="641" spans="66:67">
      <c r="BN641" s="15"/>
      <c r="BO641" s="15"/>
    </row>
    <row r="642" spans="66:67">
      <c r="BN642" s="15"/>
      <c r="BO642" s="15"/>
    </row>
    <row r="643" spans="66:67">
      <c r="BN643" s="15"/>
      <c r="BO643" s="15"/>
    </row>
    <row r="644" spans="66:67">
      <c r="BN644" s="15"/>
      <c r="BO644" s="15"/>
    </row>
    <row r="645" spans="66:67">
      <c r="BN645" s="15"/>
      <c r="BO645" s="15"/>
    </row>
    <row r="646" spans="66:67">
      <c r="BN646" s="15"/>
      <c r="BO646" s="15"/>
    </row>
    <row r="647" spans="66:67">
      <c r="BN647" s="15"/>
      <c r="BO647" s="15"/>
    </row>
    <row r="648" spans="66:67">
      <c r="BN648" s="15"/>
      <c r="BO648" s="15"/>
    </row>
    <row r="649" spans="66:67">
      <c r="BN649" s="15"/>
      <c r="BO649" s="15"/>
    </row>
    <row r="650" spans="66:67">
      <c r="BN650" s="15"/>
      <c r="BO650" s="15"/>
    </row>
    <row r="651" spans="66:67">
      <c r="BN651" s="15"/>
      <c r="BO651" s="15"/>
    </row>
    <row r="652" spans="66:67">
      <c r="BN652" s="15"/>
      <c r="BO652" s="15"/>
    </row>
    <row r="653" spans="66:67">
      <c r="BN653" s="15"/>
      <c r="BO653" s="15"/>
    </row>
    <row r="654" spans="66:67">
      <c r="BN654" s="15"/>
      <c r="BO654" s="15"/>
    </row>
    <row r="655" spans="66:67">
      <c r="BN655" s="15"/>
      <c r="BO655" s="15"/>
    </row>
    <row r="656" spans="66:67">
      <c r="BN656" s="15"/>
      <c r="BO656" s="15"/>
    </row>
    <row r="657" spans="66:67">
      <c r="BN657" s="15"/>
      <c r="BO657" s="15"/>
    </row>
    <row r="658" spans="66:67">
      <c r="BN658" s="15"/>
      <c r="BO658" s="15"/>
    </row>
    <row r="659" spans="66:67">
      <c r="BN659" s="15"/>
      <c r="BO659" s="15"/>
    </row>
    <row r="660" spans="66:67">
      <c r="BN660" s="15"/>
      <c r="BO660" s="15"/>
    </row>
    <row r="661" spans="66:67">
      <c r="BN661" s="15"/>
      <c r="BO661" s="15"/>
    </row>
    <row r="662" spans="66:67">
      <c r="BN662" s="15"/>
      <c r="BO662" s="15"/>
    </row>
    <row r="663" spans="66:67">
      <c r="BN663" s="15"/>
      <c r="BO663" s="15"/>
    </row>
    <row r="664" spans="66:67">
      <c r="BN664" s="15"/>
      <c r="BO664" s="15"/>
    </row>
    <row r="665" spans="66:67">
      <c r="BN665" s="15"/>
      <c r="BO665" s="15"/>
    </row>
    <row r="666" spans="66:67">
      <c r="BN666" s="15"/>
      <c r="BO666" s="15"/>
    </row>
    <row r="667" spans="66:67">
      <c r="BN667" s="15"/>
      <c r="BO667" s="15"/>
    </row>
    <row r="668" spans="66:67">
      <c r="BN668" s="15"/>
      <c r="BO668" s="15"/>
    </row>
    <row r="669" spans="66:67">
      <c r="BN669" s="15"/>
      <c r="BO669" s="15"/>
    </row>
    <row r="670" spans="66:67">
      <c r="BN670" s="15"/>
      <c r="BO670" s="15"/>
    </row>
    <row r="671" spans="66:67">
      <c r="BN671" s="15"/>
      <c r="BO671" s="15"/>
    </row>
    <row r="672" spans="66:67">
      <c r="BN672" s="15"/>
      <c r="BO672" s="15"/>
    </row>
    <row r="673" spans="66:67">
      <c r="BN673" s="15"/>
      <c r="BO673" s="15"/>
    </row>
    <row r="674" spans="66:67">
      <c r="BN674" s="15"/>
      <c r="BO674" s="15"/>
    </row>
    <row r="675" spans="66:67">
      <c r="BN675" s="15"/>
      <c r="BO675" s="15"/>
    </row>
    <row r="676" spans="66:67">
      <c r="BN676" s="15"/>
      <c r="BO676" s="15"/>
    </row>
    <row r="677" spans="66:67">
      <c r="BN677" s="15"/>
      <c r="BO677" s="15"/>
    </row>
    <row r="678" spans="66:67">
      <c r="BN678" s="15"/>
      <c r="BO678" s="15"/>
    </row>
    <row r="679" spans="66:67">
      <c r="BN679" s="15"/>
      <c r="BO679" s="15"/>
    </row>
    <row r="680" spans="66:67">
      <c r="BN680" s="15"/>
      <c r="BO680" s="15"/>
    </row>
    <row r="681" spans="66:67">
      <c r="BN681" s="15"/>
      <c r="BO681" s="15"/>
    </row>
    <row r="682" spans="66:67">
      <c r="BN682" s="15"/>
      <c r="BO682" s="15"/>
    </row>
    <row r="683" spans="66:67">
      <c r="BN683" s="15"/>
      <c r="BO683" s="15"/>
    </row>
    <row r="684" spans="66:67">
      <c r="BN684" s="15"/>
      <c r="BO684" s="15"/>
    </row>
    <row r="685" spans="66:67">
      <c r="BN685" s="15"/>
      <c r="BO685" s="15"/>
    </row>
    <row r="686" spans="66:67">
      <c r="BN686" s="15"/>
      <c r="BO686" s="15"/>
    </row>
    <row r="687" spans="66:67">
      <c r="BN687" s="15"/>
      <c r="BO687" s="15"/>
    </row>
    <row r="688" spans="66:67">
      <c r="BN688" s="15"/>
      <c r="BO688" s="15"/>
    </row>
    <row r="689" spans="66:67">
      <c r="BN689" s="15"/>
      <c r="BO689" s="15"/>
    </row>
    <row r="690" spans="66:67">
      <c r="BN690" s="15"/>
      <c r="BO690" s="15"/>
    </row>
    <row r="691" spans="66:67">
      <c r="BN691" s="15"/>
      <c r="BO691" s="15"/>
    </row>
    <row r="692" spans="66:67">
      <c r="BN692" s="15"/>
      <c r="BO692" s="15"/>
    </row>
    <row r="693" spans="66:67">
      <c r="BN693" s="15"/>
      <c r="BO693" s="15"/>
    </row>
    <row r="694" spans="66:67">
      <c r="BN694" s="15"/>
      <c r="BO694" s="15"/>
    </row>
    <row r="695" spans="66:67">
      <c r="BN695" s="15"/>
      <c r="BO695" s="15"/>
    </row>
    <row r="696" spans="66:67">
      <c r="BN696" s="15"/>
      <c r="BO696" s="15"/>
    </row>
    <row r="697" spans="66:67">
      <c r="BN697" s="15"/>
      <c r="BO697" s="15"/>
    </row>
    <row r="698" spans="66:67">
      <c r="BN698" s="15"/>
      <c r="BO698" s="15"/>
    </row>
    <row r="699" spans="66:67">
      <c r="BN699" s="15"/>
      <c r="BO699" s="15"/>
    </row>
    <row r="700" spans="66:67">
      <c r="BN700" s="15"/>
      <c r="BO700" s="15"/>
    </row>
    <row r="701" spans="66:67">
      <c r="BN701" s="15"/>
      <c r="BO701" s="15"/>
    </row>
    <row r="702" spans="66:67">
      <c r="BN702" s="15"/>
      <c r="BO702" s="15"/>
    </row>
    <row r="703" spans="66:67">
      <c r="BN703" s="15"/>
      <c r="BO703" s="15"/>
    </row>
    <row r="704" spans="66:67">
      <c r="BN704" s="15"/>
      <c r="BO704" s="15"/>
    </row>
    <row r="705" spans="66:67">
      <c r="BN705" s="15"/>
      <c r="BO705" s="15"/>
    </row>
    <row r="706" spans="66:67">
      <c r="BN706" s="15"/>
      <c r="BO706" s="15"/>
    </row>
    <row r="707" spans="66:67">
      <c r="BN707" s="15"/>
      <c r="BO707" s="15"/>
    </row>
    <row r="708" spans="66:67">
      <c r="BN708" s="15"/>
      <c r="BO708" s="15"/>
    </row>
    <row r="709" spans="66:67">
      <c r="BN709" s="15"/>
      <c r="BO709" s="15"/>
    </row>
    <row r="710" spans="66:67">
      <c r="BN710" s="15"/>
      <c r="BO710" s="15"/>
    </row>
    <row r="711" spans="66:67">
      <c r="BN711" s="15"/>
      <c r="BO711" s="15"/>
    </row>
    <row r="712" spans="66:67">
      <c r="BN712" s="15"/>
      <c r="BO712" s="15"/>
    </row>
    <row r="713" spans="66:67">
      <c r="BN713" s="15"/>
      <c r="BO713" s="15"/>
    </row>
    <row r="714" spans="66:67">
      <c r="BN714" s="15"/>
      <c r="BO714" s="15"/>
    </row>
    <row r="715" spans="66:67">
      <c r="BN715" s="15"/>
      <c r="BO715" s="15"/>
    </row>
    <row r="716" spans="66:67">
      <c r="BN716" s="15"/>
      <c r="BO716" s="15"/>
    </row>
    <row r="717" spans="66:67">
      <c r="BN717" s="15"/>
      <c r="BO717" s="15"/>
    </row>
    <row r="718" spans="66:67">
      <c r="BN718" s="15"/>
      <c r="BO718" s="15"/>
    </row>
    <row r="719" spans="66:67">
      <c r="BN719" s="15"/>
      <c r="BO719" s="15"/>
    </row>
    <row r="720" spans="66:67">
      <c r="BN720" s="15"/>
      <c r="BO720" s="15"/>
    </row>
    <row r="721" spans="66:67">
      <c r="BN721" s="15"/>
      <c r="BO721" s="15"/>
    </row>
    <row r="722" spans="66:67">
      <c r="BN722" s="15"/>
      <c r="BO722" s="15"/>
    </row>
    <row r="723" spans="66:67">
      <c r="BN723" s="15"/>
      <c r="BO723" s="15"/>
    </row>
    <row r="724" spans="66:67">
      <c r="BN724" s="15"/>
      <c r="BO724" s="15"/>
    </row>
    <row r="725" spans="66:67">
      <c r="BN725" s="15"/>
      <c r="BO725" s="15"/>
    </row>
    <row r="726" spans="66:67">
      <c r="BN726" s="15"/>
      <c r="BO726" s="15"/>
    </row>
    <row r="727" spans="66:67">
      <c r="BN727" s="15"/>
      <c r="BO727" s="15"/>
    </row>
    <row r="728" spans="66:67">
      <c r="BN728" s="15"/>
      <c r="BO728" s="15"/>
    </row>
    <row r="729" spans="66:67">
      <c r="BN729" s="15"/>
      <c r="BO729" s="15"/>
    </row>
    <row r="730" spans="66:67">
      <c r="BN730" s="15"/>
      <c r="BO730" s="15"/>
    </row>
    <row r="731" spans="66:67">
      <c r="BN731" s="15"/>
      <c r="BO731" s="15"/>
    </row>
    <row r="732" spans="66:67">
      <c r="BN732" s="15"/>
      <c r="BO732" s="15"/>
    </row>
    <row r="733" spans="66:67">
      <c r="BN733" s="15"/>
      <c r="BO733" s="15"/>
    </row>
    <row r="734" spans="66:67">
      <c r="BN734" s="15"/>
      <c r="BO734" s="15"/>
    </row>
    <row r="735" spans="66:67">
      <c r="BN735" s="15"/>
      <c r="BO735" s="15"/>
    </row>
    <row r="736" spans="66:67">
      <c r="BN736" s="15"/>
      <c r="BO736" s="15"/>
    </row>
    <row r="737" spans="66:67">
      <c r="BN737" s="15"/>
      <c r="BO737" s="15"/>
    </row>
    <row r="738" spans="66:67">
      <c r="BN738" s="15"/>
      <c r="BO738" s="15"/>
    </row>
    <row r="739" spans="66:67">
      <c r="BN739" s="15"/>
      <c r="BO739" s="15"/>
    </row>
    <row r="740" spans="66:67">
      <c r="BN740" s="15"/>
      <c r="BO740" s="15"/>
    </row>
    <row r="741" spans="66:67">
      <c r="BN741" s="15"/>
      <c r="BO741" s="15"/>
    </row>
    <row r="742" spans="66:67">
      <c r="BN742" s="15"/>
      <c r="BO742" s="15"/>
    </row>
    <row r="743" spans="66:67">
      <c r="BN743" s="15"/>
      <c r="BO743" s="15"/>
    </row>
    <row r="744" spans="66:67">
      <c r="BN744" s="15"/>
      <c r="BO744" s="15"/>
    </row>
    <row r="745" spans="66:67">
      <c r="BN745" s="15"/>
      <c r="BO745" s="15"/>
    </row>
    <row r="746" spans="66:67">
      <c r="BN746" s="15"/>
      <c r="BO746" s="15"/>
    </row>
    <row r="747" spans="66:67">
      <c r="BN747" s="15"/>
      <c r="BO747" s="15"/>
    </row>
    <row r="748" spans="66:67">
      <c r="BN748" s="15"/>
      <c r="BO748" s="15"/>
    </row>
    <row r="749" spans="66:67">
      <c r="BN749" s="15"/>
      <c r="BO749" s="15"/>
    </row>
    <row r="750" spans="66:67">
      <c r="BN750" s="15"/>
      <c r="BO750" s="15"/>
    </row>
    <row r="751" spans="66:67">
      <c r="BN751" s="15"/>
      <c r="BO751" s="15"/>
    </row>
    <row r="752" spans="66:67">
      <c r="BN752" s="15"/>
      <c r="BO752" s="15"/>
    </row>
    <row r="753" spans="66:67">
      <c r="BN753" s="15"/>
      <c r="BO753" s="15"/>
    </row>
    <row r="754" spans="66:67">
      <c r="BN754" s="15"/>
      <c r="BO754" s="15"/>
    </row>
    <row r="755" spans="66:67">
      <c r="BN755" s="15"/>
      <c r="BO755" s="15"/>
    </row>
    <row r="756" spans="66:67">
      <c r="BN756" s="15"/>
      <c r="BO756" s="15"/>
    </row>
    <row r="757" spans="66:67">
      <c r="BN757" s="15"/>
      <c r="BO757" s="15"/>
    </row>
    <row r="758" spans="66:67">
      <c r="BN758" s="15"/>
      <c r="BO758" s="15"/>
    </row>
    <row r="759" spans="66:67">
      <c r="BN759" s="15"/>
      <c r="BO759" s="15"/>
    </row>
    <row r="760" spans="66:67">
      <c r="BN760" s="15"/>
      <c r="BO760" s="15"/>
    </row>
    <row r="761" spans="66:67">
      <c r="BN761" s="15"/>
      <c r="BO761" s="15"/>
    </row>
    <row r="762" spans="66:67">
      <c r="BN762" s="15"/>
      <c r="BO762" s="15"/>
    </row>
    <row r="763" spans="66:67">
      <c r="BN763" s="15"/>
      <c r="BO763" s="15"/>
    </row>
    <row r="764" spans="66:67">
      <c r="BN764" s="15"/>
      <c r="BO764" s="15"/>
    </row>
    <row r="765" spans="66:67">
      <c r="BN765" s="15"/>
      <c r="BO765" s="15"/>
    </row>
    <row r="766" spans="66:67">
      <c r="BN766" s="15"/>
      <c r="BO766" s="15"/>
    </row>
    <row r="767" spans="66:67">
      <c r="BN767" s="15"/>
      <c r="BO767" s="15"/>
    </row>
    <row r="768" spans="66:67">
      <c r="BN768" s="15"/>
      <c r="BO768" s="15"/>
    </row>
    <row r="769" spans="66:67">
      <c r="BN769" s="15"/>
      <c r="BO769" s="15"/>
    </row>
    <row r="770" spans="66:67">
      <c r="BN770" s="15"/>
      <c r="BO770" s="15"/>
    </row>
    <row r="771" spans="66:67">
      <c r="BN771" s="15"/>
      <c r="BO771" s="15"/>
    </row>
    <row r="772" spans="66:67">
      <c r="BN772" s="15"/>
      <c r="BO772" s="15"/>
    </row>
    <row r="773" spans="66:67">
      <c r="BN773" s="15"/>
      <c r="BO773" s="15"/>
    </row>
    <row r="774" spans="66:67">
      <c r="BN774" s="15"/>
      <c r="BO774" s="15"/>
    </row>
    <row r="775" spans="66:67">
      <c r="BN775" s="15"/>
      <c r="BO775" s="15"/>
    </row>
    <row r="776" spans="66:67">
      <c r="BN776" s="15"/>
      <c r="BO776" s="15"/>
    </row>
    <row r="777" spans="66:67">
      <c r="BN777" s="15"/>
      <c r="BO777" s="15"/>
    </row>
    <row r="778" spans="66:67">
      <c r="BN778" s="15"/>
      <c r="BO778" s="15"/>
    </row>
    <row r="779" spans="66:67">
      <c r="BN779" s="15"/>
      <c r="BO779" s="15"/>
    </row>
    <row r="780" spans="66:67">
      <c r="BN780" s="15"/>
      <c r="BO780" s="15"/>
    </row>
    <row r="781" spans="66:67">
      <c r="BN781" s="15"/>
      <c r="BO781" s="15"/>
    </row>
    <row r="782" spans="66:67">
      <c r="BN782" s="15"/>
      <c r="BO782" s="15"/>
    </row>
    <row r="783" spans="66:67">
      <c r="BN783" s="15"/>
      <c r="BO783" s="15"/>
    </row>
    <row r="784" spans="66:67">
      <c r="BN784" s="15"/>
      <c r="BO784" s="15"/>
    </row>
    <row r="785" spans="66:67">
      <c r="BN785" s="15"/>
      <c r="BO785" s="15"/>
    </row>
    <row r="786" spans="66:67">
      <c r="BN786" s="15"/>
      <c r="BO786" s="15"/>
    </row>
    <row r="787" spans="66:67">
      <c r="BN787" s="15"/>
      <c r="BO787" s="15"/>
    </row>
    <row r="788" spans="66:67">
      <c r="BN788" s="15"/>
      <c r="BO788" s="15"/>
    </row>
    <row r="789" spans="66:67">
      <c r="BN789" s="15"/>
      <c r="BO789" s="15"/>
    </row>
    <row r="790" spans="66:67">
      <c r="BN790" s="15"/>
      <c r="BO790" s="15"/>
    </row>
    <row r="791" spans="66:67">
      <c r="BN791" s="15"/>
      <c r="BO791" s="15"/>
    </row>
    <row r="792" spans="66:67">
      <c r="BN792" s="15"/>
      <c r="BO792" s="15"/>
    </row>
    <row r="793" spans="66:67">
      <c r="BN793" s="15"/>
      <c r="BO793" s="15"/>
    </row>
    <row r="794" spans="66:67">
      <c r="BN794" s="15"/>
      <c r="BO794" s="15"/>
    </row>
    <row r="795" spans="66:67">
      <c r="BN795" s="15"/>
      <c r="BO795" s="15"/>
    </row>
    <row r="796" spans="66:67">
      <c r="BN796" s="15"/>
      <c r="BO796" s="15"/>
    </row>
    <row r="797" spans="66:67">
      <c r="BN797" s="15"/>
      <c r="BO797" s="15"/>
    </row>
    <row r="798" spans="66:67">
      <c r="BN798" s="15"/>
      <c r="BO798" s="15"/>
    </row>
    <row r="799" spans="66:67">
      <c r="BN799" s="15"/>
      <c r="BO799" s="15"/>
    </row>
    <row r="800" spans="66:67">
      <c r="BN800" s="15"/>
      <c r="BO800" s="15"/>
    </row>
    <row r="801" spans="66:67">
      <c r="BN801" s="15"/>
      <c r="BO801" s="15"/>
    </row>
    <row r="802" spans="66:67">
      <c r="BN802" s="15"/>
      <c r="BO802" s="15"/>
    </row>
    <row r="803" spans="66:67">
      <c r="BN803" s="15"/>
      <c r="BO803" s="15"/>
    </row>
    <row r="804" spans="66:67">
      <c r="BN804" s="15"/>
      <c r="BO804" s="15"/>
    </row>
    <row r="805" spans="66:67">
      <c r="BN805" s="15"/>
      <c r="BO805" s="15"/>
    </row>
    <row r="806" spans="66:67">
      <c r="BN806" s="15"/>
      <c r="BO806" s="15"/>
    </row>
    <row r="807" spans="66:67">
      <c r="BN807" s="15"/>
      <c r="BO807" s="15"/>
    </row>
    <row r="808" spans="66:67">
      <c r="BN808" s="15"/>
      <c r="BO808" s="15"/>
    </row>
    <row r="809" spans="66:67">
      <c r="BN809" s="15"/>
      <c r="BO809" s="15"/>
    </row>
    <row r="810" spans="66:67">
      <c r="BN810" s="15"/>
      <c r="BO810" s="15"/>
    </row>
    <row r="811" spans="66:67">
      <c r="BN811" s="15"/>
      <c r="BO811" s="15"/>
    </row>
    <row r="812" spans="66:67">
      <c r="BN812" s="15"/>
      <c r="BO812" s="15"/>
    </row>
    <row r="813" spans="66:67">
      <c r="BN813" s="15"/>
      <c r="BO813" s="15"/>
    </row>
    <row r="814" spans="66:67">
      <c r="BN814" s="15"/>
      <c r="BO814" s="15"/>
    </row>
    <row r="815" spans="66:67">
      <c r="BN815" s="15"/>
      <c r="BO815" s="15"/>
    </row>
    <row r="816" spans="66:67">
      <c r="BN816" s="15"/>
      <c r="BO816" s="15"/>
    </row>
    <row r="817" spans="66:67">
      <c r="BN817" s="15"/>
      <c r="BO817" s="15"/>
    </row>
    <row r="818" spans="66:67">
      <c r="BN818" s="15"/>
      <c r="BO818" s="15"/>
    </row>
    <row r="819" spans="66:67">
      <c r="BN819" s="15"/>
      <c r="BO819" s="15"/>
    </row>
    <row r="820" spans="66:67">
      <c r="BN820" s="15"/>
      <c r="BO820" s="15"/>
    </row>
    <row r="821" spans="66:67">
      <c r="BN821" s="15"/>
      <c r="BO821" s="15"/>
    </row>
    <row r="822" spans="66:67">
      <c r="BN822" s="15"/>
      <c r="BO822" s="15"/>
    </row>
    <row r="823" spans="66:67">
      <c r="BN823" s="15"/>
      <c r="BO823" s="15"/>
    </row>
    <row r="824" spans="66:67">
      <c r="BN824" s="15"/>
      <c r="BO824" s="15"/>
    </row>
    <row r="825" spans="66:67">
      <c r="BN825" s="15"/>
      <c r="BO825" s="15"/>
    </row>
    <row r="826" spans="66:67">
      <c r="BN826" s="15"/>
      <c r="BO826" s="15"/>
    </row>
    <row r="827" spans="66:67">
      <c r="BN827" s="15"/>
      <c r="BO827" s="15"/>
    </row>
    <row r="828" spans="66:67">
      <c r="BN828" s="15"/>
      <c r="BO828" s="15"/>
    </row>
    <row r="829" spans="66:67">
      <c r="BN829" s="15"/>
      <c r="BO829" s="15"/>
    </row>
    <row r="830" spans="66:67">
      <c r="BN830" s="15"/>
      <c r="BO830" s="15"/>
    </row>
    <row r="831" spans="66:67">
      <c r="BN831" s="15"/>
      <c r="BO831" s="15"/>
    </row>
    <row r="832" spans="66:67">
      <c r="BN832" s="15"/>
      <c r="BO832" s="15"/>
    </row>
    <row r="833" spans="66:67">
      <c r="BN833" s="15"/>
      <c r="BO833" s="15"/>
    </row>
    <row r="834" spans="66:67">
      <c r="BN834" s="15"/>
      <c r="BO834" s="15"/>
    </row>
    <row r="835" spans="66:67">
      <c r="BN835" s="15"/>
      <c r="BO835" s="15"/>
    </row>
    <row r="836" spans="66:67">
      <c r="BN836" s="15"/>
      <c r="BO836" s="15"/>
    </row>
    <row r="837" spans="66:67">
      <c r="BN837" s="15"/>
      <c r="BO837" s="15"/>
    </row>
    <row r="838" spans="66:67">
      <c r="BN838" s="15"/>
      <c r="BO838" s="15"/>
    </row>
    <row r="839" spans="66:67">
      <c r="BN839" s="15"/>
      <c r="BO839" s="15"/>
    </row>
    <row r="840" spans="66:67">
      <c r="BN840" s="15"/>
      <c r="BO840" s="15"/>
    </row>
    <row r="841" spans="66:67">
      <c r="BN841" s="15"/>
      <c r="BO841" s="15"/>
    </row>
    <row r="842" spans="66:67">
      <c r="BN842" s="15"/>
      <c r="BO842" s="15"/>
    </row>
    <row r="843" spans="66:67">
      <c r="BN843" s="15"/>
      <c r="BO843" s="15"/>
    </row>
    <row r="844" spans="66:67">
      <c r="BN844" s="15"/>
      <c r="BO844" s="15"/>
    </row>
    <row r="845" spans="66:67">
      <c r="BN845" s="15"/>
      <c r="BO845" s="15"/>
    </row>
    <row r="846" spans="66:67">
      <c r="BN846" s="15"/>
      <c r="BO846" s="15"/>
    </row>
    <row r="847" spans="66:67">
      <c r="BN847" s="15"/>
      <c r="BO847" s="15"/>
    </row>
    <row r="848" spans="66:67">
      <c r="BN848" s="15"/>
      <c r="BO848" s="15"/>
    </row>
    <row r="849" spans="66:67">
      <c r="BN849" s="15"/>
      <c r="BO849" s="15"/>
    </row>
    <row r="850" spans="66:67">
      <c r="BN850" s="15"/>
      <c r="BO850" s="15"/>
    </row>
    <row r="851" spans="66:67">
      <c r="BN851" s="15"/>
      <c r="BO851" s="15"/>
    </row>
    <row r="852" spans="66:67">
      <c r="BN852" s="15"/>
      <c r="BO852" s="15"/>
    </row>
    <row r="853" spans="66:67">
      <c r="BN853" s="15"/>
      <c r="BO853" s="15"/>
    </row>
    <row r="854" spans="66:67">
      <c r="BN854" s="15"/>
      <c r="BO854" s="15"/>
    </row>
    <row r="855" spans="66:67">
      <c r="BN855" s="15"/>
      <c r="BO855" s="15"/>
    </row>
    <row r="856" spans="66:67">
      <c r="BN856" s="15"/>
      <c r="BO856" s="15"/>
    </row>
    <row r="857" spans="66:67">
      <c r="BN857" s="15"/>
      <c r="BO857" s="15"/>
    </row>
    <row r="858" spans="66:67">
      <c r="BN858" s="15"/>
      <c r="BO858" s="15"/>
    </row>
    <row r="859" spans="66:67">
      <c r="BN859" s="15"/>
      <c r="BO859" s="15"/>
    </row>
    <row r="860" spans="66:67">
      <c r="BN860" s="15"/>
      <c r="BO860" s="15"/>
    </row>
    <row r="861" spans="66:67">
      <c r="BN861" s="15"/>
      <c r="BO861" s="15"/>
    </row>
    <row r="862" spans="66:67">
      <c r="BN862" s="15"/>
      <c r="BO862" s="15"/>
    </row>
    <row r="863" spans="66:67">
      <c r="BN863" s="15"/>
      <c r="BO863" s="15"/>
    </row>
    <row r="864" spans="66:67">
      <c r="BN864" s="15"/>
      <c r="BO864" s="15"/>
    </row>
    <row r="865" spans="66:67">
      <c r="BN865" s="15"/>
      <c r="BO865" s="15"/>
    </row>
    <row r="866" spans="66:67">
      <c r="BN866" s="15"/>
      <c r="BO866" s="15"/>
    </row>
    <row r="867" spans="66:67">
      <c r="BN867" s="15"/>
      <c r="BO867" s="15"/>
    </row>
    <row r="868" spans="66:67">
      <c r="BN868" s="15"/>
      <c r="BO868" s="15"/>
    </row>
    <row r="869" spans="66:67">
      <c r="BN869" s="15"/>
      <c r="BO869" s="15"/>
    </row>
    <row r="870" spans="66:67">
      <c r="BN870" s="15"/>
      <c r="BO870" s="15"/>
    </row>
    <row r="871" spans="66:67">
      <c r="BN871" s="15"/>
      <c r="BO871" s="15"/>
    </row>
    <row r="872" spans="66:67">
      <c r="BN872" s="15"/>
      <c r="BO872" s="15"/>
    </row>
    <row r="873" spans="66:67">
      <c r="BN873" s="15"/>
      <c r="BO873" s="15"/>
    </row>
    <row r="874" spans="66:67">
      <c r="BN874" s="15"/>
      <c r="BO874" s="15"/>
    </row>
    <row r="875" spans="66:67">
      <c r="BN875" s="15"/>
      <c r="BO875" s="15"/>
    </row>
    <row r="876" spans="66:67">
      <c r="BN876" s="15"/>
      <c r="BO876" s="15"/>
    </row>
    <row r="877" spans="66:67">
      <c r="BN877" s="15"/>
      <c r="BO877" s="15"/>
    </row>
    <row r="878" spans="66:67">
      <c r="BN878" s="15"/>
      <c r="BO878" s="15"/>
    </row>
    <row r="879" spans="66:67">
      <c r="BN879" s="15"/>
      <c r="BO879" s="15"/>
    </row>
    <row r="880" spans="66:67">
      <c r="BN880" s="15"/>
      <c r="BO880" s="15"/>
    </row>
    <row r="881" spans="66:67">
      <c r="BN881" s="15"/>
      <c r="BO881" s="15"/>
    </row>
    <row r="882" spans="66:67">
      <c r="BN882" s="15"/>
      <c r="BO882" s="15"/>
    </row>
    <row r="883" spans="66:67">
      <c r="BN883" s="15"/>
      <c r="BO883" s="15"/>
    </row>
    <row r="884" spans="66:67">
      <c r="BN884" s="15"/>
      <c r="BO884" s="15"/>
    </row>
    <row r="885" spans="66:67">
      <c r="BN885" s="15"/>
      <c r="BO885" s="15"/>
    </row>
    <row r="886" spans="66:67">
      <c r="BN886" s="15"/>
      <c r="BO886" s="15"/>
    </row>
    <row r="887" spans="66:67">
      <c r="BN887" s="15"/>
      <c r="BO887" s="15"/>
    </row>
    <row r="888" spans="66:67">
      <c r="BN888" s="15"/>
      <c r="BO888" s="15"/>
    </row>
    <row r="889" spans="66:67">
      <c r="BN889" s="15"/>
      <c r="BO889" s="15"/>
    </row>
    <row r="890" spans="66:67">
      <c r="BN890" s="15"/>
      <c r="BO890" s="15"/>
    </row>
    <row r="891" spans="66:67">
      <c r="BN891" s="15"/>
      <c r="BO891" s="15"/>
    </row>
    <row r="892" spans="66:67">
      <c r="BN892" s="15"/>
      <c r="BO892" s="15"/>
    </row>
    <row r="893" spans="66:67">
      <c r="BN893" s="15"/>
      <c r="BO893" s="15"/>
    </row>
    <row r="894" spans="66:67">
      <c r="BN894" s="15"/>
      <c r="BO894" s="15"/>
    </row>
    <row r="895" spans="66:67">
      <c r="BN895" s="15"/>
      <c r="BO895" s="15"/>
    </row>
    <row r="896" spans="66:67">
      <c r="BN896" s="15"/>
      <c r="BO896" s="15"/>
    </row>
    <row r="897" spans="66:67">
      <c r="BN897" s="15"/>
      <c r="BO897" s="15"/>
    </row>
    <row r="898" spans="66:67">
      <c r="BN898" s="15"/>
      <c r="BO898" s="15"/>
    </row>
    <row r="899" spans="66:67">
      <c r="BN899" s="15"/>
      <c r="BO899" s="15"/>
    </row>
    <row r="900" spans="66:67">
      <c r="BN900" s="15"/>
      <c r="BO900" s="15"/>
    </row>
    <row r="901" spans="66:67">
      <c r="BN901" s="15"/>
      <c r="BO901" s="15"/>
    </row>
    <row r="902" spans="66:67">
      <c r="BN902" s="15"/>
      <c r="BO902" s="15"/>
    </row>
    <row r="903" spans="66:67">
      <c r="BN903" s="15"/>
      <c r="BO903" s="15"/>
    </row>
    <row r="904" spans="66:67">
      <c r="BN904" s="15"/>
      <c r="BO904" s="15"/>
    </row>
    <row r="905" spans="66:67">
      <c r="BN905" s="15"/>
      <c r="BO905" s="15"/>
    </row>
    <row r="906" spans="66:67">
      <c r="BN906" s="15"/>
      <c r="BO906" s="15"/>
    </row>
    <row r="907" spans="66:67">
      <c r="BN907" s="15"/>
      <c r="BO907" s="15"/>
    </row>
    <row r="908" spans="66:67">
      <c r="BN908" s="15"/>
      <c r="BO908" s="15"/>
    </row>
    <row r="909" spans="66:67">
      <c r="BN909" s="15"/>
      <c r="BO909" s="15"/>
    </row>
    <row r="910" spans="66:67">
      <c r="BN910" s="15"/>
      <c r="BO910" s="15"/>
    </row>
    <row r="911" spans="66:67">
      <c r="BN911" s="15"/>
      <c r="BO911" s="15"/>
    </row>
    <row r="912" spans="66:67">
      <c r="BN912" s="15"/>
      <c r="BO912" s="15"/>
    </row>
    <row r="913" spans="66:67">
      <c r="BN913" s="15"/>
      <c r="BO913" s="15"/>
    </row>
    <row r="914" spans="66:67">
      <c r="BN914" s="15"/>
      <c r="BO914" s="15"/>
    </row>
    <row r="915" spans="66:67">
      <c r="BN915" s="15"/>
      <c r="BO915" s="15"/>
    </row>
    <row r="916" spans="66:67">
      <c r="BN916" s="15"/>
      <c r="BO916" s="15"/>
    </row>
    <row r="917" spans="66:67">
      <c r="BN917" s="15"/>
      <c r="BO917" s="15"/>
    </row>
    <row r="918" spans="66:67">
      <c r="BN918" s="15"/>
      <c r="BO918" s="15"/>
    </row>
    <row r="919" spans="66:67">
      <c r="BN919" s="15"/>
      <c r="BO919" s="15"/>
    </row>
    <row r="920" spans="66:67">
      <c r="BN920" s="15"/>
      <c r="BO920" s="15"/>
    </row>
    <row r="921" spans="66:67">
      <c r="BN921" s="15"/>
      <c r="BO921" s="15"/>
    </row>
    <row r="922" spans="66:67">
      <c r="BN922" s="15"/>
      <c r="BO922" s="15"/>
    </row>
    <row r="923" spans="66:67">
      <c r="BN923" s="15"/>
      <c r="BO923" s="15"/>
    </row>
    <row r="924" spans="66:67">
      <c r="BN924" s="15"/>
      <c r="BO924" s="15"/>
    </row>
    <row r="925" spans="66:67">
      <c r="BN925" s="15"/>
      <c r="BO925" s="15"/>
    </row>
    <row r="926" spans="66:67">
      <c r="BN926" s="15"/>
      <c r="BO926" s="15"/>
    </row>
    <row r="927" spans="66:67">
      <c r="BN927" s="15"/>
      <c r="BO927" s="15"/>
    </row>
    <row r="928" spans="66:67">
      <c r="BN928" s="15"/>
      <c r="BO928" s="15"/>
    </row>
    <row r="929" spans="66:67">
      <c r="BN929" s="15"/>
      <c r="BO929" s="15"/>
    </row>
    <row r="930" spans="66:67">
      <c r="BN930" s="15"/>
      <c r="BO930" s="15"/>
    </row>
    <row r="931" spans="66:67">
      <c r="BN931" s="15"/>
      <c r="BO931" s="15"/>
    </row>
    <row r="932" spans="66:67">
      <c r="BN932" s="15"/>
      <c r="BO932" s="15"/>
    </row>
    <row r="933" spans="66:67">
      <c r="BN933" s="15"/>
      <c r="BO933" s="15"/>
    </row>
    <row r="934" spans="66:67">
      <c r="BN934" s="15"/>
      <c r="BO934" s="15"/>
    </row>
    <row r="935" spans="66:67">
      <c r="BN935" s="15"/>
      <c r="BO935" s="15"/>
    </row>
    <row r="936" spans="66:67">
      <c r="BN936" s="15"/>
      <c r="BO936" s="15"/>
    </row>
    <row r="937" spans="66:67">
      <c r="BN937" s="15"/>
      <c r="BO937" s="15"/>
    </row>
    <row r="938" spans="66:67">
      <c r="BN938" s="15"/>
      <c r="BO938" s="15"/>
    </row>
    <row r="939" spans="66:67">
      <c r="BN939" s="15"/>
      <c r="BO939" s="15"/>
    </row>
    <row r="940" spans="66:67">
      <c r="BN940" s="15"/>
      <c r="BO940" s="15"/>
    </row>
    <row r="941" spans="66:67">
      <c r="BN941" s="15"/>
      <c r="BO941" s="15"/>
    </row>
    <row r="942" spans="66:67">
      <c r="BN942" s="15"/>
      <c r="BO942" s="15"/>
    </row>
    <row r="943" spans="66:67">
      <c r="BN943" s="15"/>
      <c r="BO943" s="15"/>
    </row>
    <row r="944" spans="66:67">
      <c r="BN944" s="15"/>
      <c r="BO944" s="15"/>
    </row>
    <row r="945" spans="66:67">
      <c r="BN945" s="15"/>
      <c r="BO945" s="15"/>
    </row>
    <row r="946" spans="66:67">
      <c r="BN946" s="15"/>
      <c r="BO946" s="15"/>
    </row>
    <row r="947" spans="66:67">
      <c r="BN947" s="15"/>
      <c r="BO947" s="15"/>
    </row>
    <row r="948" spans="66:67">
      <c r="BN948" s="15"/>
      <c r="BO948" s="15"/>
    </row>
    <row r="949" spans="66:67">
      <c r="BN949" s="15"/>
      <c r="BO949" s="15"/>
    </row>
    <row r="950" spans="66:67">
      <c r="BN950" s="15"/>
      <c r="BO950" s="15"/>
    </row>
    <row r="951" spans="66:67">
      <c r="BN951" s="15"/>
      <c r="BO951" s="15"/>
    </row>
    <row r="952" spans="66:67">
      <c r="BN952" s="15"/>
      <c r="BO952" s="15"/>
    </row>
    <row r="953" spans="66:67">
      <c r="BN953" s="15"/>
      <c r="BO953" s="15"/>
    </row>
    <row r="954" spans="66:67">
      <c r="BN954" s="15"/>
      <c r="BO954" s="15"/>
    </row>
    <row r="955" spans="66:67">
      <c r="BN955" s="15"/>
      <c r="BO955" s="15"/>
    </row>
    <row r="956" spans="66:67">
      <c r="BN956" s="15"/>
      <c r="BO956" s="15"/>
    </row>
    <row r="957" spans="66:67">
      <c r="BN957" s="15"/>
      <c r="BO957" s="15"/>
    </row>
    <row r="958" spans="66:67">
      <c r="BN958" s="15"/>
      <c r="BO958" s="15"/>
    </row>
    <row r="959" spans="66:67">
      <c r="BN959" s="15"/>
      <c r="BO959" s="15"/>
    </row>
    <row r="960" spans="66:67">
      <c r="BN960" s="15"/>
      <c r="BO960" s="15"/>
    </row>
    <row r="961" spans="66:67">
      <c r="BN961" s="15"/>
      <c r="BO961" s="15"/>
    </row>
    <row r="962" spans="66:67">
      <c r="BN962" s="15"/>
      <c r="BO962" s="15"/>
    </row>
    <row r="963" spans="66:67">
      <c r="BN963" s="15"/>
      <c r="BO963" s="15"/>
    </row>
    <row r="964" spans="66:67">
      <c r="BN964" s="15"/>
      <c r="BO964" s="15"/>
    </row>
    <row r="965" spans="66:67">
      <c r="BN965" s="15"/>
      <c r="BO965" s="15"/>
    </row>
    <row r="966" spans="66:67">
      <c r="BN966" s="15"/>
      <c r="BO966" s="15"/>
    </row>
    <row r="967" spans="66:67">
      <c r="BN967" s="15"/>
      <c r="BO967" s="15"/>
    </row>
    <row r="968" spans="66:67">
      <c r="BN968" s="15"/>
      <c r="BO968" s="15"/>
    </row>
    <row r="969" spans="66:67">
      <c r="BN969" s="15"/>
      <c r="BO969" s="15"/>
    </row>
    <row r="970" spans="66:67">
      <c r="BN970" s="15"/>
      <c r="BO970" s="15"/>
    </row>
    <row r="971" spans="66:67">
      <c r="BN971" s="15"/>
      <c r="BO971" s="15"/>
    </row>
    <row r="972" spans="66:67">
      <c r="BN972" s="15"/>
      <c r="BO972" s="15"/>
    </row>
    <row r="973" spans="66:67">
      <c r="BN973" s="15"/>
      <c r="BO973" s="15"/>
    </row>
    <row r="974" spans="66:67">
      <c r="BN974" s="15"/>
      <c r="BO974" s="15"/>
    </row>
    <row r="975" spans="66:67">
      <c r="BN975" s="15"/>
      <c r="BO975" s="15"/>
    </row>
    <row r="976" spans="66:67">
      <c r="BN976" s="15"/>
      <c r="BO976" s="15"/>
    </row>
    <row r="977" spans="66:67">
      <c r="BN977" s="15"/>
      <c r="BO977" s="15"/>
    </row>
    <row r="978" spans="66:67">
      <c r="BN978" s="15"/>
      <c r="BO978" s="15"/>
    </row>
    <row r="979" spans="66:67">
      <c r="BN979" s="15"/>
      <c r="BO979" s="15"/>
    </row>
    <row r="980" spans="66:67">
      <c r="BN980" s="15"/>
      <c r="BO980" s="15"/>
    </row>
    <row r="981" spans="66:67">
      <c r="BN981" s="15"/>
      <c r="BO981" s="15"/>
    </row>
    <row r="982" spans="66:67">
      <c r="BN982" s="15"/>
      <c r="BO982" s="15"/>
    </row>
    <row r="983" spans="66:67">
      <c r="BN983" s="15"/>
      <c r="BO983" s="15"/>
    </row>
    <row r="984" spans="66:67">
      <c r="BN984" s="15"/>
      <c r="BO984" s="15"/>
    </row>
    <row r="985" spans="66:67">
      <c r="BN985" s="15"/>
      <c r="BO985" s="15"/>
    </row>
    <row r="986" spans="66:67">
      <c r="BN986" s="15"/>
      <c r="BO986" s="15"/>
    </row>
    <row r="987" spans="66:67">
      <c r="BN987" s="15"/>
      <c r="BO987" s="15"/>
    </row>
    <row r="988" spans="66:67">
      <c r="BN988" s="15"/>
      <c r="BO988" s="15"/>
    </row>
    <row r="989" spans="66:67">
      <c r="BN989" s="15"/>
      <c r="BO989" s="15"/>
    </row>
    <row r="990" spans="66:67">
      <c r="BN990" s="15"/>
      <c r="BO990" s="15"/>
    </row>
    <row r="991" spans="66:67">
      <c r="BN991" s="15"/>
      <c r="BO991" s="15"/>
    </row>
    <row r="992" spans="66:67">
      <c r="BN992" s="15"/>
      <c r="BO992" s="15"/>
    </row>
    <row r="993" spans="66:67">
      <c r="BN993" s="15"/>
      <c r="BO993" s="15"/>
    </row>
    <row r="994" spans="66:67">
      <c r="BN994" s="15"/>
      <c r="BO994" s="15"/>
    </row>
    <row r="995" spans="66:67">
      <c r="BN995" s="15"/>
      <c r="BO995" s="15"/>
    </row>
    <row r="996" spans="66:67">
      <c r="BN996" s="15"/>
      <c r="BO996" s="15"/>
    </row>
    <row r="997" spans="66:67">
      <c r="BN997" s="15"/>
      <c r="BO997" s="15"/>
    </row>
    <row r="998" spans="66:67">
      <c r="BN998" s="15"/>
      <c r="BO998" s="15"/>
    </row>
    <row r="999" spans="66:67">
      <c r="BN999" s="15"/>
      <c r="BO999" s="15"/>
    </row>
    <row r="1000" spans="66:67">
      <c r="BN1000" s="15"/>
      <c r="BO1000" s="15"/>
    </row>
    <row r="1001" spans="66:67">
      <c r="BN1001" s="15"/>
      <c r="BO1001" s="15"/>
    </row>
    <row r="1002" spans="66:67">
      <c r="BN1002" s="15"/>
      <c r="BO1002" s="15"/>
    </row>
    <row r="1003" spans="66:67">
      <c r="BN1003" s="15"/>
      <c r="BO1003" s="15"/>
    </row>
    <row r="1004" spans="66:67">
      <c r="BN1004" s="15"/>
      <c r="BO1004" s="15"/>
    </row>
    <row r="1005" spans="66:67">
      <c r="BN1005" s="15"/>
      <c r="BO1005" s="15"/>
    </row>
    <row r="1006" spans="66:67">
      <c r="BN1006" s="15"/>
      <c r="BO1006" s="15"/>
    </row>
    <row r="1007" spans="66:67">
      <c r="BN1007" s="15"/>
      <c r="BO1007" s="15"/>
    </row>
    <row r="1008" spans="66:67">
      <c r="BN1008" s="15"/>
      <c r="BO1008" s="15"/>
    </row>
    <row r="1009" spans="66:67">
      <c r="BN1009" s="15"/>
      <c r="BO1009" s="15"/>
    </row>
    <row r="1010" spans="66:67">
      <c r="BN1010" s="15"/>
      <c r="BO1010" s="15"/>
    </row>
    <row r="1011" spans="66:67">
      <c r="BN1011" s="15"/>
      <c r="BO1011" s="15"/>
    </row>
    <row r="1012" spans="66:67">
      <c r="BN1012" s="15"/>
      <c r="BO1012" s="15"/>
    </row>
    <row r="1013" spans="66:67">
      <c r="BN1013" s="15"/>
      <c r="BO1013" s="15"/>
    </row>
    <row r="1014" spans="66:67">
      <c r="BN1014" s="15"/>
      <c r="BO1014" s="15"/>
    </row>
    <row r="1015" spans="66:67">
      <c r="BN1015" s="15"/>
      <c r="BO1015" s="15"/>
    </row>
    <row r="1016" spans="66:67">
      <c r="BN1016" s="15"/>
      <c r="BO1016" s="15"/>
    </row>
    <row r="1017" spans="66:67">
      <c r="BN1017" s="15"/>
      <c r="BO1017" s="15"/>
    </row>
    <row r="1018" spans="66:67">
      <c r="BN1018" s="15"/>
      <c r="BO1018" s="15"/>
    </row>
    <row r="1019" spans="66:67">
      <c r="BN1019" s="15"/>
      <c r="BO1019" s="15"/>
    </row>
    <row r="1020" spans="66:67">
      <c r="BN1020" s="15"/>
      <c r="BO1020" s="15"/>
    </row>
    <row r="1021" spans="66:67">
      <c r="BN1021" s="15"/>
      <c r="BO1021" s="15"/>
    </row>
    <row r="1022" spans="66:67">
      <c r="BN1022" s="15"/>
      <c r="BO1022" s="15"/>
    </row>
    <row r="1023" spans="66:67">
      <c r="BN1023" s="15"/>
      <c r="BO1023" s="15"/>
    </row>
    <row r="1024" spans="66:67">
      <c r="BN1024" s="15"/>
      <c r="BO1024" s="15"/>
    </row>
    <row r="1025" spans="66:67">
      <c r="BN1025" s="15"/>
      <c r="BO1025" s="15"/>
    </row>
    <row r="1026" spans="66:67">
      <c r="BN1026" s="15"/>
      <c r="BO1026" s="15"/>
    </row>
    <row r="1027" spans="66:67">
      <c r="BN1027" s="15"/>
      <c r="BO1027" s="15"/>
    </row>
    <row r="1028" spans="66:67">
      <c r="BN1028" s="15"/>
      <c r="BO1028" s="15"/>
    </row>
    <row r="1029" spans="66:67">
      <c r="BN1029" s="15"/>
      <c r="BO1029" s="15"/>
    </row>
    <row r="1030" spans="66:67">
      <c r="BN1030" s="15"/>
      <c r="BO1030" s="15"/>
    </row>
    <row r="1031" spans="66:67">
      <c r="BN1031" s="15"/>
      <c r="BO1031" s="15"/>
    </row>
    <row r="1032" spans="66:67">
      <c r="BN1032" s="15"/>
      <c r="BO1032" s="15"/>
    </row>
    <row r="1033" spans="66:67">
      <c r="BN1033" s="15"/>
      <c r="BO1033" s="15"/>
    </row>
    <row r="1034" spans="66:67">
      <c r="BN1034" s="15"/>
      <c r="BO1034" s="15"/>
    </row>
    <row r="1035" spans="66:67">
      <c r="BN1035" s="15"/>
      <c r="BO1035" s="15"/>
    </row>
    <row r="1036" spans="66:67">
      <c r="BN1036" s="15"/>
      <c r="BO1036" s="15"/>
    </row>
    <row r="1037" spans="66:67">
      <c r="BN1037" s="15"/>
      <c r="BO1037" s="15"/>
    </row>
    <row r="1038" spans="66:67">
      <c r="BN1038" s="15"/>
      <c r="BO1038" s="15"/>
    </row>
    <row r="1039" spans="66:67">
      <c r="BN1039" s="15"/>
      <c r="BO1039" s="15"/>
    </row>
    <row r="1040" spans="66:67">
      <c r="BN1040" s="15"/>
      <c r="BO1040" s="15"/>
    </row>
    <row r="1041" spans="66:67">
      <c r="BN1041" s="15"/>
      <c r="BO1041" s="15"/>
    </row>
    <row r="1042" spans="66:67">
      <c r="BN1042" s="15"/>
      <c r="BO1042" s="15"/>
    </row>
    <row r="1043" spans="66:67">
      <c r="BN1043" s="15"/>
      <c r="BO1043" s="15"/>
    </row>
    <row r="1044" spans="66:67">
      <c r="BN1044" s="15"/>
      <c r="BO1044" s="15"/>
    </row>
    <row r="1045" spans="66:67">
      <c r="BN1045" s="15"/>
      <c r="BO1045" s="15"/>
    </row>
    <row r="1046" spans="66:67">
      <c r="BN1046" s="15"/>
      <c r="BO1046" s="15"/>
    </row>
    <row r="1047" spans="66:67">
      <c r="BN1047" s="15"/>
      <c r="BO1047" s="15"/>
    </row>
    <row r="1048" spans="66:67">
      <c r="BN1048" s="15"/>
      <c r="BO1048" s="15"/>
    </row>
    <row r="1049" spans="66:67">
      <c r="BN1049" s="15"/>
      <c r="BO1049" s="15"/>
    </row>
    <row r="1050" spans="66:67">
      <c r="BN1050" s="15"/>
      <c r="BO1050" s="15"/>
    </row>
    <row r="1051" spans="66:67">
      <c r="BN1051" s="15"/>
      <c r="BO1051" s="15"/>
    </row>
    <row r="1052" spans="66:67">
      <c r="BN1052" s="15"/>
      <c r="BO1052" s="15"/>
    </row>
    <row r="1053" spans="66:67">
      <c r="BN1053" s="15"/>
      <c r="BO1053" s="15"/>
    </row>
    <row r="1054" spans="66:67">
      <c r="BN1054" s="15"/>
      <c r="BO1054" s="15"/>
    </row>
    <row r="1055" spans="66:67">
      <c r="BN1055" s="15"/>
      <c r="BO1055" s="15"/>
    </row>
    <row r="1056" spans="66:67">
      <c r="BN1056" s="15"/>
      <c r="BO1056" s="15"/>
    </row>
    <row r="1057" spans="66:67">
      <c r="BN1057" s="15"/>
      <c r="BO1057" s="15"/>
    </row>
  </sheetData>
  <autoFilter ref="R1:X55" xr:uid="{00000000-0009-0000-0000-00000E000000}"/>
  <phoneticPr fontId="71"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D5052-0D8C-4A2C-8CB3-FCC88961ADC9}">
  <sheetPr codeName="Sheet16"/>
  <dimension ref="A1:H76"/>
  <sheetViews>
    <sheetView workbookViewId="0">
      <selection activeCell="E13" sqref="E13"/>
    </sheetView>
  </sheetViews>
  <sheetFormatPr defaultRowHeight="16.5"/>
  <cols>
    <col min="1" max="1" width="6.5" bestFit="1" customWidth="1"/>
    <col min="2" max="2" width="8" bestFit="1" customWidth="1"/>
    <col min="3" max="3" width="6.375" bestFit="1" customWidth="1"/>
    <col min="4" max="4" width="6.125" bestFit="1" customWidth="1"/>
  </cols>
  <sheetData>
    <row r="1" spans="1:5">
      <c r="A1" s="160" t="s">
        <v>4020</v>
      </c>
      <c r="B1" s="160" t="s">
        <v>4017</v>
      </c>
      <c r="C1" s="160" t="s">
        <v>4019</v>
      </c>
      <c r="D1" s="160" t="s">
        <v>4016</v>
      </c>
      <c r="E1" s="160" t="s">
        <v>4018</v>
      </c>
    </row>
    <row r="2" spans="1:5">
      <c r="A2" s="1">
        <v>41001</v>
      </c>
      <c r="B2">
        <v>1</v>
      </c>
      <c r="C2">
        <v>40</v>
      </c>
      <c r="D2">
        <v>1</v>
      </c>
      <c r="E2">
        <v>1</v>
      </c>
    </row>
    <row r="3" spans="1:5">
      <c r="A3" s="1">
        <v>41002</v>
      </c>
      <c r="B3">
        <v>1</v>
      </c>
      <c r="C3">
        <v>40</v>
      </c>
      <c r="D3">
        <v>2</v>
      </c>
      <c r="E3">
        <v>2</v>
      </c>
    </row>
    <row r="4" spans="1:5">
      <c r="A4" s="1">
        <v>41003</v>
      </c>
      <c r="B4">
        <v>1</v>
      </c>
      <c r="C4">
        <v>40</v>
      </c>
      <c r="D4">
        <v>3</v>
      </c>
      <c r="E4">
        <v>3</v>
      </c>
    </row>
    <row r="5" spans="1:5">
      <c r="A5" s="1">
        <v>51001</v>
      </c>
      <c r="B5">
        <v>1</v>
      </c>
      <c r="C5">
        <v>51</v>
      </c>
      <c r="D5">
        <v>1</v>
      </c>
      <c r="E5">
        <v>1</v>
      </c>
    </row>
    <row r="6" spans="1:5">
      <c r="A6" s="1">
        <v>51002</v>
      </c>
      <c r="B6">
        <v>1</v>
      </c>
      <c r="C6">
        <v>51</v>
      </c>
      <c r="D6">
        <v>2</v>
      </c>
      <c r="E6">
        <v>2</v>
      </c>
    </row>
    <row r="7" spans="1:5">
      <c r="A7" s="1">
        <v>51003</v>
      </c>
      <c r="B7">
        <v>1</v>
      </c>
      <c r="C7">
        <v>51</v>
      </c>
      <c r="D7">
        <v>3</v>
      </c>
      <c r="E7">
        <v>3</v>
      </c>
    </row>
    <row r="8" spans="1:5">
      <c r="A8" s="1">
        <v>51004</v>
      </c>
      <c r="B8">
        <v>1</v>
      </c>
      <c r="C8">
        <v>51</v>
      </c>
      <c r="D8">
        <v>4</v>
      </c>
      <c r="E8">
        <v>4</v>
      </c>
    </row>
    <row r="9" spans="1:5">
      <c r="A9" s="115">
        <v>51005</v>
      </c>
      <c r="B9" s="118">
        <v>1</v>
      </c>
      <c r="C9" s="118">
        <v>51</v>
      </c>
      <c r="D9" s="118">
        <v>5</v>
      </c>
      <c r="E9" s="118">
        <v>1</v>
      </c>
    </row>
    <row r="10" spans="1:5">
      <c r="A10" s="115">
        <v>51006</v>
      </c>
      <c r="B10" s="118">
        <v>1</v>
      </c>
      <c r="C10" s="118">
        <v>51</v>
      </c>
      <c r="D10" s="118">
        <v>6</v>
      </c>
      <c r="E10" s="118">
        <v>2</v>
      </c>
    </row>
    <row r="11" spans="1:5">
      <c r="A11" s="1">
        <v>52001</v>
      </c>
      <c r="B11">
        <v>1</v>
      </c>
      <c r="C11">
        <v>52</v>
      </c>
      <c r="D11">
        <v>1</v>
      </c>
      <c r="E11">
        <v>1</v>
      </c>
    </row>
    <row r="12" spans="1:5">
      <c r="A12" s="1">
        <v>52001</v>
      </c>
      <c r="B12">
        <v>1</v>
      </c>
      <c r="C12">
        <v>52</v>
      </c>
      <c r="D12">
        <v>2</v>
      </c>
      <c r="E12">
        <v>2</v>
      </c>
    </row>
    <row r="13" spans="1:5">
      <c r="A13" s="1">
        <v>53001</v>
      </c>
      <c r="B13">
        <v>1</v>
      </c>
      <c r="C13">
        <v>53</v>
      </c>
      <c r="D13">
        <v>1</v>
      </c>
      <c r="E13">
        <v>1</v>
      </c>
    </row>
    <row r="14" spans="1:5">
      <c r="A14" s="1">
        <v>54001</v>
      </c>
      <c r="B14">
        <v>1</v>
      </c>
      <c r="C14">
        <v>54</v>
      </c>
      <c r="D14">
        <v>1</v>
      </c>
      <c r="E14">
        <v>1</v>
      </c>
    </row>
    <row r="15" spans="1:5">
      <c r="A15" s="1">
        <v>55001</v>
      </c>
      <c r="B15">
        <v>1</v>
      </c>
      <c r="C15">
        <v>55</v>
      </c>
      <c r="D15">
        <v>1</v>
      </c>
      <c r="E15">
        <v>1</v>
      </c>
    </row>
    <row r="16" spans="1:5">
      <c r="A16" s="1">
        <v>55002</v>
      </c>
      <c r="B16">
        <v>1</v>
      </c>
      <c r="C16">
        <v>55</v>
      </c>
      <c r="D16">
        <v>2</v>
      </c>
      <c r="E16">
        <v>2</v>
      </c>
    </row>
    <row r="17" spans="1:8">
      <c r="A17" s="1">
        <v>56001</v>
      </c>
      <c r="B17">
        <v>1</v>
      </c>
      <c r="C17">
        <v>56</v>
      </c>
      <c r="D17">
        <v>1</v>
      </c>
      <c r="E17">
        <v>1</v>
      </c>
    </row>
    <row r="18" spans="1:8">
      <c r="A18" s="1">
        <v>57001</v>
      </c>
      <c r="B18">
        <v>1</v>
      </c>
      <c r="C18">
        <v>57</v>
      </c>
      <c r="D18">
        <v>1</v>
      </c>
      <c r="E18">
        <v>1</v>
      </c>
    </row>
    <row r="19" spans="1:8">
      <c r="A19" s="1">
        <v>57002</v>
      </c>
      <c r="B19">
        <v>1</v>
      </c>
      <c r="C19">
        <v>57</v>
      </c>
      <c r="D19">
        <v>2</v>
      </c>
      <c r="E19">
        <v>2</v>
      </c>
    </row>
    <row r="20" spans="1:8">
      <c r="A20" s="1">
        <v>58001</v>
      </c>
      <c r="B20">
        <v>1</v>
      </c>
      <c r="C20">
        <v>58</v>
      </c>
      <c r="D20">
        <v>1</v>
      </c>
      <c r="E20">
        <v>1</v>
      </c>
    </row>
    <row r="21" spans="1:8">
      <c r="A21" s="1">
        <v>58002</v>
      </c>
      <c r="B21">
        <v>1</v>
      </c>
      <c r="C21">
        <v>58</v>
      </c>
      <c r="D21">
        <v>2</v>
      </c>
      <c r="E21">
        <v>2</v>
      </c>
    </row>
    <row r="22" spans="1:8">
      <c r="A22" s="1">
        <v>59001</v>
      </c>
      <c r="B22">
        <v>1</v>
      </c>
      <c r="C22">
        <v>59</v>
      </c>
      <c r="D22">
        <v>1</v>
      </c>
      <c r="E22">
        <v>1</v>
      </c>
    </row>
    <row r="23" spans="1:8">
      <c r="A23" s="1">
        <v>59002</v>
      </c>
      <c r="B23">
        <v>1</v>
      </c>
      <c r="C23">
        <v>59</v>
      </c>
      <c r="D23">
        <v>2</v>
      </c>
      <c r="E23">
        <v>2</v>
      </c>
    </row>
    <row r="24" spans="1:8">
      <c r="A24" s="1">
        <v>59003</v>
      </c>
      <c r="B24">
        <v>1</v>
      </c>
      <c r="C24">
        <v>59</v>
      </c>
      <c r="D24">
        <v>3</v>
      </c>
      <c r="E24">
        <v>3</v>
      </c>
    </row>
    <row r="25" spans="1:8">
      <c r="A25" s="1">
        <v>59004</v>
      </c>
      <c r="B25">
        <v>1</v>
      </c>
      <c r="C25">
        <v>59</v>
      </c>
      <c r="D25">
        <v>4</v>
      </c>
      <c r="E25">
        <v>4</v>
      </c>
    </row>
    <row r="26" spans="1:8">
      <c r="A26" s="115">
        <v>41001</v>
      </c>
      <c r="B26" s="118">
        <v>2</v>
      </c>
      <c r="C26" s="118">
        <v>40</v>
      </c>
      <c r="D26" s="118">
        <v>1</v>
      </c>
      <c r="E26" s="118">
        <v>1</v>
      </c>
    </row>
    <row r="27" spans="1:8">
      <c r="A27" s="115">
        <v>41002</v>
      </c>
      <c r="B27" s="118">
        <v>2</v>
      </c>
      <c r="C27" s="118">
        <v>40</v>
      </c>
      <c r="D27" s="118">
        <v>2</v>
      </c>
      <c r="E27" s="118">
        <v>2</v>
      </c>
    </row>
    <row r="28" spans="1:8">
      <c r="A28" s="115">
        <v>41003</v>
      </c>
      <c r="B28" s="118">
        <v>2</v>
      </c>
      <c r="C28" s="118">
        <v>40</v>
      </c>
      <c r="D28" s="118">
        <v>3</v>
      </c>
      <c r="E28" s="118">
        <v>3</v>
      </c>
    </row>
    <row r="29" spans="1:8">
      <c r="A29" s="115">
        <v>41004</v>
      </c>
      <c r="B29" s="118">
        <v>2</v>
      </c>
      <c r="C29" s="118">
        <v>40</v>
      </c>
      <c r="D29" s="118">
        <v>4</v>
      </c>
      <c r="E29" s="118">
        <v>1</v>
      </c>
      <c r="H29" s="1"/>
    </row>
    <row r="30" spans="1:8">
      <c r="A30" s="115">
        <v>41005</v>
      </c>
      <c r="B30" s="118">
        <v>2</v>
      </c>
      <c r="C30" s="118">
        <v>40</v>
      </c>
      <c r="D30" s="118">
        <v>5</v>
      </c>
      <c r="E30" s="118">
        <v>2</v>
      </c>
      <c r="H30" s="1"/>
    </row>
    <row r="31" spans="1:8">
      <c r="A31" s="115">
        <v>51001</v>
      </c>
      <c r="B31" s="118">
        <v>2</v>
      </c>
      <c r="C31" s="118">
        <v>51</v>
      </c>
      <c r="D31" s="118">
        <v>1</v>
      </c>
      <c r="E31" s="118">
        <v>1</v>
      </c>
    </row>
    <row r="32" spans="1:8">
      <c r="A32" s="115">
        <v>51002</v>
      </c>
      <c r="B32" s="118">
        <v>2</v>
      </c>
      <c r="C32" s="118">
        <v>51</v>
      </c>
      <c r="D32" s="118">
        <v>2</v>
      </c>
      <c r="E32" s="118">
        <v>2</v>
      </c>
    </row>
    <row r="33" spans="1:6">
      <c r="A33" s="115">
        <v>51003</v>
      </c>
      <c r="B33" s="118">
        <v>2</v>
      </c>
      <c r="C33" s="118">
        <v>51</v>
      </c>
      <c r="D33" s="118">
        <v>3</v>
      </c>
      <c r="E33" s="118">
        <v>3</v>
      </c>
    </row>
    <row r="34" spans="1:6">
      <c r="A34" s="115">
        <v>51004</v>
      </c>
      <c r="B34" s="118">
        <v>2</v>
      </c>
      <c r="C34" s="118">
        <v>51</v>
      </c>
      <c r="D34" s="118">
        <v>4</v>
      </c>
      <c r="E34" s="118">
        <v>4</v>
      </c>
    </row>
    <row r="35" spans="1:6">
      <c r="A35" s="115">
        <v>51005</v>
      </c>
      <c r="B35" s="118">
        <v>2</v>
      </c>
      <c r="C35" s="118">
        <v>51</v>
      </c>
      <c r="D35" s="118">
        <v>5</v>
      </c>
      <c r="E35" s="118">
        <v>5</v>
      </c>
    </row>
    <row r="36" spans="1:6">
      <c r="A36" s="115">
        <v>51007</v>
      </c>
      <c r="B36" s="118">
        <v>2</v>
      </c>
      <c r="C36" s="118">
        <v>51</v>
      </c>
      <c r="D36" s="162">
        <v>7</v>
      </c>
      <c r="E36" s="118">
        <v>1</v>
      </c>
    </row>
    <row r="37" spans="1:6">
      <c r="A37" s="115">
        <v>51008</v>
      </c>
      <c r="B37" s="118">
        <v>2</v>
      </c>
      <c r="C37" s="118">
        <v>51</v>
      </c>
      <c r="D37" s="162">
        <v>8</v>
      </c>
      <c r="E37" s="118">
        <v>2</v>
      </c>
    </row>
    <row r="38" spans="1:6">
      <c r="A38" s="115">
        <v>51009</v>
      </c>
      <c r="B38" s="118">
        <v>2</v>
      </c>
      <c r="C38" s="118">
        <v>51</v>
      </c>
      <c r="D38" s="162">
        <v>9</v>
      </c>
      <c r="E38" s="118">
        <v>3</v>
      </c>
    </row>
    <row r="39" spans="1:6">
      <c r="A39" s="115">
        <v>51010</v>
      </c>
      <c r="B39" s="118">
        <v>2</v>
      </c>
      <c r="C39" s="118">
        <v>51</v>
      </c>
      <c r="D39" s="162">
        <v>10</v>
      </c>
      <c r="E39" s="118">
        <v>4</v>
      </c>
    </row>
    <row r="40" spans="1:6">
      <c r="A40" s="115">
        <v>51011</v>
      </c>
      <c r="B40" s="118">
        <v>2</v>
      </c>
      <c r="C40" s="118">
        <v>51</v>
      </c>
      <c r="D40" s="162">
        <v>11</v>
      </c>
      <c r="E40" s="118">
        <v>3</v>
      </c>
      <c r="F40" s="115"/>
    </row>
    <row r="41" spans="1:6" ht="21.75" customHeight="1">
      <c r="A41" s="115">
        <v>51012</v>
      </c>
      <c r="B41" s="118">
        <v>2</v>
      </c>
      <c r="C41" s="118">
        <v>51</v>
      </c>
      <c r="D41" s="162">
        <v>12</v>
      </c>
      <c r="E41" s="118">
        <v>1</v>
      </c>
    </row>
    <row r="42" spans="1:6" ht="21.75" customHeight="1">
      <c r="A42" s="165">
        <v>51013</v>
      </c>
      <c r="B42" s="166">
        <v>2</v>
      </c>
      <c r="C42" s="166">
        <v>51</v>
      </c>
      <c r="D42" s="165">
        <v>13</v>
      </c>
      <c r="E42" s="166">
        <v>1</v>
      </c>
    </row>
    <row r="43" spans="1:6" ht="21.75" customHeight="1">
      <c r="A43" s="165">
        <v>51014</v>
      </c>
      <c r="B43" s="166">
        <v>2</v>
      </c>
      <c r="C43" s="166">
        <v>51</v>
      </c>
      <c r="D43" s="165">
        <v>14</v>
      </c>
      <c r="E43" s="166">
        <v>2</v>
      </c>
    </row>
    <row r="44" spans="1:6" ht="21.75" customHeight="1">
      <c r="A44" s="165">
        <v>51015</v>
      </c>
      <c r="B44" s="166">
        <v>2</v>
      </c>
      <c r="C44" s="166">
        <v>51</v>
      </c>
      <c r="D44" s="165">
        <v>15</v>
      </c>
      <c r="E44" s="166">
        <v>3</v>
      </c>
    </row>
    <row r="45" spans="1:6" ht="21.75" customHeight="1">
      <c r="A45" s="115">
        <v>52001</v>
      </c>
      <c r="B45" s="118">
        <v>2</v>
      </c>
      <c r="C45" s="118">
        <v>52</v>
      </c>
      <c r="D45" s="118">
        <v>1</v>
      </c>
      <c r="E45" s="118">
        <v>1</v>
      </c>
    </row>
    <row r="46" spans="1:6">
      <c r="A46" s="115">
        <v>52003</v>
      </c>
      <c r="B46" s="118">
        <v>2</v>
      </c>
      <c r="C46" s="118">
        <v>52</v>
      </c>
      <c r="D46" s="118">
        <v>3</v>
      </c>
      <c r="E46" s="118">
        <v>1</v>
      </c>
    </row>
    <row r="47" spans="1:6">
      <c r="A47" s="115">
        <v>52004</v>
      </c>
      <c r="B47" s="118">
        <v>2</v>
      </c>
      <c r="C47" s="118">
        <v>52</v>
      </c>
      <c r="D47" s="118">
        <v>4</v>
      </c>
      <c r="E47" s="118">
        <v>1</v>
      </c>
    </row>
    <row r="48" spans="1:6">
      <c r="A48" s="115">
        <v>52005</v>
      </c>
      <c r="B48" s="118">
        <v>2</v>
      </c>
      <c r="C48" s="118">
        <v>52</v>
      </c>
      <c r="D48" s="118">
        <v>5</v>
      </c>
      <c r="E48" s="118">
        <v>1</v>
      </c>
    </row>
    <row r="49" spans="1:5">
      <c r="A49" s="115">
        <v>52006</v>
      </c>
      <c r="B49" s="118">
        <v>2</v>
      </c>
      <c r="C49" s="118">
        <v>52</v>
      </c>
      <c r="D49" s="118">
        <v>6</v>
      </c>
      <c r="E49" s="118">
        <v>2</v>
      </c>
    </row>
    <row r="50" spans="1:5">
      <c r="A50" s="115">
        <v>52007</v>
      </c>
      <c r="B50" s="118">
        <v>2</v>
      </c>
      <c r="C50" s="118">
        <v>52</v>
      </c>
      <c r="D50" s="118">
        <v>7</v>
      </c>
      <c r="E50" s="118">
        <v>1</v>
      </c>
    </row>
    <row r="51" spans="1:5">
      <c r="A51" s="115">
        <v>53001</v>
      </c>
      <c r="B51" s="118">
        <v>2</v>
      </c>
      <c r="C51" s="118">
        <v>53</v>
      </c>
      <c r="D51" s="118">
        <v>1</v>
      </c>
      <c r="E51" s="118">
        <v>1</v>
      </c>
    </row>
    <row r="52" spans="1:5">
      <c r="A52" s="115">
        <v>54001</v>
      </c>
      <c r="B52" s="118">
        <v>2</v>
      </c>
      <c r="C52" s="118">
        <v>54</v>
      </c>
      <c r="D52" s="118">
        <v>1</v>
      </c>
      <c r="E52" s="118">
        <v>1</v>
      </c>
    </row>
    <row r="53" spans="1:5">
      <c r="A53" s="115">
        <v>55001</v>
      </c>
      <c r="B53" s="118">
        <v>2</v>
      </c>
      <c r="C53" s="118">
        <v>55</v>
      </c>
      <c r="D53" s="118">
        <v>1</v>
      </c>
      <c r="E53" s="118">
        <v>1</v>
      </c>
    </row>
    <row r="54" spans="1:5">
      <c r="A54" s="115">
        <v>55002</v>
      </c>
      <c r="B54" s="118">
        <v>2</v>
      </c>
      <c r="C54" s="118">
        <v>55</v>
      </c>
      <c r="D54" s="118">
        <v>2</v>
      </c>
      <c r="E54" s="118">
        <v>2</v>
      </c>
    </row>
    <row r="55" spans="1:5">
      <c r="A55" s="115">
        <v>56001</v>
      </c>
      <c r="B55" s="118">
        <v>2</v>
      </c>
      <c r="C55" s="118">
        <v>56</v>
      </c>
      <c r="D55" s="118">
        <v>1</v>
      </c>
      <c r="E55" s="118">
        <v>1</v>
      </c>
    </row>
    <row r="56" spans="1:5">
      <c r="A56" s="115">
        <v>56002</v>
      </c>
      <c r="B56" s="118">
        <v>2</v>
      </c>
      <c r="C56" s="118">
        <v>56</v>
      </c>
      <c r="D56" s="118">
        <v>2</v>
      </c>
      <c r="E56" s="118">
        <v>1</v>
      </c>
    </row>
    <row r="57" spans="1:5">
      <c r="A57" s="115">
        <v>56003</v>
      </c>
      <c r="B57" s="118">
        <v>2</v>
      </c>
      <c r="C57" s="118">
        <v>56</v>
      </c>
      <c r="D57" s="118">
        <v>3</v>
      </c>
      <c r="E57" s="118">
        <v>1</v>
      </c>
    </row>
    <row r="58" spans="1:5">
      <c r="A58" s="115">
        <v>56004</v>
      </c>
      <c r="B58" s="118">
        <v>2</v>
      </c>
      <c r="C58" s="118">
        <v>56</v>
      </c>
      <c r="D58" s="118">
        <v>4</v>
      </c>
      <c r="E58" s="118">
        <v>2</v>
      </c>
    </row>
    <row r="59" spans="1:5">
      <c r="A59" s="115">
        <v>56005</v>
      </c>
      <c r="B59" s="118">
        <v>2</v>
      </c>
      <c r="C59" s="118">
        <v>56</v>
      </c>
      <c r="D59" s="118">
        <v>5</v>
      </c>
      <c r="E59" s="118">
        <v>2</v>
      </c>
    </row>
    <row r="60" spans="1:5">
      <c r="A60" s="115">
        <v>57001</v>
      </c>
      <c r="B60" s="118">
        <v>2</v>
      </c>
      <c r="C60" s="118">
        <v>57</v>
      </c>
      <c r="D60" s="118">
        <v>1</v>
      </c>
      <c r="E60" s="118">
        <v>1</v>
      </c>
    </row>
    <row r="61" spans="1:5">
      <c r="A61" s="115">
        <v>57002</v>
      </c>
      <c r="B61" s="118">
        <v>2</v>
      </c>
      <c r="C61" s="118">
        <v>57</v>
      </c>
      <c r="D61" s="118">
        <v>2</v>
      </c>
      <c r="E61" s="118">
        <v>2</v>
      </c>
    </row>
    <row r="62" spans="1:5">
      <c r="A62" s="115">
        <v>57003</v>
      </c>
      <c r="B62" s="118">
        <v>2</v>
      </c>
      <c r="C62" s="118">
        <v>57</v>
      </c>
      <c r="D62" s="118">
        <v>3</v>
      </c>
      <c r="E62" s="118">
        <v>1</v>
      </c>
    </row>
    <row r="63" spans="1:5">
      <c r="A63" s="115">
        <v>58001</v>
      </c>
      <c r="B63" s="118">
        <v>2</v>
      </c>
      <c r="C63" s="118">
        <v>58</v>
      </c>
      <c r="D63" s="118">
        <v>1</v>
      </c>
      <c r="E63" s="118">
        <v>1</v>
      </c>
    </row>
    <row r="64" spans="1:5">
      <c r="A64" s="115">
        <v>58002</v>
      </c>
      <c r="B64" s="118">
        <v>2</v>
      </c>
      <c r="C64" s="118">
        <v>58</v>
      </c>
      <c r="D64" s="118">
        <v>2</v>
      </c>
      <c r="E64" s="118">
        <v>2</v>
      </c>
    </row>
    <row r="65" spans="1:5">
      <c r="A65" s="115">
        <v>58003</v>
      </c>
      <c r="B65" s="118">
        <v>2</v>
      </c>
      <c r="C65" s="118">
        <v>58</v>
      </c>
      <c r="D65" s="118">
        <v>3</v>
      </c>
      <c r="E65" s="118">
        <v>1</v>
      </c>
    </row>
    <row r="66" spans="1:5">
      <c r="A66" s="115">
        <v>58004</v>
      </c>
      <c r="B66" s="118">
        <v>2</v>
      </c>
      <c r="C66" s="118">
        <v>58</v>
      </c>
      <c r="D66" s="118">
        <v>4</v>
      </c>
      <c r="E66" s="118">
        <v>2</v>
      </c>
    </row>
    <row r="67" spans="1:5">
      <c r="A67" s="115">
        <v>58005</v>
      </c>
      <c r="B67" s="118">
        <v>2</v>
      </c>
      <c r="C67" s="118">
        <v>58</v>
      </c>
      <c r="D67" s="118">
        <v>5</v>
      </c>
      <c r="E67" s="118">
        <v>1</v>
      </c>
    </row>
    <row r="68" spans="1:5">
      <c r="A68" s="115">
        <v>58006</v>
      </c>
      <c r="B68" s="118">
        <v>2</v>
      </c>
      <c r="C68" s="118">
        <v>58</v>
      </c>
      <c r="D68" s="118">
        <v>6</v>
      </c>
      <c r="E68" s="118">
        <v>2</v>
      </c>
    </row>
    <row r="69" spans="1:5">
      <c r="A69" s="115">
        <v>59001</v>
      </c>
      <c r="B69" s="118">
        <v>2</v>
      </c>
      <c r="C69" s="118">
        <v>59</v>
      </c>
      <c r="D69" s="118">
        <v>1</v>
      </c>
      <c r="E69" s="118">
        <v>1</v>
      </c>
    </row>
    <row r="70" spans="1:5">
      <c r="A70" s="115">
        <v>59002</v>
      </c>
      <c r="B70" s="118">
        <v>2</v>
      </c>
      <c r="C70" s="118">
        <v>59</v>
      </c>
      <c r="D70" s="118">
        <v>2</v>
      </c>
      <c r="E70" s="118">
        <v>2</v>
      </c>
    </row>
    <row r="71" spans="1:5">
      <c r="A71" s="115">
        <v>59003</v>
      </c>
      <c r="B71" s="118">
        <v>2</v>
      </c>
      <c r="C71" s="118">
        <v>59</v>
      </c>
      <c r="D71" s="118">
        <v>3</v>
      </c>
      <c r="E71" s="118">
        <v>3</v>
      </c>
    </row>
    <row r="72" spans="1:5">
      <c r="A72" s="115">
        <v>59004</v>
      </c>
      <c r="B72" s="118">
        <v>2</v>
      </c>
      <c r="C72" s="118">
        <v>59</v>
      </c>
      <c r="D72" s="118">
        <v>4</v>
      </c>
      <c r="E72" s="118">
        <v>3</v>
      </c>
    </row>
    <row r="73" spans="1:5">
      <c r="A73" s="115">
        <v>59005</v>
      </c>
      <c r="B73" s="118">
        <v>2</v>
      </c>
      <c r="C73" s="118">
        <v>59</v>
      </c>
      <c r="D73" s="118">
        <v>5</v>
      </c>
      <c r="E73" s="118">
        <v>1</v>
      </c>
    </row>
    <row r="74" spans="1:5">
      <c r="A74" s="115">
        <v>59006</v>
      </c>
      <c r="B74" s="118">
        <v>2</v>
      </c>
      <c r="C74" s="118">
        <v>59</v>
      </c>
      <c r="D74" s="118">
        <v>6</v>
      </c>
      <c r="E74" s="118">
        <v>1</v>
      </c>
    </row>
    <row r="75" spans="1:5">
      <c r="A75" s="115">
        <v>59007</v>
      </c>
      <c r="B75" s="118">
        <v>2</v>
      </c>
      <c r="C75" s="118">
        <v>59</v>
      </c>
      <c r="D75" s="118">
        <v>7</v>
      </c>
      <c r="E75" s="118">
        <v>2</v>
      </c>
    </row>
    <row r="76" spans="1:5">
      <c r="A76" s="115">
        <v>59008</v>
      </c>
      <c r="B76" s="118">
        <v>2</v>
      </c>
      <c r="C76" s="118">
        <v>59</v>
      </c>
      <c r="D76" s="118">
        <v>8</v>
      </c>
      <c r="E76" s="118">
        <v>1</v>
      </c>
    </row>
  </sheetData>
  <phoneticPr fontId="71" type="noConversion"/>
  <conditionalFormatting sqref="H29:H30 F40">
    <cfRule type="expression" dxfId="1026" priority="23">
      <formula>INDIRECT("B"&amp;ROW())&lt;&gt;INDIRECT("b"&amp;ROW()+1)</formula>
    </cfRule>
  </conditionalFormatting>
  <conditionalFormatting sqref="A66:A68 A40:A44">
    <cfRule type="expression" dxfId="1025" priority="12">
      <formula>INDIRECT("B"&amp;ROW())&lt;&gt;INDIRECT("b"&amp;ROW()+1)</formula>
    </cfRule>
  </conditionalFormatting>
  <conditionalFormatting sqref="D39 A47:A48 A36:A44">
    <cfRule type="expression" dxfId="1024" priority="11">
      <formula>INDIRECT("B"&amp;ROW())&lt;&gt;INDIRECT("b"&amp;ROW()+1)</formula>
    </cfRule>
  </conditionalFormatting>
  <conditionalFormatting sqref="D36:D38">
    <cfRule type="expression" dxfId="1023" priority="10">
      <formula>INDIRECT("B"&amp;ROW())&lt;&gt;INDIRECT("b"&amp;ROW()+1)</formula>
    </cfRule>
  </conditionalFormatting>
  <conditionalFormatting sqref="D40:D41">
    <cfRule type="expression" dxfId="1022" priority="9">
      <formula>INDIRECT("B"&amp;ROW())&lt;&gt;INDIRECT("b"&amp;ROW()+1)</formula>
    </cfRule>
  </conditionalFormatting>
  <conditionalFormatting sqref="A49">
    <cfRule type="expression" dxfId="1021" priority="8">
      <formula>INDIRECT("B"&amp;ROW())&lt;&gt;INDIRECT("b"&amp;ROW()+1)</formula>
    </cfRule>
  </conditionalFormatting>
  <conditionalFormatting sqref="A50">
    <cfRule type="expression" dxfId="1020" priority="7">
      <formula>INDIRECT("B"&amp;ROW())&lt;&gt;INDIRECT("b"&amp;ROW()+1)</formula>
    </cfRule>
  </conditionalFormatting>
  <conditionalFormatting sqref="A43:A44">
    <cfRule type="expression" dxfId="1019" priority="6">
      <formula>INDIRECT("B"&amp;ROW())&lt;&gt;INDIRECT("b"&amp;ROW()+1)</formula>
    </cfRule>
  </conditionalFormatting>
  <conditionalFormatting sqref="A42:A44">
    <cfRule type="expression" dxfId="1018" priority="5">
      <formula>INDIRECT("B"&amp;ROW())&lt;&gt;INDIRECT("b"&amp;ROW()+1)</formula>
    </cfRule>
  </conditionalFormatting>
  <conditionalFormatting sqref="D42:D44">
    <cfRule type="expression" dxfId="1017" priority="4">
      <formula>INDIRECT("B"&amp;ROW())&lt;&gt;INDIRECT("b"&amp;ROW()+1)</formula>
    </cfRule>
  </conditionalFormatting>
  <conditionalFormatting sqref="D42:D44">
    <cfRule type="expression" dxfId="1016" priority="3">
      <formula>INDIRECT("B"&amp;ROW())&lt;&gt;INDIRECT("b"&amp;ROW()+1)</formula>
    </cfRule>
  </conditionalFormatting>
  <conditionalFormatting sqref="D43:D44">
    <cfRule type="expression" dxfId="1015" priority="2">
      <formula>INDIRECT("B"&amp;ROW())&lt;&gt;INDIRECT("b"&amp;ROW()+1)</formula>
    </cfRule>
  </conditionalFormatting>
  <conditionalFormatting sqref="D42:D44">
    <cfRule type="expression" dxfId="1014" priority="1">
      <formula>INDIRECT("B"&amp;ROW())&lt;&gt;INDIRECT("b"&amp;ROW()+1)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dimension ref="A1:AH177"/>
  <sheetViews>
    <sheetView topLeftCell="Q1" workbookViewId="0">
      <selection activeCell="AE1" sqref="AE1"/>
    </sheetView>
  </sheetViews>
  <sheetFormatPr defaultColWidth="9" defaultRowHeight="16.5"/>
  <cols>
    <col min="1" max="1" width="4.75" bestFit="1" customWidth="1"/>
    <col min="2" max="3" width="6.125" bestFit="1" customWidth="1"/>
    <col min="4" max="4" width="9.375" bestFit="1" customWidth="1"/>
    <col min="5" max="7" width="7.75" bestFit="1" customWidth="1"/>
    <col min="8" max="11" width="9.375" bestFit="1" customWidth="1"/>
    <col min="12" max="13" width="7.75" bestFit="1" customWidth="1"/>
    <col min="14" max="19" width="9.375" bestFit="1" customWidth="1"/>
    <col min="20" max="20" width="5.75" bestFit="1" customWidth="1"/>
    <col min="21" max="21" width="9.375" bestFit="1" customWidth="1"/>
    <col min="22" max="22" width="4.125" bestFit="1" customWidth="1"/>
    <col min="23" max="23" width="11.125" bestFit="1" customWidth="1"/>
    <col min="24" max="24" width="5.75" bestFit="1" customWidth="1"/>
    <col min="25" max="25" width="9.375" bestFit="1" customWidth="1"/>
    <col min="26" max="27" width="7.75" bestFit="1" customWidth="1"/>
    <col min="28" max="29" width="6.125" bestFit="1" customWidth="1"/>
    <col min="30" max="30" width="6.5" style="101" bestFit="1" customWidth="1"/>
    <col min="31" max="31" width="12.25" style="101" bestFit="1" customWidth="1"/>
    <col min="32" max="32" width="12.25" bestFit="1" customWidth="1"/>
  </cols>
  <sheetData>
    <row r="1" spans="1:34">
      <c r="A1" t="s">
        <v>3873</v>
      </c>
      <c r="B1" t="s">
        <v>3874</v>
      </c>
      <c r="C1" t="s">
        <v>3875</v>
      </c>
      <c r="D1" t="s">
        <v>3876</v>
      </c>
      <c r="E1" t="s">
        <v>3877</v>
      </c>
      <c r="F1" t="s">
        <v>3878</v>
      </c>
      <c r="G1" t="s">
        <v>3867</v>
      </c>
      <c r="H1" t="s">
        <v>3879</v>
      </c>
      <c r="I1" t="s">
        <v>3880</v>
      </c>
      <c r="J1" t="s">
        <v>3881</v>
      </c>
      <c r="K1" t="s">
        <v>3882</v>
      </c>
      <c r="L1" t="s">
        <v>3883</v>
      </c>
      <c r="M1" s="95" t="s">
        <v>3884</v>
      </c>
      <c r="N1" t="s">
        <v>3885</v>
      </c>
      <c r="O1" t="s">
        <v>3886</v>
      </c>
      <c r="P1" t="s">
        <v>3887</v>
      </c>
      <c r="Q1" t="s">
        <v>3888</v>
      </c>
      <c r="R1" t="s">
        <v>3889</v>
      </c>
      <c r="S1" t="s">
        <v>3890</v>
      </c>
      <c r="T1" t="s">
        <v>3891</v>
      </c>
      <c r="U1" t="s">
        <v>3892</v>
      </c>
      <c r="V1" t="s">
        <v>3893</v>
      </c>
      <c r="W1" t="s">
        <v>3894</v>
      </c>
      <c r="X1" t="s">
        <v>3895</v>
      </c>
      <c r="Y1" t="s">
        <v>3896</v>
      </c>
      <c r="Z1" t="s">
        <v>3897</v>
      </c>
      <c r="AA1" t="s">
        <v>3898</v>
      </c>
      <c r="AB1" t="s">
        <v>3899</v>
      </c>
      <c r="AC1" t="s">
        <v>3900</v>
      </c>
      <c r="AD1" s="101">
        <v>61001</v>
      </c>
      <c r="AE1" s="101">
        <v>10101</v>
      </c>
      <c r="AF1">
        <v>40001</v>
      </c>
      <c r="AG1">
        <v>101</v>
      </c>
    </row>
    <row r="2" spans="1:34">
      <c r="A2">
        <v>1</v>
      </c>
      <c r="B2" t="s">
        <v>3901</v>
      </c>
      <c r="C2" t="s">
        <v>3902</v>
      </c>
      <c r="D2" t="s">
        <v>3868</v>
      </c>
      <c r="E2" t="s">
        <v>3903</v>
      </c>
      <c r="F2" t="s">
        <v>3518</v>
      </c>
      <c r="G2" t="s">
        <v>4061</v>
      </c>
      <c r="H2" t="s">
        <v>4888</v>
      </c>
      <c r="I2" t="s">
        <v>4057</v>
      </c>
      <c r="J2" t="s">
        <v>4391</v>
      </c>
      <c r="K2" t="s">
        <v>4058</v>
      </c>
      <c r="L2" t="s">
        <v>3904</v>
      </c>
      <c r="M2" s="95"/>
      <c r="N2" t="s">
        <v>3905</v>
      </c>
      <c r="P2" t="s">
        <v>3906</v>
      </c>
      <c r="S2" t="s">
        <v>4059</v>
      </c>
      <c r="U2" t="s">
        <v>3869</v>
      </c>
      <c r="W2" t="s">
        <v>4060</v>
      </c>
      <c r="Y2" t="s">
        <v>4101</v>
      </c>
      <c r="Z2" t="s">
        <v>3908</v>
      </c>
      <c r="AA2" t="s">
        <v>3908</v>
      </c>
      <c r="AB2" t="s">
        <v>3909</v>
      </c>
      <c r="AC2" t="s">
        <v>3909</v>
      </c>
      <c r="AD2" s="101">
        <v>61002</v>
      </c>
      <c r="AE2" s="101" t="s">
        <v>3910</v>
      </c>
      <c r="AF2">
        <v>41001</v>
      </c>
      <c r="AH2">
        <v>1</v>
      </c>
    </row>
    <row r="3" spans="1:34">
      <c r="A3">
        <v>2</v>
      </c>
      <c r="B3" t="s">
        <v>3301</v>
      </c>
      <c r="C3" t="s">
        <v>3911</v>
      </c>
      <c r="D3" t="s">
        <v>3912</v>
      </c>
      <c r="E3" t="s">
        <v>3913</v>
      </c>
      <c r="F3" t="s">
        <v>3516</v>
      </c>
      <c r="G3" t="s">
        <v>4063</v>
      </c>
      <c r="H3" t="s">
        <v>3914</v>
      </c>
      <c r="I3" t="s">
        <v>4102</v>
      </c>
      <c r="J3" t="s">
        <v>4392</v>
      </c>
      <c r="K3" t="s">
        <v>4069</v>
      </c>
      <c r="M3" s="4"/>
      <c r="P3" t="s">
        <v>3915</v>
      </c>
      <c r="S3" t="s">
        <v>4070</v>
      </c>
      <c r="U3" t="s">
        <v>4742</v>
      </c>
      <c r="W3" t="s">
        <v>3870</v>
      </c>
      <c r="Y3" t="s">
        <v>3859</v>
      </c>
      <c r="Z3" t="s">
        <v>3860</v>
      </c>
      <c r="AA3" t="s">
        <v>3860</v>
      </c>
      <c r="AB3" t="s">
        <v>3861</v>
      </c>
      <c r="AC3" t="s">
        <v>3861</v>
      </c>
      <c r="AD3" s="101">
        <v>61003</v>
      </c>
      <c r="AE3" s="101">
        <v>10102</v>
      </c>
      <c r="AF3" t="s">
        <v>3916</v>
      </c>
      <c r="AG3">
        <v>101</v>
      </c>
    </row>
    <row r="4" spans="1:34">
      <c r="D4" t="s">
        <v>3872</v>
      </c>
      <c r="E4" t="s">
        <v>3871</v>
      </c>
      <c r="F4" t="s">
        <v>3517</v>
      </c>
      <c r="H4" t="s">
        <v>3862</v>
      </c>
      <c r="I4" t="s">
        <v>4064</v>
      </c>
      <c r="K4" t="s">
        <v>4071</v>
      </c>
      <c r="M4" s="4"/>
      <c r="S4" t="s">
        <v>4072</v>
      </c>
      <c r="U4" t="s">
        <v>4743</v>
      </c>
      <c r="W4" t="s">
        <v>4744</v>
      </c>
      <c r="Y4" t="s">
        <v>3863</v>
      </c>
      <c r="Z4" t="s">
        <v>3864</v>
      </c>
      <c r="AA4" t="s">
        <v>3864</v>
      </c>
      <c r="AD4" s="101">
        <v>61004</v>
      </c>
      <c r="AE4" s="101" t="s">
        <v>3917</v>
      </c>
      <c r="AF4">
        <v>41002</v>
      </c>
      <c r="AH4">
        <v>1</v>
      </c>
    </row>
    <row r="5" spans="1:34">
      <c r="D5" t="s">
        <v>3302</v>
      </c>
      <c r="E5" t="s">
        <v>4745</v>
      </c>
      <c r="H5" t="s">
        <v>3865</v>
      </c>
      <c r="I5" t="s">
        <v>4067</v>
      </c>
      <c r="K5" t="s">
        <v>4077</v>
      </c>
      <c r="S5" t="s">
        <v>4078</v>
      </c>
      <c r="W5" t="s">
        <v>4746</v>
      </c>
      <c r="Y5" t="s">
        <v>4074</v>
      </c>
      <c r="Z5" t="s">
        <v>3866</v>
      </c>
      <c r="AA5" t="s">
        <v>3866</v>
      </c>
      <c r="AE5" s="101" t="s">
        <v>3918</v>
      </c>
      <c r="AF5" t="s">
        <v>3919</v>
      </c>
    </row>
    <row r="6" spans="1:34">
      <c r="E6" t="s">
        <v>4747</v>
      </c>
      <c r="H6" t="s">
        <v>4055</v>
      </c>
      <c r="I6" t="s">
        <v>4076</v>
      </c>
      <c r="K6" t="s">
        <v>4748</v>
      </c>
      <c r="S6" t="s">
        <v>4749</v>
      </c>
      <c r="W6" t="s">
        <v>4750</v>
      </c>
      <c r="Y6" t="s">
        <v>4751</v>
      </c>
      <c r="AE6" s="101">
        <v>10103</v>
      </c>
      <c r="AF6" t="s">
        <v>3920</v>
      </c>
      <c r="AG6">
        <v>101</v>
      </c>
    </row>
    <row r="7" spans="1:34">
      <c r="E7" t="s">
        <v>4752</v>
      </c>
      <c r="H7" t="s">
        <v>4056</v>
      </c>
      <c r="I7" t="s">
        <v>4753</v>
      </c>
      <c r="W7" t="s">
        <v>4754</v>
      </c>
      <c r="Y7" t="s">
        <v>4755</v>
      </c>
      <c r="AE7" s="101">
        <v>10201</v>
      </c>
      <c r="AF7">
        <v>41003</v>
      </c>
      <c r="AG7">
        <v>102</v>
      </c>
      <c r="AH7">
        <v>1</v>
      </c>
    </row>
    <row r="8" spans="1:34">
      <c r="I8" t="s">
        <v>4756</v>
      </c>
      <c r="Y8" t="s">
        <v>4757</v>
      </c>
      <c r="AE8" s="101">
        <v>20101</v>
      </c>
      <c r="AF8">
        <v>41004</v>
      </c>
      <c r="AG8">
        <v>201</v>
      </c>
      <c r="AH8">
        <v>2</v>
      </c>
    </row>
    <row r="9" spans="1:34">
      <c r="I9" t="s">
        <v>4758</v>
      </c>
      <c r="Y9" t="s">
        <v>4759</v>
      </c>
      <c r="AE9" s="101" t="s">
        <v>3923</v>
      </c>
      <c r="AF9" t="s">
        <v>4103</v>
      </c>
    </row>
    <row r="10" spans="1:34">
      <c r="I10" t="s">
        <v>4760</v>
      </c>
      <c r="AE10" s="101">
        <v>20102</v>
      </c>
      <c r="AF10">
        <v>41005</v>
      </c>
      <c r="AG10">
        <v>201</v>
      </c>
      <c r="AH10">
        <v>2</v>
      </c>
    </row>
    <row r="11" spans="1:34">
      <c r="AE11" s="101" t="s">
        <v>3925</v>
      </c>
      <c r="AF11">
        <v>51001</v>
      </c>
      <c r="AH11">
        <v>1</v>
      </c>
    </row>
    <row r="12" spans="1:34">
      <c r="AE12" s="101" t="s">
        <v>3927</v>
      </c>
      <c r="AF12" t="s">
        <v>3921</v>
      </c>
    </row>
    <row r="13" spans="1:34">
      <c r="AE13" s="101">
        <v>20103</v>
      </c>
      <c r="AF13">
        <v>51002</v>
      </c>
      <c r="AG13">
        <v>201</v>
      </c>
      <c r="AH13">
        <v>1</v>
      </c>
    </row>
    <row r="14" spans="1:34">
      <c r="AE14" s="101">
        <v>20201</v>
      </c>
      <c r="AF14" t="s">
        <v>3922</v>
      </c>
      <c r="AG14">
        <v>202</v>
      </c>
    </row>
    <row r="15" spans="1:34">
      <c r="AE15" s="101" t="s">
        <v>3934</v>
      </c>
      <c r="AF15" t="s">
        <v>3924</v>
      </c>
    </row>
    <row r="16" spans="1:34">
      <c r="AE16" s="101">
        <v>20202</v>
      </c>
      <c r="AF16">
        <v>51003</v>
      </c>
      <c r="AG16">
        <v>202</v>
      </c>
      <c r="AH16">
        <v>1</v>
      </c>
    </row>
    <row r="17" spans="31:34">
      <c r="AE17" s="101" t="s">
        <v>3936</v>
      </c>
      <c r="AF17" t="s">
        <v>3926</v>
      </c>
    </row>
    <row r="18" spans="31:34">
      <c r="AE18" s="101" t="s">
        <v>3937</v>
      </c>
      <c r="AF18" t="s">
        <v>3928</v>
      </c>
    </row>
    <row r="19" spans="31:34">
      <c r="AE19" s="101">
        <v>20203</v>
      </c>
      <c r="AF19" t="s">
        <v>3929</v>
      </c>
      <c r="AG19">
        <v>202</v>
      </c>
    </row>
    <row r="20" spans="31:34">
      <c r="AF20">
        <v>51004</v>
      </c>
      <c r="AH20">
        <v>1</v>
      </c>
    </row>
    <row r="21" spans="31:34">
      <c r="AF21" t="s">
        <v>3930</v>
      </c>
    </row>
    <row r="22" spans="31:34">
      <c r="AF22" t="s">
        <v>3931</v>
      </c>
    </row>
    <row r="23" spans="31:34">
      <c r="AF23" t="s">
        <v>3932</v>
      </c>
    </row>
    <row r="24" spans="31:34">
      <c r="AF24" t="s">
        <v>3933</v>
      </c>
    </row>
    <row r="25" spans="31:34">
      <c r="AF25">
        <v>51005</v>
      </c>
      <c r="AH25">
        <v>1</v>
      </c>
    </row>
    <row r="26" spans="31:34">
      <c r="AF26" t="s">
        <v>4104</v>
      </c>
    </row>
    <row r="27" spans="31:34">
      <c r="AF27" t="s">
        <v>4105</v>
      </c>
    </row>
    <row r="28" spans="31:34">
      <c r="AF28" t="s">
        <v>4106</v>
      </c>
    </row>
    <row r="29" spans="31:34">
      <c r="AF29" t="s">
        <v>4107</v>
      </c>
    </row>
    <row r="30" spans="31:34">
      <c r="AF30" t="s">
        <v>4108</v>
      </c>
    </row>
    <row r="31" spans="31:34">
      <c r="AF31">
        <v>51006</v>
      </c>
      <c r="AH31">
        <v>1</v>
      </c>
    </row>
    <row r="32" spans="31:34">
      <c r="AF32">
        <v>51007</v>
      </c>
      <c r="AH32">
        <v>2</v>
      </c>
    </row>
    <row r="33" spans="32:34">
      <c r="AF33" t="s">
        <v>4109</v>
      </c>
    </row>
    <row r="34" spans="32:34">
      <c r="AF34">
        <v>51008</v>
      </c>
      <c r="AH34">
        <v>2</v>
      </c>
    </row>
    <row r="35" spans="32:34">
      <c r="AF35" t="s">
        <v>4110</v>
      </c>
    </row>
    <row r="36" spans="32:34">
      <c r="AF36" t="s">
        <v>4111</v>
      </c>
    </row>
    <row r="37" spans="32:34">
      <c r="AF37">
        <v>51009</v>
      </c>
      <c r="AH37">
        <v>2</v>
      </c>
    </row>
    <row r="38" spans="32:34">
      <c r="AF38" t="s">
        <v>4112</v>
      </c>
    </row>
    <row r="39" spans="32:34">
      <c r="AF39" t="s">
        <v>4113</v>
      </c>
    </row>
    <row r="40" spans="32:34">
      <c r="AF40" t="s">
        <v>4114</v>
      </c>
    </row>
    <row r="41" spans="32:34">
      <c r="AF41">
        <v>51010</v>
      </c>
      <c r="AH41">
        <v>2</v>
      </c>
    </row>
    <row r="42" spans="32:34">
      <c r="AF42" t="s">
        <v>4115</v>
      </c>
    </row>
    <row r="43" spans="32:34">
      <c r="AF43" t="s">
        <v>4116</v>
      </c>
    </row>
    <row r="44" spans="32:34">
      <c r="AF44" t="s">
        <v>4117</v>
      </c>
    </row>
    <row r="45" spans="32:34">
      <c r="AF45" t="s">
        <v>4118</v>
      </c>
    </row>
    <row r="46" spans="32:34">
      <c r="AF46">
        <v>51011</v>
      </c>
      <c r="AH46">
        <v>2</v>
      </c>
    </row>
    <row r="47" spans="32:34">
      <c r="AF47" t="s">
        <v>4761</v>
      </c>
    </row>
    <row r="48" spans="32:34">
      <c r="AF48" t="s">
        <v>4762</v>
      </c>
    </row>
    <row r="49" spans="32:34">
      <c r="AF49" t="s">
        <v>4763</v>
      </c>
    </row>
    <row r="50" spans="32:34">
      <c r="AF50" t="s">
        <v>4764</v>
      </c>
    </row>
    <row r="51" spans="32:34">
      <c r="AF51" t="s">
        <v>4765</v>
      </c>
    </row>
    <row r="52" spans="32:34">
      <c r="AF52">
        <v>51012</v>
      </c>
      <c r="AH52">
        <v>2</v>
      </c>
    </row>
    <row r="53" spans="32:34">
      <c r="AF53" t="s">
        <v>4766</v>
      </c>
    </row>
    <row r="54" spans="32:34">
      <c r="AF54" t="s">
        <v>4767</v>
      </c>
    </row>
    <row r="55" spans="32:34">
      <c r="AF55" t="s">
        <v>4768</v>
      </c>
    </row>
    <row r="56" spans="32:34">
      <c r="AF56" t="s">
        <v>4769</v>
      </c>
    </row>
    <row r="57" spans="32:34">
      <c r="AF57" t="s">
        <v>4770</v>
      </c>
    </row>
    <row r="58" spans="32:34">
      <c r="AF58" t="s">
        <v>4771</v>
      </c>
    </row>
    <row r="59" spans="32:34">
      <c r="AF59">
        <v>51013</v>
      </c>
      <c r="AH59">
        <v>2</v>
      </c>
    </row>
    <row r="60" spans="32:34">
      <c r="AF60" t="s">
        <v>4772</v>
      </c>
    </row>
    <row r="61" spans="32:34">
      <c r="AF61" t="s">
        <v>4773</v>
      </c>
    </row>
    <row r="62" spans="32:34">
      <c r="AF62" t="s">
        <v>4774</v>
      </c>
    </row>
    <row r="63" spans="32:34">
      <c r="AF63" t="s">
        <v>4775</v>
      </c>
    </row>
    <row r="64" spans="32:34">
      <c r="AF64" t="s">
        <v>4776</v>
      </c>
    </row>
    <row r="65" spans="32:34">
      <c r="AF65" t="s">
        <v>4777</v>
      </c>
    </row>
    <row r="66" spans="32:34">
      <c r="AF66" t="s">
        <v>4778</v>
      </c>
    </row>
    <row r="67" spans="32:34">
      <c r="AF67">
        <v>51014</v>
      </c>
      <c r="AH67">
        <v>2</v>
      </c>
    </row>
    <row r="68" spans="32:34">
      <c r="AF68" t="s">
        <v>4779</v>
      </c>
    </row>
    <row r="69" spans="32:34">
      <c r="AF69" t="s">
        <v>4780</v>
      </c>
    </row>
    <row r="70" spans="32:34">
      <c r="AF70" t="s">
        <v>4781</v>
      </c>
    </row>
    <row r="71" spans="32:34">
      <c r="AF71" t="s">
        <v>4782</v>
      </c>
    </row>
    <row r="72" spans="32:34">
      <c r="AF72" t="s">
        <v>4783</v>
      </c>
    </row>
    <row r="73" spans="32:34">
      <c r="AF73" t="s">
        <v>4784</v>
      </c>
    </row>
    <row r="74" spans="32:34">
      <c r="AF74" t="s">
        <v>4785</v>
      </c>
    </row>
    <row r="75" spans="32:34">
      <c r="AF75" t="s">
        <v>4786</v>
      </c>
    </row>
    <row r="76" spans="32:34">
      <c r="AF76">
        <v>51015</v>
      </c>
      <c r="AH76">
        <v>2</v>
      </c>
    </row>
    <row r="77" spans="32:34">
      <c r="AF77">
        <v>52001</v>
      </c>
      <c r="AH77">
        <v>1</v>
      </c>
    </row>
    <row r="78" spans="32:34">
      <c r="AF78" t="s">
        <v>4119</v>
      </c>
    </row>
    <row r="79" spans="32:34">
      <c r="AF79">
        <v>52002</v>
      </c>
      <c r="AH79">
        <v>1</v>
      </c>
    </row>
    <row r="80" spans="32:34">
      <c r="AF80">
        <v>52003</v>
      </c>
      <c r="AH80">
        <v>2</v>
      </c>
    </row>
    <row r="81" spans="32:34">
      <c r="AF81" t="s">
        <v>4120</v>
      </c>
    </row>
    <row r="82" spans="32:34">
      <c r="AF82">
        <v>52004</v>
      </c>
      <c r="AH82">
        <v>2</v>
      </c>
    </row>
    <row r="83" spans="32:34">
      <c r="AF83" t="s">
        <v>4121</v>
      </c>
    </row>
    <row r="84" spans="32:34">
      <c r="AF84" t="s">
        <v>4122</v>
      </c>
    </row>
    <row r="85" spans="32:34">
      <c r="AF85">
        <v>52005</v>
      </c>
      <c r="AH85">
        <v>2</v>
      </c>
    </row>
    <row r="86" spans="32:34">
      <c r="AF86" t="s">
        <v>4123</v>
      </c>
    </row>
    <row r="87" spans="32:34">
      <c r="AF87" t="s">
        <v>4124</v>
      </c>
    </row>
    <row r="88" spans="32:34">
      <c r="AF88" t="s">
        <v>4125</v>
      </c>
    </row>
    <row r="89" spans="32:34">
      <c r="AF89">
        <v>52006</v>
      </c>
      <c r="AH89">
        <v>2</v>
      </c>
    </row>
    <row r="90" spans="32:34">
      <c r="AF90" t="s">
        <v>4787</v>
      </c>
    </row>
    <row r="91" spans="32:34">
      <c r="AF91" t="s">
        <v>4788</v>
      </c>
    </row>
    <row r="92" spans="32:34">
      <c r="AF92" t="s">
        <v>4789</v>
      </c>
    </row>
    <row r="93" spans="32:34">
      <c r="AF93" t="s">
        <v>4790</v>
      </c>
    </row>
    <row r="94" spans="32:34">
      <c r="AF94">
        <v>52007</v>
      </c>
      <c r="AH94">
        <v>2</v>
      </c>
    </row>
    <row r="95" spans="32:34">
      <c r="AF95">
        <v>53001</v>
      </c>
      <c r="AH95">
        <v>1</v>
      </c>
    </row>
    <row r="96" spans="32:34">
      <c r="AF96">
        <v>54001</v>
      </c>
      <c r="AH96">
        <v>1</v>
      </c>
    </row>
    <row r="97" spans="32:34">
      <c r="AF97">
        <v>55001</v>
      </c>
      <c r="AH97">
        <v>1</v>
      </c>
    </row>
    <row r="98" spans="32:34">
      <c r="AF98" t="s">
        <v>3935</v>
      </c>
    </row>
    <row r="99" spans="32:34">
      <c r="AF99">
        <v>55002</v>
      </c>
      <c r="AH99">
        <v>1</v>
      </c>
    </row>
    <row r="100" spans="32:34">
      <c r="AF100">
        <v>56001</v>
      </c>
      <c r="AH100">
        <v>2</v>
      </c>
    </row>
    <row r="101" spans="32:34">
      <c r="AF101" t="s">
        <v>4126</v>
      </c>
    </row>
    <row r="102" spans="32:34">
      <c r="AF102">
        <v>56002</v>
      </c>
      <c r="AH102">
        <v>2</v>
      </c>
    </row>
    <row r="103" spans="32:34">
      <c r="AF103" t="s">
        <v>4127</v>
      </c>
    </row>
    <row r="104" spans="32:34">
      <c r="AF104" t="s">
        <v>4128</v>
      </c>
    </row>
    <row r="105" spans="32:34">
      <c r="AF105">
        <v>56003</v>
      </c>
      <c r="AH105">
        <v>2</v>
      </c>
    </row>
    <row r="106" spans="32:34">
      <c r="AF106" t="s">
        <v>4129</v>
      </c>
    </row>
    <row r="107" spans="32:34">
      <c r="AF107" t="s">
        <v>4130</v>
      </c>
    </row>
    <row r="108" spans="32:34">
      <c r="AF108" t="s">
        <v>4131</v>
      </c>
    </row>
    <row r="109" spans="32:34">
      <c r="AF109">
        <v>56004</v>
      </c>
      <c r="AH109">
        <v>2</v>
      </c>
    </row>
    <row r="110" spans="32:34">
      <c r="AF110" t="s">
        <v>4791</v>
      </c>
    </row>
    <row r="111" spans="32:34">
      <c r="AF111" t="s">
        <v>4792</v>
      </c>
    </row>
    <row r="112" spans="32:34">
      <c r="AF112" t="s">
        <v>4793</v>
      </c>
    </row>
    <row r="113" spans="32:34">
      <c r="AF113" t="s">
        <v>4794</v>
      </c>
    </row>
    <row r="114" spans="32:34">
      <c r="AF114">
        <v>56005</v>
      </c>
      <c r="AH114">
        <v>2</v>
      </c>
    </row>
    <row r="115" spans="32:34">
      <c r="AF115">
        <v>57001</v>
      </c>
      <c r="AH115">
        <v>2</v>
      </c>
    </row>
    <row r="116" spans="32:34">
      <c r="AF116" t="s">
        <v>4795</v>
      </c>
    </row>
    <row r="117" spans="32:34">
      <c r="AF117">
        <v>57002</v>
      </c>
      <c r="AH117">
        <v>2</v>
      </c>
    </row>
    <row r="118" spans="32:34">
      <c r="AF118" t="s">
        <v>4796</v>
      </c>
    </row>
    <row r="119" spans="32:34">
      <c r="AF119" t="s">
        <v>4797</v>
      </c>
    </row>
    <row r="120" spans="32:34">
      <c r="AF120">
        <v>57003</v>
      </c>
      <c r="AH120">
        <v>2</v>
      </c>
    </row>
    <row r="121" spans="32:34">
      <c r="AF121">
        <v>58001</v>
      </c>
      <c r="AH121">
        <v>2</v>
      </c>
    </row>
    <row r="122" spans="32:34">
      <c r="AF122" t="s">
        <v>3938</v>
      </c>
    </row>
    <row r="123" spans="32:34">
      <c r="AF123">
        <v>58002</v>
      </c>
      <c r="AH123">
        <v>2</v>
      </c>
    </row>
    <row r="124" spans="32:34">
      <c r="AF124" t="s">
        <v>4798</v>
      </c>
    </row>
    <row r="125" spans="32:34">
      <c r="AF125" t="s">
        <v>4799</v>
      </c>
    </row>
    <row r="126" spans="32:34">
      <c r="AF126">
        <v>58003</v>
      </c>
      <c r="AH126">
        <v>2</v>
      </c>
    </row>
    <row r="127" spans="32:34">
      <c r="AF127" t="s">
        <v>4800</v>
      </c>
    </row>
    <row r="128" spans="32:34">
      <c r="AF128" t="s">
        <v>4801</v>
      </c>
    </row>
    <row r="129" spans="32:34">
      <c r="AF129" t="s">
        <v>4802</v>
      </c>
    </row>
    <row r="130" spans="32:34">
      <c r="AF130">
        <v>58004</v>
      </c>
      <c r="AH130">
        <v>2</v>
      </c>
    </row>
    <row r="131" spans="32:34">
      <c r="AF131" t="s">
        <v>4803</v>
      </c>
    </row>
    <row r="132" spans="32:34">
      <c r="AF132" t="s">
        <v>4804</v>
      </c>
    </row>
    <row r="133" spans="32:34">
      <c r="AF133" t="s">
        <v>4805</v>
      </c>
    </row>
    <row r="134" spans="32:34">
      <c r="AF134" t="s">
        <v>4806</v>
      </c>
    </row>
    <row r="135" spans="32:34">
      <c r="AF135">
        <v>58005</v>
      </c>
      <c r="AH135">
        <v>2</v>
      </c>
    </row>
    <row r="136" spans="32:34">
      <c r="AF136" t="s">
        <v>4807</v>
      </c>
    </row>
    <row r="137" spans="32:34">
      <c r="AF137" t="s">
        <v>4808</v>
      </c>
    </row>
    <row r="138" spans="32:34">
      <c r="AF138" t="s">
        <v>4809</v>
      </c>
    </row>
    <row r="139" spans="32:34">
      <c r="AF139" t="s">
        <v>4810</v>
      </c>
    </row>
    <row r="140" spans="32:34">
      <c r="AF140" t="s">
        <v>4811</v>
      </c>
    </row>
    <row r="141" spans="32:34">
      <c r="AF141">
        <v>58006</v>
      </c>
      <c r="AH141">
        <v>2</v>
      </c>
    </row>
    <row r="142" spans="32:34">
      <c r="AF142">
        <v>59001</v>
      </c>
      <c r="AH142">
        <v>2</v>
      </c>
    </row>
    <row r="143" spans="32:34">
      <c r="AF143" t="s">
        <v>3939</v>
      </c>
    </row>
    <row r="144" spans="32:34">
      <c r="AF144">
        <v>59002</v>
      </c>
      <c r="AH144">
        <v>2</v>
      </c>
    </row>
    <row r="145" spans="32:34">
      <c r="AF145" t="s">
        <v>3940</v>
      </c>
    </row>
    <row r="146" spans="32:34">
      <c r="AF146" t="s">
        <v>3941</v>
      </c>
    </row>
    <row r="147" spans="32:34">
      <c r="AF147">
        <v>59003</v>
      </c>
      <c r="AH147">
        <v>2</v>
      </c>
    </row>
    <row r="148" spans="32:34">
      <c r="AF148" t="s">
        <v>3942</v>
      </c>
    </row>
    <row r="149" spans="32:34">
      <c r="AF149" t="s">
        <v>3943</v>
      </c>
    </row>
    <row r="150" spans="32:34">
      <c r="AF150" t="s">
        <v>3944</v>
      </c>
    </row>
    <row r="151" spans="32:34">
      <c r="AF151">
        <v>59004</v>
      </c>
      <c r="AH151">
        <v>2</v>
      </c>
    </row>
    <row r="152" spans="32:34">
      <c r="AF152" t="s">
        <v>4812</v>
      </c>
    </row>
    <row r="153" spans="32:34">
      <c r="AF153" t="s">
        <v>4813</v>
      </c>
    </row>
    <row r="154" spans="32:34">
      <c r="AF154" t="s">
        <v>4814</v>
      </c>
    </row>
    <row r="155" spans="32:34">
      <c r="AF155" t="s">
        <v>4815</v>
      </c>
    </row>
    <row r="156" spans="32:34">
      <c r="AF156">
        <v>59005</v>
      </c>
      <c r="AH156">
        <v>2</v>
      </c>
    </row>
    <row r="157" spans="32:34">
      <c r="AF157" t="s">
        <v>4816</v>
      </c>
    </row>
    <row r="158" spans="32:34">
      <c r="AF158" t="s">
        <v>4817</v>
      </c>
    </row>
    <row r="159" spans="32:34">
      <c r="AF159" t="s">
        <v>4818</v>
      </c>
    </row>
    <row r="160" spans="32:34">
      <c r="AF160" t="s">
        <v>4819</v>
      </c>
    </row>
    <row r="161" spans="32:34">
      <c r="AF161" t="s">
        <v>4820</v>
      </c>
    </row>
    <row r="162" spans="32:34">
      <c r="AF162">
        <v>59006</v>
      </c>
      <c r="AH162">
        <v>2</v>
      </c>
    </row>
    <row r="163" spans="32:34">
      <c r="AF163" t="s">
        <v>4821</v>
      </c>
    </row>
    <row r="164" spans="32:34">
      <c r="AF164" t="s">
        <v>4822</v>
      </c>
    </row>
    <row r="165" spans="32:34">
      <c r="AF165" t="s">
        <v>4823</v>
      </c>
    </row>
    <row r="166" spans="32:34">
      <c r="AF166" t="s">
        <v>4824</v>
      </c>
    </row>
    <row r="167" spans="32:34">
      <c r="AF167" t="s">
        <v>4825</v>
      </c>
    </row>
    <row r="168" spans="32:34">
      <c r="AF168" t="s">
        <v>4826</v>
      </c>
    </row>
    <row r="169" spans="32:34">
      <c r="AF169">
        <v>59007</v>
      </c>
      <c r="AH169">
        <v>2</v>
      </c>
    </row>
    <row r="170" spans="32:34">
      <c r="AF170" t="s">
        <v>4827</v>
      </c>
    </row>
    <row r="171" spans="32:34">
      <c r="AF171" t="s">
        <v>4828</v>
      </c>
    </row>
    <row r="172" spans="32:34">
      <c r="AF172" t="s">
        <v>4829</v>
      </c>
    </row>
    <row r="173" spans="32:34">
      <c r="AF173" t="s">
        <v>4830</v>
      </c>
    </row>
    <row r="174" spans="32:34">
      <c r="AF174" t="s">
        <v>4831</v>
      </c>
    </row>
    <row r="175" spans="32:34">
      <c r="AF175" t="s">
        <v>4832</v>
      </c>
    </row>
    <row r="176" spans="32:34">
      <c r="AF176" t="s">
        <v>4833</v>
      </c>
    </row>
    <row r="177" spans="32:34">
      <c r="AF177">
        <v>59008</v>
      </c>
      <c r="AH177">
        <v>2</v>
      </c>
    </row>
  </sheetData>
  <phoneticPr fontId="7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P88"/>
  <sheetViews>
    <sheetView workbookViewId="0">
      <selection activeCell="H17" sqref="H17"/>
    </sheetView>
  </sheetViews>
  <sheetFormatPr defaultColWidth="9" defaultRowHeight="16.5"/>
  <cols>
    <col min="1" max="1" width="6.5" style="94" customWidth="1"/>
    <col min="2" max="2" width="9.125" style="94" customWidth="1"/>
    <col min="3" max="3" width="8.125" style="94" customWidth="1"/>
    <col min="4" max="4" width="20.25" style="94" customWidth="1"/>
    <col min="5" max="5" width="6.375" style="94" customWidth="1"/>
    <col min="6" max="6" width="14.125" style="94" customWidth="1"/>
    <col min="7" max="7" width="11.25" style="94" customWidth="1"/>
    <col min="8" max="8" width="11.625" style="94" customWidth="1"/>
    <col min="9" max="9" width="40.25" style="94" bestFit="1" customWidth="1"/>
    <col min="10" max="16384" width="9" style="94"/>
  </cols>
  <sheetData>
    <row r="1" spans="1:10">
      <c r="A1" s="160" t="s">
        <v>75</v>
      </c>
      <c r="B1" s="160" t="s">
        <v>630</v>
      </c>
      <c r="C1" s="160" t="s">
        <v>631</v>
      </c>
      <c r="D1" s="160" t="s">
        <v>632</v>
      </c>
      <c r="E1" s="160" t="s">
        <v>633</v>
      </c>
      <c r="F1" s="160" t="s">
        <v>634</v>
      </c>
      <c r="G1" s="160" t="s">
        <v>635</v>
      </c>
      <c r="H1" s="160" t="s">
        <v>636</v>
      </c>
      <c r="I1" s="160" t="s">
        <v>3303</v>
      </c>
      <c r="J1" t="s">
        <v>3330</v>
      </c>
    </row>
    <row r="2" spans="1:10">
      <c r="A2" s="160" t="s">
        <v>190</v>
      </c>
      <c r="B2" s="160" t="s">
        <v>637</v>
      </c>
      <c r="C2" s="160" t="s">
        <v>638</v>
      </c>
      <c r="D2" s="160" t="s">
        <v>639</v>
      </c>
      <c r="E2" s="160" t="s">
        <v>640</v>
      </c>
      <c r="F2" s="160" t="s">
        <v>641</v>
      </c>
      <c r="G2" s="160" t="s">
        <v>642</v>
      </c>
      <c r="H2" s="160" t="s">
        <v>643</v>
      </c>
      <c r="I2" s="160" t="s">
        <v>3304</v>
      </c>
      <c r="J2" t="s">
        <v>3331</v>
      </c>
    </row>
    <row r="3" spans="1:10" customFormat="1">
      <c r="A3" s="1">
        <v>1</v>
      </c>
      <c r="B3" s="1">
        <v>1</v>
      </c>
      <c r="C3" s="1">
        <v>1</v>
      </c>
      <c r="D3" s="1" t="s">
        <v>644</v>
      </c>
      <c r="E3" s="161" t="s">
        <v>4013</v>
      </c>
      <c r="F3" s="1">
        <v>10</v>
      </c>
      <c r="G3" s="1" t="s">
        <v>645</v>
      </c>
      <c r="H3" s="1"/>
      <c r="I3" s="1"/>
    </row>
    <row r="4" spans="1:10" customFormat="1">
      <c r="A4" s="1">
        <v>2</v>
      </c>
      <c r="B4" s="1">
        <v>1</v>
      </c>
      <c r="C4" s="1">
        <v>1</v>
      </c>
      <c r="D4" s="1" t="s">
        <v>646</v>
      </c>
      <c r="E4" s="161" t="s">
        <v>4013</v>
      </c>
      <c r="F4" s="1">
        <v>10</v>
      </c>
      <c r="G4" s="1" t="s">
        <v>645</v>
      </c>
      <c r="H4" s="1"/>
      <c r="I4" s="1"/>
    </row>
    <row r="5" spans="1:10" customFormat="1">
      <c r="A5" s="1">
        <v>101</v>
      </c>
      <c r="B5" s="1">
        <v>2</v>
      </c>
      <c r="C5" s="1">
        <v>1</v>
      </c>
      <c r="D5" s="1" t="s">
        <v>647</v>
      </c>
      <c r="E5" s="161" t="s">
        <v>4013</v>
      </c>
      <c r="F5" s="1">
        <v>20</v>
      </c>
      <c r="G5" s="1" t="s">
        <v>648</v>
      </c>
      <c r="H5" s="1">
        <v>1</v>
      </c>
      <c r="I5" s="1"/>
    </row>
    <row r="6" spans="1:10" customFormat="1">
      <c r="A6" s="1">
        <v>102</v>
      </c>
      <c r="B6" s="1">
        <v>2</v>
      </c>
      <c r="C6" s="1">
        <v>1</v>
      </c>
      <c r="D6" s="161" t="s">
        <v>3295</v>
      </c>
      <c r="E6" s="161" t="s">
        <v>4013</v>
      </c>
      <c r="F6" s="1">
        <v>20</v>
      </c>
      <c r="G6" s="1" t="s">
        <v>648</v>
      </c>
      <c r="H6" s="1">
        <v>1</v>
      </c>
      <c r="I6" s="1"/>
    </row>
    <row r="7" spans="1:10" customFormat="1">
      <c r="A7" s="1">
        <v>201</v>
      </c>
      <c r="B7" s="1">
        <v>2</v>
      </c>
      <c r="C7" s="1">
        <v>1</v>
      </c>
      <c r="D7" s="161" t="s">
        <v>3297</v>
      </c>
      <c r="E7" s="161" t="s">
        <v>4013</v>
      </c>
      <c r="F7" s="1">
        <v>20</v>
      </c>
      <c r="G7" s="1" t="s">
        <v>648</v>
      </c>
      <c r="H7" s="1">
        <v>2</v>
      </c>
      <c r="I7" s="1"/>
    </row>
    <row r="8" spans="1:10" customFormat="1">
      <c r="A8" s="1">
        <v>202</v>
      </c>
      <c r="B8" s="1">
        <v>2</v>
      </c>
      <c r="C8" s="1">
        <v>1</v>
      </c>
      <c r="D8" s="161" t="s">
        <v>3296</v>
      </c>
      <c r="E8" s="161" t="s">
        <v>4013</v>
      </c>
      <c r="F8" s="1">
        <v>20</v>
      </c>
      <c r="G8" s="1" t="s">
        <v>648</v>
      </c>
      <c r="H8" s="1">
        <v>2</v>
      </c>
      <c r="I8" s="1"/>
    </row>
    <row r="9" spans="1:10" customFormat="1">
      <c r="A9" s="1">
        <v>10101</v>
      </c>
      <c r="B9" s="1">
        <v>3</v>
      </c>
      <c r="C9" s="1">
        <v>1</v>
      </c>
      <c r="D9" s="1" t="s">
        <v>649</v>
      </c>
      <c r="E9" s="161" t="s">
        <v>4004</v>
      </c>
      <c r="F9" s="1">
        <v>30</v>
      </c>
      <c r="G9" s="1" t="s">
        <v>650</v>
      </c>
      <c r="H9" s="1">
        <v>101</v>
      </c>
      <c r="I9" s="1" t="s">
        <v>4889</v>
      </c>
    </row>
    <row r="10" spans="1:10" customFormat="1">
      <c r="A10" s="1">
        <v>10102</v>
      </c>
      <c r="B10" s="1">
        <v>3</v>
      </c>
      <c r="C10" s="1">
        <v>1</v>
      </c>
      <c r="D10" s="161" t="s">
        <v>651</v>
      </c>
      <c r="E10" s="161" t="s">
        <v>4004</v>
      </c>
      <c r="F10" s="1">
        <v>30</v>
      </c>
      <c r="G10" s="1" t="s">
        <v>650</v>
      </c>
      <c r="H10" s="1">
        <v>101</v>
      </c>
      <c r="I10" s="1" t="s">
        <v>4890</v>
      </c>
    </row>
    <row r="11" spans="1:10" customFormat="1">
      <c r="A11" s="1">
        <v>10103</v>
      </c>
      <c r="B11" s="1">
        <v>3</v>
      </c>
      <c r="C11" s="1">
        <v>1</v>
      </c>
      <c r="D11" s="161" t="s">
        <v>652</v>
      </c>
      <c r="E11" s="161" t="s">
        <v>4004</v>
      </c>
      <c r="F11" s="1">
        <v>30</v>
      </c>
      <c r="G11" s="1" t="s">
        <v>650</v>
      </c>
      <c r="H11" s="1">
        <v>101</v>
      </c>
      <c r="I11" s="1" t="s">
        <v>4891</v>
      </c>
    </row>
    <row r="12" spans="1:10" customFormat="1">
      <c r="A12" s="1">
        <v>10201</v>
      </c>
      <c r="B12" s="1">
        <v>3</v>
      </c>
      <c r="C12" s="1">
        <v>1</v>
      </c>
      <c r="D12" s="161" t="s">
        <v>3298</v>
      </c>
      <c r="E12" s="161" t="s">
        <v>4004</v>
      </c>
      <c r="F12" s="1">
        <v>30</v>
      </c>
      <c r="G12" s="1" t="s">
        <v>650</v>
      </c>
      <c r="H12" s="1">
        <v>102</v>
      </c>
      <c r="I12" s="1" t="s">
        <v>4892</v>
      </c>
    </row>
    <row r="13" spans="1:10" customFormat="1">
      <c r="A13" s="1">
        <v>20101</v>
      </c>
      <c r="B13" s="1">
        <v>3</v>
      </c>
      <c r="C13" s="1">
        <v>1</v>
      </c>
      <c r="D13" s="161" t="s">
        <v>3844</v>
      </c>
      <c r="E13" s="161" t="s">
        <v>4004</v>
      </c>
      <c r="F13" s="1">
        <v>30</v>
      </c>
      <c r="G13" s="1" t="s">
        <v>650</v>
      </c>
      <c r="H13" s="1">
        <v>201</v>
      </c>
      <c r="I13" s="1" t="s">
        <v>4893</v>
      </c>
    </row>
    <row r="14" spans="1:10" customFormat="1">
      <c r="A14" s="1">
        <v>20102</v>
      </c>
      <c r="B14" s="1">
        <v>3</v>
      </c>
      <c r="C14" s="1">
        <v>1</v>
      </c>
      <c r="D14" s="161" t="s">
        <v>3300</v>
      </c>
      <c r="E14" s="161" t="s">
        <v>4004</v>
      </c>
      <c r="F14" s="1">
        <v>30</v>
      </c>
      <c r="G14" s="1" t="s">
        <v>650</v>
      </c>
      <c r="H14" s="1">
        <v>201</v>
      </c>
      <c r="I14" s="1" t="s">
        <v>4894</v>
      </c>
    </row>
    <row r="15" spans="1:10" customFormat="1">
      <c r="A15" s="1">
        <v>20103</v>
      </c>
      <c r="B15" s="1">
        <v>3</v>
      </c>
      <c r="C15" s="1">
        <v>1</v>
      </c>
      <c r="D15" s="161" t="s">
        <v>3299</v>
      </c>
      <c r="E15" s="161" t="s">
        <v>4004</v>
      </c>
      <c r="F15" s="1">
        <v>30</v>
      </c>
      <c r="G15" s="1" t="s">
        <v>650</v>
      </c>
      <c r="H15" s="1">
        <v>201</v>
      </c>
      <c r="I15" s="1" t="s">
        <v>4895</v>
      </c>
    </row>
    <row r="16" spans="1:10" customFormat="1">
      <c r="A16" s="1">
        <v>20201</v>
      </c>
      <c r="B16" s="1">
        <v>3</v>
      </c>
      <c r="C16" s="1">
        <v>1</v>
      </c>
      <c r="D16" s="161" t="s">
        <v>4723</v>
      </c>
      <c r="E16" s="161" t="s">
        <v>4004</v>
      </c>
      <c r="F16" s="1">
        <v>30</v>
      </c>
      <c r="G16" s="1" t="s">
        <v>650</v>
      </c>
      <c r="H16" s="1">
        <v>202</v>
      </c>
      <c r="I16" s="1" t="s">
        <v>4896</v>
      </c>
    </row>
    <row r="17" spans="1:16" customFormat="1">
      <c r="A17" s="1">
        <v>20202</v>
      </c>
      <c r="B17" s="1">
        <v>3</v>
      </c>
      <c r="C17" s="1">
        <v>1</v>
      </c>
      <c r="D17" s="161" t="s">
        <v>4724</v>
      </c>
      <c r="E17" s="161" t="s">
        <v>4004</v>
      </c>
      <c r="F17" s="1">
        <v>30</v>
      </c>
      <c r="G17" s="1" t="s">
        <v>650</v>
      </c>
      <c r="H17" s="1">
        <v>202</v>
      </c>
      <c r="I17" s="1" t="s">
        <v>4897</v>
      </c>
    </row>
    <row r="18" spans="1:16" customFormat="1">
      <c r="A18" s="1">
        <v>20203</v>
      </c>
      <c r="B18" s="1">
        <v>3</v>
      </c>
      <c r="C18" s="1">
        <v>1</v>
      </c>
      <c r="D18" s="161" t="s">
        <v>4725</v>
      </c>
      <c r="E18" s="161" t="s">
        <v>4004</v>
      </c>
      <c r="F18" s="1">
        <v>30</v>
      </c>
      <c r="G18" s="1" t="s">
        <v>650</v>
      </c>
      <c r="H18" s="1">
        <v>202</v>
      </c>
      <c r="I18" s="1" t="s">
        <v>4898</v>
      </c>
    </row>
    <row r="19" spans="1:16" customFormat="1">
      <c r="A19" s="1">
        <v>40001</v>
      </c>
      <c r="B19" s="1">
        <v>4</v>
      </c>
      <c r="C19" s="1">
        <v>1</v>
      </c>
      <c r="D19" s="161" t="s">
        <v>3845</v>
      </c>
      <c r="E19" s="161" t="s">
        <v>4007</v>
      </c>
      <c r="F19" s="1">
        <v>40</v>
      </c>
      <c r="G19" s="1" t="s">
        <v>653</v>
      </c>
      <c r="H19" s="1"/>
      <c r="I19" s="1" t="s">
        <v>4899</v>
      </c>
    </row>
    <row r="20" spans="1:16" customFormat="1">
      <c r="A20" s="1">
        <v>41001</v>
      </c>
      <c r="B20" s="1">
        <v>4</v>
      </c>
      <c r="C20" s="1">
        <v>1</v>
      </c>
      <c r="D20" s="161" t="s">
        <v>3489</v>
      </c>
      <c r="E20" s="161" t="s">
        <v>4007</v>
      </c>
      <c r="F20" s="1">
        <v>40</v>
      </c>
      <c r="G20" s="1" t="s">
        <v>653</v>
      </c>
      <c r="H20" s="1">
        <v>1</v>
      </c>
      <c r="I20" s="1" t="s">
        <v>4900</v>
      </c>
    </row>
    <row r="21" spans="1:16" customFormat="1">
      <c r="A21" s="1">
        <v>41002</v>
      </c>
      <c r="B21" s="1">
        <v>4</v>
      </c>
      <c r="C21" s="1">
        <v>1</v>
      </c>
      <c r="D21" s="161" t="s">
        <v>3488</v>
      </c>
      <c r="E21" s="161" t="s">
        <v>4007</v>
      </c>
      <c r="F21" s="1">
        <v>40</v>
      </c>
      <c r="G21" s="1" t="s">
        <v>653</v>
      </c>
      <c r="H21" s="1">
        <v>1</v>
      </c>
      <c r="I21" s="1" t="s">
        <v>4901</v>
      </c>
    </row>
    <row r="22" spans="1:16" customFormat="1">
      <c r="A22" s="1">
        <v>41003</v>
      </c>
      <c r="B22" s="1">
        <v>4</v>
      </c>
      <c r="C22" s="1">
        <v>1</v>
      </c>
      <c r="D22" s="161" t="s">
        <v>3487</v>
      </c>
      <c r="E22" s="161" t="s">
        <v>4007</v>
      </c>
      <c r="F22" s="1">
        <v>40</v>
      </c>
      <c r="G22" s="1" t="s">
        <v>653</v>
      </c>
      <c r="H22" s="1">
        <v>1</v>
      </c>
      <c r="I22" s="1" t="s">
        <v>4902</v>
      </c>
    </row>
    <row r="23" spans="1:16" customFormat="1">
      <c r="A23" s="115">
        <v>41004</v>
      </c>
      <c r="B23" s="115">
        <v>4</v>
      </c>
      <c r="C23" s="115">
        <v>1</v>
      </c>
      <c r="D23" s="162" t="s">
        <v>4082</v>
      </c>
      <c r="E23" s="162" t="s">
        <v>4007</v>
      </c>
      <c r="F23" s="115">
        <v>40</v>
      </c>
      <c r="G23" s="115" t="s">
        <v>653</v>
      </c>
      <c r="H23" s="115">
        <v>2</v>
      </c>
      <c r="I23" s="1" t="s">
        <v>4903</v>
      </c>
    </row>
    <row r="24" spans="1:16" customFormat="1">
      <c r="A24" s="115">
        <v>41005</v>
      </c>
      <c r="B24" s="115">
        <v>4</v>
      </c>
      <c r="C24" s="115">
        <v>1</v>
      </c>
      <c r="D24" s="162" t="s">
        <v>4083</v>
      </c>
      <c r="E24" s="162" t="s">
        <v>4007</v>
      </c>
      <c r="F24" s="115">
        <v>40</v>
      </c>
      <c r="G24" s="115" t="s">
        <v>653</v>
      </c>
      <c r="H24" s="115">
        <v>2</v>
      </c>
      <c r="I24" s="1" t="s">
        <v>4904</v>
      </c>
    </row>
    <row r="25" spans="1:16" customFormat="1">
      <c r="A25" s="1">
        <v>51001</v>
      </c>
      <c r="B25" s="1">
        <v>5</v>
      </c>
      <c r="C25" s="1">
        <v>1</v>
      </c>
      <c r="D25" s="161" t="s">
        <v>4881</v>
      </c>
      <c r="E25" s="161" t="s">
        <v>4008</v>
      </c>
      <c r="F25" s="1">
        <v>51</v>
      </c>
      <c r="G25" s="161" t="s">
        <v>3850</v>
      </c>
      <c r="H25" s="1">
        <v>1</v>
      </c>
      <c r="I25" s="1"/>
    </row>
    <row r="26" spans="1:16" customFormat="1">
      <c r="A26" s="1">
        <v>51002</v>
      </c>
      <c r="B26" s="1">
        <v>5</v>
      </c>
      <c r="C26" s="1">
        <v>1</v>
      </c>
      <c r="D26" s="161" t="s">
        <v>654</v>
      </c>
      <c r="E26" s="161" t="s">
        <v>4008</v>
      </c>
      <c r="F26" s="1">
        <v>51</v>
      </c>
      <c r="G26" s="161" t="s">
        <v>3850</v>
      </c>
      <c r="H26" s="1">
        <v>1</v>
      </c>
      <c r="I26" s="1" t="s">
        <v>3329</v>
      </c>
      <c r="P26" s="148"/>
    </row>
    <row r="27" spans="1:16" customFormat="1" ht="17.25" customHeight="1">
      <c r="A27" s="1">
        <v>51003</v>
      </c>
      <c r="B27" s="1">
        <v>5</v>
      </c>
      <c r="C27" s="1">
        <v>1</v>
      </c>
      <c r="D27" s="161" t="s">
        <v>655</v>
      </c>
      <c r="E27" s="161" t="s">
        <v>4008</v>
      </c>
      <c r="F27" s="1">
        <v>51</v>
      </c>
      <c r="G27" s="161" t="s">
        <v>3850</v>
      </c>
      <c r="H27" s="1">
        <v>1</v>
      </c>
      <c r="I27" s="1" t="s">
        <v>4905</v>
      </c>
    </row>
    <row r="28" spans="1:16" customFormat="1">
      <c r="A28" s="1">
        <v>51004</v>
      </c>
      <c r="B28" s="1">
        <v>5</v>
      </c>
      <c r="C28" s="1">
        <v>1</v>
      </c>
      <c r="D28" s="161" t="s">
        <v>656</v>
      </c>
      <c r="E28" s="161" t="s">
        <v>4008</v>
      </c>
      <c r="F28" s="1">
        <v>51</v>
      </c>
      <c r="G28" s="161" t="s">
        <v>3850</v>
      </c>
      <c r="H28" s="1">
        <v>1</v>
      </c>
      <c r="I28" s="1" t="s">
        <v>4906</v>
      </c>
      <c r="P28" s="148"/>
    </row>
    <row r="29" spans="1:16" customFormat="1">
      <c r="A29" s="1">
        <v>51005</v>
      </c>
      <c r="B29" s="1">
        <v>5</v>
      </c>
      <c r="C29" s="1">
        <v>1</v>
      </c>
      <c r="D29" s="161" t="s">
        <v>4084</v>
      </c>
      <c r="E29" s="161" t="s">
        <v>4008</v>
      </c>
      <c r="F29" s="1">
        <v>51</v>
      </c>
      <c r="G29" s="161" t="s">
        <v>3850</v>
      </c>
      <c r="H29" s="1">
        <v>1</v>
      </c>
      <c r="I29" s="1"/>
    </row>
    <row r="30" spans="1:16" customFormat="1" ht="17.25" customHeight="1">
      <c r="A30" s="1">
        <v>51006</v>
      </c>
      <c r="B30" s="1">
        <v>5</v>
      </c>
      <c r="C30" s="1">
        <v>1</v>
      </c>
      <c r="D30" s="161" t="s">
        <v>4085</v>
      </c>
      <c r="E30" s="161" t="s">
        <v>4008</v>
      </c>
      <c r="F30" s="1">
        <v>51</v>
      </c>
      <c r="G30" s="161" t="s">
        <v>3850</v>
      </c>
      <c r="H30" s="1">
        <v>1</v>
      </c>
      <c r="I30" s="1" t="s">
        <v>4907</v>
      </c>
    </row>
    <row r="31" spans="1:16" customFormat="1" ht="17.25" customHeight="1">
      <c r="A31" s="115">
        <v>51007</v>
      </c>
      <c r="B31" s="115">
        <v>5</v>
      </c>
      <c r="C31" s="115">
        <v>1</v>
      </c>
      <c r="D31" s="162" t="s">
        <v>4086</v>
      </c>
      <c r="E31" s="162" t="s">
        <v>4008</v>
      </c>
      <c r="F31" s="115">
        <v>51</v>
      </c>
      <c r="G31" s="162" t="s">
        <v>3850</v>
      </c>
      <c r="H31" s="115">
        <v>2</v>
      </c>
      <c r="I31" s="1" t="s">
        <v>4908</v>
      </c>
    </row>
    <row r="32" spans="1:16" customFormat="1" ht="17.25" customHeight="1">
      <c r="A32" s="115">
        <v>51008</v>
      </c>
      <c r="B32" s="115">
        <v>5</v>
      </c>
      <c r="C32" s="115">
        <v>1</v>
      </c>
      <c r="D32" s="162" t="s">
        <v>4087</v>
      </c>
      <c r="E32" s="162" t="s">
        <v>4008</v>
      </c>
      <c r="F32" s="115">
        <v>51</v>
      </c>
      <c r="G32" s="162" t="s">
        <v>3850</v>
      </c>
      <c r="H32" s="115">
        <v>2</v>
      </c>
      <c r="I32" s="1"/>
    </row>
    <row r="33" spans="1:9" customFormat="1" ht="17.25" customHeight="1">
      <c r="A33" s="115">
        <v>51009</v>
      </c>
      <c r="B33" s="115">
        <v>5</v>
      </c>
      <c r="C33" s="115">
        <v>1</v>
      </c>
      <c r="D33" s="162" t="s">
        <v>4088</v>
      </c>
      <c r="E33" s="162" t="s">
        <v>4008</v>
      </c>
      <c r="F33" s="115">
        <v>51</v>
      </c>
      <c r="G33" s="162" t="s">
        <v>3850</v>
      </c>
      <c r="H33" s="115">
        <v>2</v>
      </c>
      <c r="I33" s="1"/>
    </row>
    <row r="34" spans="1:9" customFormat="1" ht="17.25" customHeight="1">
      <c r="A34" s="115">
        <v>51010</v>
      </c>
      <c r="B34" s="115">
        <v>5</v>
      </c>
      <c r="C34" s="115">
        <v>1</v>
      </c>
      <c r="D34" s="162" t="s">
        <v>4089</v>
      </c>
      <c r="E34" s="162" t="s">
        <v>4008</v>
      </c>
      <c r="F34" s="115">
        <v>51</v>
      </c>
      <c r="G34" s="162" t="s">
        <v>3850</v>
      </c>
      <c r="H34" s="115">
        <v>2</v>
      </c>
      <c r="I34" s="1" t="s">
        <v>4909</v>
      </c>
    </row>
    <row r="35" spans="1:9" customFormat="1" ht="17.25" customHeight="1">
      <c r="A35" s="115">
        <v>51011</v>
      </c>
      <c r="B35" s="115">
        <v>5</v>
      </c>
      <c r="C35" s="115">
        <v>1</v>
      </c>
      <c r="D35" s="162" t="s">
        <v>4090</v>
      </c>
      <c r="E35" s="162" t="s">
        <v>4008</v>
      </c>
      <c r="F35" s="115">
        <v>51</v>
      </c>
      <c r="G35" s="162" t="s">
        <v>3850</v>
      </c>
      <c r="H35" s="115">
        <v>2</v>
      </c>
      <c r="I35" s="1" t="s">
        <v>4910</v>
      </c>
    </row>
    <row r="36" spans="1:9" customFormat="1" ht="17.25" customHeight="1">
      <c r="A36" s="115">
        <v>51012</v>
      </c>
      <c r="B36" s="115">
        <v>5</v>
      </c>
      <c r="C36" s="115">
        <v>1</v>
      </c>
      <c r="D36" s="162" t="s">
        <v>4726</v>
      </c>
      <c r="E36" s="162" t="s">
        <v>4008</v>
      </c>
      <c r="F36" s="115">
        <v>51</v>
      </c>
      <c r="G36" s="162" t="s">
        <v>3850</v>
      </c>
      <c r="H36" s="115">
        <v>2</v>
      </c>
      <c r="I36" s="1" t="s">
        <v>4911</v>
      </c>
    </row>
    <row r="37" spans="1:9" customFormat="1" ht="17.25" customHeight="1">
      <c r="A37" s="115">
        <v>51013</v>
      </c>
      <c r="B37" s="115">
        <v>5</v>
      </c>
      <c r="C37" s="115">
        <v>1</v>
      </c>
      <c r="D37" s="162" t="s">
        <v>4727</v>
      </c>
      <c r="E37" s="162" t="s">
        <v>4008</v>
      </c>
      <c r="F37" s="115">
        <v>51</v>
      </c>
      <c r="G37" s="162" t="s">
        <v>3850</v>
      </c>
      <c r="H37" s="115">
        <v>2</v>
      </c>
      <c r="I37" s="1"/>
    </row>
    <row r="38" spans="1:9" customFormat="1" ht="17.25" customHeight="1">
      <c r="A38" s="115">
        <v>51014</v>
      </c>
      <c r="B38" s="115">
        <v>5</v>
      </c>
      <c r="C38" s="115">
        <v>1</v>
      </c>
      <c r="D38" s="162" t="s">
        <v>4728</v>
      </c>
      <c r="E38" s="162" t="s">
        <v>4008</v>
      </c>
      <c r="F38" s="115">
        <v>51</v>
      </c>
      <c r="G38" s="162" t="s">
        <v>3850</v>
      </c>
      <c r="H38" s="115">
        <v>2</v>
      </c>
      <c r="I38" s="1" t="s">
        <v>4912</v>
      </c>
    </row>
    <row r="39" spans="1:9" customFormat="1" ht="17.25" customHeight="1">
      <c r="A39" s="115">
        <v>51015</v>
      </c>
      <c r="B39" s="115">
        <v>5</v>
      </c>
      <c r="C39" s="115">
        <v>1</v>
      </c>
      <c r="D39" s="162" t="s">
        <v>4729</v>
      </c>
      <c r="E39" s="162" t="s">
        <v>4008</v>
      </c>
      <c r="F39" s="115">
        <v>51</v>
      </c>
      <c r="G39" s="162" t="s">
        <v>3850</v>
      </c>
      <c r="H39" s="115">
        <v>2</v>
      </c>
      <c r="I39" s="1" t="s">
        <v>3329</v>
      </c>
    </row>
    <row r="40" spans="1:9" customFormat="1" ht="17.25" customHeight="1">
      <c r="A40" s="1">
        <v>52001</v>
      </c>
      <c r="B40" s="1">
        <v>5</v>
      </c>
      <c r="C40" s="1">
        <v>1</v>
      </c>
      <c r="D40" s="161" t="s">
        <v>4389</v>
      </c>
      <c r="E40" s="161" t="s">
        <v>4009</v>
      </c>
      <c r="F40" s="1">
        <v>52</v>
      </c>
      <c r="G40" s="1" t="s">
        <v>657</v>
      </c>
      <c r="H40" s="1">
        <v>1</v>
      </c>
      <c r="I40" s="1"/>
    </row>
    <row r="41" spans="1:9" customFormat="1" ht="17.25" customHeight="1">
      <c r="A41" s="1">
        <v>52002</v>
      </c>
      <c r="B41" s="1">
        <v>5</v>
      </c>
      <c r="C41" s="1">
        <v>1</v>
      </c>
      <c r="D41" s="161" t="s">
        <v>4390</v>
      </c>
      <c r="E41" s="161" t="s">
        <v>4009</v>
      </c>
      <c r="F41" s="1">
        <v>52</v>
      </c>
      <c r="G41" s="1" t="s">
        <v>657</v>
      </c>
      <c r="H41" s="1">
        <v>1</v>
      </c>
      <c r="I41" s="1" t="s">
        <v>4913</v>
      </c>
    </row>
    <row r="42" spans="1:9" customFormat="1" ht="17.25" customHeight="1">
      <c r="A42" s="115">
        <v>52003</v>
      </c>
      <c r="B42" s="115">
        <v>5</v>
      </c>
      <c r="C42" s="115">
        <v>1</v>
      </c>
      <c r="D42" s="162" t="s">
        <v>4091</v>
      </c>
      <c r="E42" s="162" t="s">
        <v>4009</v>
      </c>
      <c r="F42" s="115">
        <v>52</v>
      </c>
      <c r="G42" s="115" t="s">
        <v>657</v>
      </c>
      <c r="H42" s="115">
        <v>2</v>
      </c>
      <c r="I42" s="1"/>
    </row>
    <row r="43" spans="1:9" customFormat="1" ht="17.25" customHeight="1">
      <c r="A43" s="115">
        <v>52004</v>
      </c>
      <c r="B43" s="115">
        <v>5</v>
      </c>
      <c r="C43" s="115">
        <v>1</v>
      </c>
      <c r="D43" s="162" t="s">
        <v>4092</v>
      </c>
      <c r="E43" s="162" t="s">
        <v>4009</v>
      </c>
      <c r="F43" s="115">
        <v>52</v>
      </c>
      <c r="G43" s="115" t="s">
        <v>657</v>
      </c>
      <c r="H43" s="115">
        <v>2</v>
      </c>
      <c r="I43" s="1" t="s">
        <v>4913</v>
      </c>
    </row>
    <row r="44" spans="1:9" customFormat="1" ht="17.25" customHeight="1">
      <c r="A44" s="115">
        <v>52005</v>
      </c>
      <c r="B44" s="115">
        <v>5</v>
      </c>
      <c r="C44" s="115">
        <v>1</v>
      </c>
      <c r="D44" s="162" t="s">
        <v>4093</v>
      </c>
      <c r="E44" s="162" t="s">
        <v>4009</v>
      </c>
      <c r="F44" s="115">
        <v>52</v>
      </c>
      <c r="G44" s="115" t="s">
        <v>657</v>
      </c>
      <c r="H44" s="115">
        <v>2</v>
      </c>
      <c r="I44" s="1" t="s">
        <v>4914</v>
      </c>
    </row>
    <row r="45" spans="1:9" customFormat="1" ht="17.25" customHeight="1">
      <c r="A45" s="115">
        <v>52006</v>
      </c>
      <c r="B45" s="115">
        <v>5</v>
      </c>
      <c r="C45" s="115">
        <v>1</v>
      </c>
      <c r="D45" s="162" t="s">
        <v>4094</v>
      </c>
      <c r="E45" s="162" t="s">
        <v>4009</v>
      </c>
      <c r="F45" s="115">
        <v>52</v>
      </c>
      <c r="G45" s="115" t="s">
        <v>657</v>
      </c>
      <c r="H45" s="115">
        <v>2</v>
      </c>
      <c r="I45" s="1" t="s">
        <v>4915</v>
      </c>
    </row>
    <row r="46" spans="1:9" customFormat="1" ht="17.25" customHeight="1">
      <c r="A46" s="115">
        <v>52007</v>
      </c>
      <c r="B46" s="115">
        <v>5</v>
      </c>
      <c r="C46" s="115">
        <v>1</v>
      </c>
      <c r="D46" s="162" t="s">
        <v>4730</v>
      </c>
      <c r="E46" s="162" t="s">
        <v>4009</v>
      </c>
      <c r="F46" s="115">
        <v>52</v>
      </c>
      <c r="G46" s="115" t="s">
        <v>657</v>
      </c>
      <c r="H46" s="115">
        <v>2</v>
      </c>
      <c r="I46" s="1" t="s">
        <v>4916</v>
      </c>
    </row>
    <row r="47" spans="1:9" customFormat="1">
      <c r="A47" s="1">
        <v>53001</v>
      </c>
      <c r="B47" s="1">
        <v>5</v>
      </c>
      <c r="C47" s="1">
        <v>1</v>
      </c>
      <c r="D47" s="161" t="s">
        <v>658</v>
      </c>
      <c r="E47" s="161" t="s">
        <v>4010</v>
      </c>
      <c r="F47" s="1">
        <v>53</v>
      </c>
      <c r="G47" s="161" t="s">
        <v>659</v>
      </c>
      <c r="H47" s="1">
        <v>1</v>
      </c>
      <c r="I47" s="1" t="s">
        <v>4917</v>
      </c>
    </row>
    <row r="48" spans="1:9" customFormat="1">
      <c r="A48" s="1">
        <v>54001</v>
      </c>
      <c r="B48" s="1">
        <v>5</v>
      </c>
      <c r="C48" s="1">
        <v>1</v>
      </c>
      <c r="D48" s="161" t="s">
        <v>660</v>
      </c>
      <c r="E48" s="161" t="s">
        <v>4011</v>
      </c>
      <c r="F48" s="1">
        <v>54</v>
      </c>
      <c r="G48" s="161" t="s">
        <v>661</v>
      </c>
      <c r="H48" s="1">
        <v>1</v>
      </c>
      <c r="I48" s="1" t="s">
        <v>4918</v>
      </c>
    </row>
    <row r="49" spans="1:11" customFormat="1">
      <c r="A49" s="1">
        <v>55001</v>
      </c>
      <c r="B49" s="1">
        <v>5</v>
      </c>
      <c r="C49" s="1">
        <v>1</v>
      </c>
      <c r="D49" s="161" t="s">
        <v>3852</v>
      </c>
      <c r="E49" s="161" t="s">
        <v>4012</v>
      </c>
      <c r="F49" s="161">
        <v>55</v>
      </c>
      <c r="G49" s="161" t="s">
        <v>3857</v>
      </c>
      <c r="H49" s="1">
        <v>1</v>
      </c>
      <c r="I49" s="1" t="s">
        <v>4919</v>
      </c>
    </row>
    <row r="50" spans="1:11" customFormat="1">
      <c r="A50" s="1">
        <v>55002</v>
      </c>
      <c r="B50" s="1">
        <v>5</v>
      </c>
      <c r="C50" s="1">
        <v>1</v>
      </c>
      <c r="D50" s="161" t="s">
        <v>3858</v>
      </c>
      <c r="E50" s="161" t="s">
        <v>4012</v>
      </c>
      <c r="F50" s="161">
        <v>55</v>
      </c>
      <c r="G50" s="161" t="s">
        <v>3857</v>
      </c>
      <c r="H50" s="1">
        <v>1</v>
      </c>
      <c r="I50" s="1" t="s">
        <v>4920</v>
      </c>
    </row>
    <row r="51" spans="1:11" customFormat="1">
      <c r="A51" s="1">
        <v>56001</v>
      </c>
      <c r="B51" s="1">
        <v>5</v>
      </c>
      <c r="C51" s="1">
        <v>1</v>
      </c>
      <c r="D51" s="161" t="s">
        <v>4095</v>
      </c>
      <c r="E51" s="161" t="s">
        <v>4014</v>
      </c>
      <c r="F51" s="161">
        <v>56</v>
      </c>
      <c r="G51" s="161" t="s">
        <v>3856</v>
      </c>
      <c r="H51" s="1">
        <v>2</v>
      </c>
      <c r="I51" s="94"/>
      <c r="K51" s="1" t="s">
        <v>4921</v>
      </c>
    </row>
    <row r="52" spans="1:11" customFormat="1">
      <c r="A52" s="1">
        <v>56002</v>
      </c>
      <c r="B52" s="1">
        <v>5</v>
      </c>
      <c r="C52" s="1">
        <v>1</v>
      </c>
      <c r="D52" s="161" t="s">
        <v>4096</v>
      </c>
      <c r="E52" s="161" t="s">
        <v>4014</v>
      </c>
      <c r="F52" s="161">
        <v>56</v>
      </c>
      <c r="G52" s="161" t="s">
        <v>3856</v>
      </c>
      <c r="H52" s="1">
        <v>2</v>
      </c>
      <c r="I52" s="94"/>
      <c r="K52" s="1" t="s">
        <v>4922</v>
      </c>
    </row>
    <row r="53" spans="1:11" customFormat="1">
      <c r="A53" s="1">
        <v>56003</v>
      </c>
      <c r="B53" s="1">
        <v>5</v>
      </c>
      <c r="C53" s="1">
        <v>1</v>
      </c>
      <c r="D53" s="161" t="s">
        <v>4097</v>
      </c>
      <c r="E53" s="161" t="s">
        <v>4014</v>
      </c>
      <c r="F53" s="161">
        <v>56</v>
      </c>
      <c r="G53" s="161" t="s">
        <v>3856</v>
      </c>
      <c r="H53" s="1">
        <v>2</v>
      </c>
      <c r="I53" s="94"/>
      <c r="K53" s="1" t="s">
        <v>4923</v>
      </c>
    </row>
    <row r="54" spans="1:11" customFormat="1">
      <c r="A54" s="1">
        <v>56004</v>
      </c>
      <c r="B54" s="1">
        <v>5</v>
      </c>
      <c r="C54" s="1">
        <v>1</v>
      </c>
      <c r="D54" s="161" t="s">
        <v>3851</v>
      </c>
      <c r="E54" s="161" t="s">
        <v>4014</v>
      </c>
      <c r="F54" s="161">
        <v>56</v>
      </c>
      <c r="G54" s="161" t="s">
        <v>3856</v>
      </c>
      <c r="H54" s="1">
        <v>2</v>
      </c>
      <c r="I54" s="94"/>
      <c r="K54" s="1" t="s">
        <v>4924</v>
      </c>
    </row>
    <row r="55" spans="1:11" customFormat="1">
      <c r="A55" s="1">
        <v>56005</v>
      </c>
      <c r="B55" s="1">
        <v>5</v>
      </c>
      <c r="C55" s="1">
        <v>1</v>
      </c>
      <c r="D55" s="161" t="s">
        <v>4731</v>
      </c>
      <c r="E55" s="161" t="s">
        <v>4014</v>
      </c>
      <c r="F55" s="161">
        <v>56</v>
      </c>
      <c r="G55" s="161" t="s">
        <v>3856</v>
      </c>
      <c r="H55" s="1">
        <v>2</v>
      </c>
      <c r="I55" s="94"/>
      <c r="K55" s="1" t="s">
        <v>4925</v>
      </c>
    </row>
    <row r="56" spans="1:11" customFormat="1">
      <c r="A56" s="149">
        <v>57001</v>
      </c>
      <c r="B56" s="149">
        <v>5</v>
      </c>
      <c r="C56" s="149">
        <v>1</v>
      </c>
      <c r="D56" s="163" t="s">
        <v>3847</v>
      </c>
      <c r="E56" s="163" t="s">
        <v>4010</v>
      </c>
      <c r="F56" s="163">
        <v>57</v>
      </c>
      <c r="G56" s="163" t="s">
        <v>3854</v>
      </c>
      <c r="H56" s="149">
        <v>2</v>
      </c>
      <c r="I56" s="1" t="s">
        <v>4926</v>
      </c>
    </row>
    <row r="57" spans="1:11" customFormat="1">
      <c r="A57" s="149">
        <v>57002</v>
      </c>
      <c r="B57" s="149">
        <v>5</v>
      </c>
      <c r="C57" s="149">
        <v>1</v>
      </c>
      <c r="D57" s="163" t="s">
        <v>4732</v>
      </c>
      <c r="E57" s="163" t="s">
        <v>4010</v>
      </c>
      <c r="F57" s="163">
        <v>57</v>
      </c>
      <c r="G57" s="163" t="s">
        <v>3854</v>
      </c>
      <c r="H57" s="149">
        <v>2</v>
      </c>
      <c r="I57" s="1"/>
    </row>
    <row r="58" spans="1:11" customFormat="1">
      <c r="A58" s="149">
        <v>57003</v>
      </c>
      <c r="B58" s="149">
        <v>5</v>
      </c>
      <c r="C58" s="149">
        <v>1</v>
      </c>
      <c r="D58" s="163" t="s">
        <v>4733</v>
      </c>
      <c r="E58" s="163" t="s">
        <v>4010</v>
      </c>
      <c r="F58" s="163">
        <v>57</v>
      </c>
      <c r="G58" s="163" t="s">
        <v>3854</v>
      </c>
      <c r="H58" s="149">
        <v>2</v>
      </c>
      <c r="I58" s="1" t="s">
        <v>4927</v>
      </c>
    </row>
    <row r="59" spans="1:11" customFormat="1">
      <c r="A59" s="115">
        <v>58001</v>
      </c>
      <c r="B59" s="115">
        <v>5</v>
      </c>
      <c r="C59" s="115">
        <v>1</v>
      </c>
      <c r="D59" s="162" t="s">
        <v>4098</v>
      </c>
      <c r="E59" s="162" t="s">
        <v>4011</v>
      </c>
      <c r="F59" s="162">
        <v>58</v>
      </c>
      <c r="G59" s="162" t="s">
        <v>3855</v>
      </c>
      <c r="H59" s="115">
        <v>2</v>
      </c>
      <c r="I59" s="1" t="s">
        <v>4928</v>
      </c>
    </row>
    <row r="60" spans="1:11" customFormat="1">
      <c r="A60" s="115">
        <v>58002</v>
      </c>
      <c r="B60" s="115">
        <v>5</v>
      </c>
      <c r="C60" s="115">
        <v>1</v>
      </c>
      <c r="D60" s="162" t="s">
        <v>3846</v>
      </c>
      <c r="E60" s="162" t="s">
        <v>4011</v>
      </c>
      <c r="F60" s="162">
        <v>58</v>
      </c>
      <c r="G60" s="162" t="s">
        <v>3855</v>
      </c>
      <c r="H60" s="115">
        <v>2</v>
      </c>
      <c r="I60" s="1" t="s">
        <v>4929</v>
      </c>
    </row>
    <row r="61" spans="1:11" customFormat="1">
      <c r="A61" s="115">
        <v>58003</v>
      </c>
      <c r="B61" s="115">
        <v>5</v>
      </c>
      <c r="C61" s="115">
        <v>1</v>
      </c>
      <c r="D61" s="162" t="s">
        <v>4734</v>
      </c>
      <c r="E61" s="162" t="s">
        <v>4011</v>
      </c>
      <c r="F61" s="162">
        <v>58</v>
      </c>
      <c r="G61" s="162" t="s">
        <v>3855</v>
      </c>
      <c r="H61" s="115">
        <v>2</v>
      </c>
      <c r="I61" s="1" t="s">
        <v>4930</v>
      </c>
    </row>
    <row r="62" spans="1:11" customFormat="1">
      <c r="A62" s="115">
        <v>58004</v>
      </c>
      <c r="B62" s="115">
        <v>5</v>
      </c>
      <c r="C62" s="115">
        <v>1</v>
      </c>
      <c r="D62" s="162" t="s">
        <v>4735</v>
      </c>
      <c r="E62" s="162" t="s">
        <v>4011</v>
      </c>
      <c r="F62" s="162">
        <v>58</v>
      </c>
      <c r="G62" s="162" t="s">
        <v>3855</v>
      </c>
      <c r="H62" s="115">
        <v>2</v>
      </c>
      <c r="I62" s="1" t="s">
        <v>4931</v>
      </c>
    </row>
    <row r="63" spans="1:11" customFormat="1">
      <c r="A63" s="115">
        <v>58005</v>
      </c>
      <c r="B63" s="115">
        <v>5</v>
      </c>
      <c r="C63" s="115">
        <v>1</v>
      </c>
      <c r="D63" s="162" t="s">
        <v>4736</v>
      </c>
      <c r="E63" s="162" t="s">
        <v>4011</v>
      </c>
      <c r="F63" s="162">
        <v>58</v>
      </c>
      <c r="G63" s="162" t="s">
        <v>3855</v>
      </c>
      <c r="H63" s="115">
        <v>2</v>
      </c>
      <c r="I63" s="1"/>
    </row>
    <row r="64" spans="1:11" customFormat="1">
      <c r="A64" s="115">
        <v>58006</v>
      </c>
      <c r="B64" s="115">
        <v>5</v>
      </c>
      <c r="C64" s="115">
        <v>1</v>
      </c>
      <c r="D64" s="162" t="s">
        <v>4737</v>
      </c>
      <c r="E64" s="162" t="s">
        <v>4011</v>
      </c>
      <c r="F64" s="162">
        <v>58</v>
      </c>
      <c r="G64" s="162" t="s">
        <v>3855</v>
      </c>
      <c r="H64" s="115">
        <v>2</v>
      </c>
      <c r="I64" s="1"/>
    </row>
    <row r="65" spans="1:11" customFormat="1">
      <c r="A65" s="116">
        <v>59001</v>
      </c>
      <c r="B65" s="116">
        <v>5</v>
      </c>
      <c r="C65" s="116">
        <v>1</v>
      </c>
      <c r="D65" s="164" t="s">
        <v>4099</v>
      </c>
      <c r="E65" s="164" t="s">
        <v>4009</v>
      </c>
      <c r="F65" s="164">
        <v>59</v>
      </c>
      <c r="G65" s="164" t="s">
        <v>3853</v>
      </c>
      <c r="H65" s="116">
        <v>2</v>
      </c>
      <c r="I65" s="94"/>
      <c r="J65" s="117"/>
      <c r="K65" s="1" t="s">
        <v>4932</v>
      </c>
    </row>
    <row r="66" spans="1:11" customFormat="1">
      <c r="A66" s="116">
        <v>59002</v>
      </c>
      <c r="B66" s="116">
        <v>5</v>
      </c>
      <c r="C66" s="116">
        <v>1</v>
      </c>
      <c r="D66" s="164" t="s">
        <v>3848</v>
      </c>
      <c r="E66" s="164" t="s">
        <v>4009</v>
      </c>
      <c r="F66" s="164">
        <v>59</v>
      </c>
      <c r="G66" s="164" t="s">
        <v>3853</v>
      </c>
      <c r="H66" s="116">
        <v>2</v>
      </c>
      <c r="I66" s="94"/>
      <c r="J66" s="117"/>
      <c r="K66" s="1" t="s">
        <v>4933</v>
      </c>
    </row>
    <row r="67" spans="1:11" customFormat="1">
      <c r="A67" s="116">
        <v>59003</v>
      </c>
      <c r="B67" s="116">
        <v>5</v>
      </c>
      <c r="C67" s="116">
        <v>1</v>
      </c>
      <c r="D67" s="164" t="s">
        <v>3849</v>
      </c>
      <c r="E67" s="164" t="s">
        <v>4009</v>
      </c>
      <c r="F67" s="164">
        <v>59</v>
      </c>
      <c r="G67" s="164" t="s">
        <v>3853</v>
      </c>
      <c r="H67" s="116">
        <v>2</v>
      </c>
      <c r="I67" s="94"/>
      <c r="J67" s="117"/>
      <c r="K67" s="1" t="s">
        <v>4934</v>
      </c>
    </row>
    <row r="68" spans="1:11" customFormat="1">
      <c r="A68" s="116">
        <v>59004</v>
      </c>
      <c r="B68" s="116">
        <v>5</v>
      </c>
      <c r="C68" s="116">
        <v>1</v>
      </c>
      <c r="D68" s="164" t="s">
        <v>4100</v>
      </c>
      <c r="E68" s="164" t="s">
        <v>4009</v>
      </c>
      <c r="F68" s="164">
        <v>59</v>
      </c>
      <c r="G68" s="164" t="s">
        <v>3853</v>
      </c>
      <c r="H68" s="116">
        <v>2</v>
      </c>
      <c r="I68" s="94"/>
      <c r="J68" s="117"/>
      <c r="K68" s="1" t="s">
        <v>4935</v>
      </c>
    </row>
    <row r="69" spans="1:11" customFormat="1">
      <c r="A69" s="116">
        <v>59005</v>
      </c>
      <c r="B69" s="116">
        <v>5</v>
      </c>
      <c r="C69" s="116">
        <v>1</v>
      </c>
      <c r="D69" s="164" t="s">
        <v>4738</v>
      </c>
      <c r="E69" s="164" t="s">
        <v>4009</v>
      </c>
      <c r="F69" s="164">
        <v>59</v>
      </c>
      <c r="G69" s="164" t="s">
        <v>3853</v>
      </c>
      <c r="H69" s="116">
        <v>2</v>
      </c>
      <c r="I69" s="94"/>
      <c r="J69" s="117"/>
      <c r="K69" s="1" t="s">
        <v>4936</v>
      </c>
    </row>
    <row r="70" spans="1:11" customFormat="1">
      <c r="A70" s="116">
        <v>59006</v>
      </c>
      <c r="B70" s="116">
        <v>5</v>
      </c>
      <c r="C70" s="116">
        <v>1</v>
      </c>
      <c r="D70" s="164" t="s">
        <v>4739</v>
      </c>
      <c r="E70" s="164" t="s">
        <v>4009</v>
      </c>
      <c r="F70" s="164">
        <v>59</v>
      </c>
      <c r="G70" s="164" t="s">
        <v>3853</v>
      </c>
      <c r="H70" s="116">
        <v>2</v>
      </c>
      <c r="I70" s="94"/>
      <c r="J70" s="117"/>
      <c r="K70" s="1"/>
    </row>
    <row r="71" spans="1:11" customFormat="1">
      <c r="A71" s="116">
        <v>59007</v>
      </c>
      <c r="B71" s="116">
        <v>5</v>
      </c>
      <c r="C71" s="116">
        <v>1</v>
      </c>
      <c r="D71" s="164" t="s">
        <v>4740</v>
      </c>
      <c r="E71" s="164" t="s">
        <v>4009</v>
      </c>
      <c r="F71" s="164">
        <v>59</v>
      </c>
      <c r="G71" s="164" t="s">
        <v>3853</v>
      </c>
      <c r="H71" s="116">
        <v>2</v>
      </c>
      <c r="I71" s="94"/>
      <c r="J71" s="117"/>
      <c r="K71" s="1" t="s">
        <v>4937</v>
      </c>
    </row>
    <row r="72" spans="1:11" customFormat="1">
      <c r="A72" s="116">
        <v>59008</v>
      </c>
      <c r="B72" s="116">
        <v>5</v>
      </c>
      <c r="C72" s="116">
        <v>1</v>
      </c>
      <c r="D72" s="164" t="s">
        <v>4741</v>
      </c>
      <c r="E72" s="164" t="s">
        <v>4009</v>
      </c>
      <c r="F72" s="164">
        <v>59</v>
      </c>
      <c r="G72" s="164" t="s">
        <v>3853</v>
      </c>
      <c r="H72" s="116">
        <v>2</v>
      </c>
      <c r="I72" s="94"/>
      <c r="J72" s="117"/>
      <c r="K72" s="1" t="s">
        <v>4938</v>
      </c>
    </row>
    <row r="73" spans="1:11" customFormat="1">
      <c r="A73" s="1">
        <v>61001</v>
      </c>
      <c r="B73" s="1">
        <v>6</v>
      </c>
      <c r="C73" s="1">
        <v>1</v>
      </c>
      <c r="D73" s="161" t="s">
        <v>3490</v>
      </c>
      <c r="E73" s="161" t="s">
        <v>4006</v>
      </c>
      <c r="F73" s="1">
        <v>60</v>
      </c>
      <c r="G73" s="1" t="s">
        <v>662</v>
      </c>
      <c r="H73" s="1"/>
      <c r="I73" s="1" t="s">
        <v>3491</v>
      </c>
    </row>
    <row r="74" spans="1:11" customFormat="1">
      <c r="A74" s="1">
        <v>61002</v>
      </c>
      <c r="B74" s="1">
        <v>6</v>
      </c>
      <c r="C74" s="1">
        <v>1</v>
      </c>
      <c r="D74" s="161" t="s">
        <v>3492</v>
      </c>
      <c r="E74" s="161" t="s">
        <v>4006</v>
      </c>
      <c r="F74" s="1">
        <v>60</v>
      </c>
      <c r="G74" s="1" t="s">
        <v>662</v>
      </c>
      <c r="H74" s="1"/>
      <c r="I74" s="1" t="s">
        <v>4939</v>
      </c>
    </row>
    <row r="75" spans="1:11" customFormat="1">
      <c r="A75" s="1">
        <v>61003</v>
      </c>
      <c r="B75" s="1">
        <v>6</v>
      </c>
      <c r="C75" s="1">
        <v>1</v>
      </c>
      <c r="D75" s="161" t="s">
        <v>3493</v>
      </c>
      <c r="E75" s="161" t="s">
        <v>4006</v>
      </c>
      <c r="F75" s="1">
        <v>60</v>
      </c>
      <c r="G75" s="1" t="s">
        <v>662</v>
      </c>
      <c r="H75" s="1"/>
      <c r="I75" s="1" t="s">
        <v>4940</v>
      </c>
    </row>
    <row r="76" spans="1:11" customFormat="1">
      <c r="A76" s="1">
        <v>61004</v>
      </c>
      <c r="B76" s="1">
        <v>6</v>
      </c>
      <c r="C76" s="1">
        <v>1</v>
      </c>
      <c r="D76" s="161" t="s">
        <v>3494</v>
      </c>
      <c r="E76" s="161" t="s">
        <v>4006</v>
      </c>
      <c r="F76" s="1">
        <v>60</v>
      </c>
      <c r="G76" s="1" t="s">
        <v>662</v>
      </c>
      <c r="H76" s="1"/>
      <c r="I76" s="1" t="s">
        <v>4941</v>
      </c>
    </row>
    <row r="77" spans="1:11" customFormat="1">
      <c r="A77" s="1">
        <v>62001</v>
      </c>
      <c r="B77" s="1">
        <v>6</v>
      </c>
      <c r="C77" s="1">
        <v>2</v>
      </c>
      <c r="D77" s="161" t="s">
        <v>3495</v>
      </c>
      <c r="E77" s="161" t="s">
        <v>4013</v>
      </c>
      <c r="F77" s="1">
        <v>61</v>
      </c>
      <c r="G77" s="1" t="s">
        <v>663</v>
      </c>
      <c r="H77" s="1"/>
      <c r="I77" s="1" t="s">
        <v>3496</v>
      </c>
    </row>
    <row r="78" spans="1:11" customFormat="1">
      <c r="A78" s="1">
        <v>62002</v>
      </c>
      <c r="B78" s="1">
        <v>6</v>
      </c>
      <c r="C78" s="1">
        <v>2</v>
      </c>
      <c r="D78" s="161" t="s">
        <v>3497</v>
      </c>
      <c r="E78" s="161" t="s">
        <v>4013</v>
      </c>
      <c r="F78" s="1">
        <v>61</v>
      </c>
      <c r="G78" s="1" t="s">
        <v>663</v>
      </c>
      <c r="H78" s="1"/>
      <c r="I78" s="1" t="s">
        <v>3498</v>
      </c>
    </row>
    <row r="79" spans="1:11" customFormat="1">
      <c r="A79" s="1">
        <v>62003</v>
      </c>
      <c r="B79" s="1">
        <v>6</v>
      </c>
      <c r="C79" s="1">
        <v>2</v>
      </c>
      <c r="D79" s="161" t="s">
        <v>3499</v>
      </c>
      <c r="E79" s="161" t="s">
        <v>4013</v>
      </c>
      <c r="F79" s="1">
        <v>61</v>
      </c>
      <c r="G79" s="1" t="s">
        <v>663</v>
      </c>
      <c r="H79" s="1"/>
      <c r="I79" s="1" t="s">
        <v>3500</v>
      </c>
    </row>
    <row r="80" spans="1:11" customFormat="1">
      <c r="A80" s="1">
        <v>62004</v>
      </c>
      <c r="B80" s="1">
        <v>6</v>
      </c>
      <c r="C80" s="1">
        <v>2</v>
      </c>
      <c r="D80" s="161" t="s">
        <v>3501</v>
      </c>
      <c r="E80" s="161" t="s">
        <v>4013</v>
      </c>
      <c r="F80" s="1">
        <v>61</v>
      </c>
      <c r="G80" s="1" t="s">
        <v>663</v>
      </c>
      <c r="H80" s="1"/>
      <c r="I80" s="1" t="s">
        <v>3502</v>
      </c>
    </row>
    <row r="81" spans="1:10" customFormat="1">
      <c r="A81" s="1">
        <v>62005</v>
      </c>
      <c r="B81" s="1">
        <v>6</v>
      </c>
      <c r="C81" s="1">
        <v>2</v>
      </c>
      <c r="D81" s="161" t="s">
        <v>3503</v>
      </c>
      <c r="E81" s="161" t="s">
        <v>4013</v>
      </c>
      <c r="F81" s="1">
        <v>61</v>
      </c>
      <c r="G81" s="1" t="s">
        <v>663</v>
      </c>
      <c r="H81" s="1"/>
      <c r="I81" s="1" t="s">
        <v>3504</v>
      </c>
    </row>
    <row r="82" spans="1:10" customFormat="1">
      <c r="A82" s="1">
        <v>62006</v>
      </c>
      <c r="B82" s="1">
        <v>6</v>
      </c>
      <c r="C82" s="1">
        <v>2</v>
      </c>
      <c r="D82" s="161" t="s">
        <v>3505</v>
      </c>
      <c r="E82" s="161" t="s">
        <v>4013</v>
      </c>
      <c r="F82" s="1">
        <v>61</v>
      </c>
      <c r="G82" s="1" t="s">
        <v>663</v>
      </c>
      <c r="H82" s="1"/>
      <c r="I82" s="1" t="s">
        <v>3506</v>
      </c>
    </row>
    <row r="83" spans="1:10" customFormat="1">
      <c r="A83" s="1">
        <v>62007</v>
      </c>
      <c r="B83" s="1">
        <v>6</v>
      </c>
      <c r="C83" s="1">
        <v>2</v>
      </c>
      <c r="D83" s="171" t="s">
        <v>4887</v>
      </c>
      <c r="E83" s="161" t="s">
        <v>4013</v>
      </c>
      <c r="F83" s="1">
        <v>61</v>
      </c>
      <c r="G83" s="1" t="s">
        <v>663</v>
      </c>
      <c r="H83" s="1"/>
      <c r="I83" s="1" t="s">
        <v>3507</v>
      </c>
    </row>
    <row r="84" spans="1:10" customFormat="1">
      <c r="A84" s="1">
        <v>62008</v>
      </c>
      <c r="B84" s="1">
        <v>6</v>
      </c>
      <c r="C84" s="1">
        <v>2</v>
      </c>
      <c r="D84" s="161" t="s">
        <v>3508</v>
      </c>
      <c r="E84" s="161" t="s">
        <v>4013</v>
      </c>
      <c r="F84" s="1">
        <v>61</v>
      </c>
      <c r="G84" s="1" t="s">
        <v>663</v>
      </c>
      <c r="H84" s="1"/>
      <c r="I84" s="1" t="s">
        <v>3509</v>
      </c>
    </row>
    <row r="85" spans="1:10" customFormat="1">
      <c r="A85" s="1">
        <v>62009</v>
      </c>
      <c r="B85" s="1">
        <v>6</v>
      </c>
      <c r="C85" s="1">
        <v>2</v>
      </c>
      <c r="D85" s="161" t="s">
        <v>3510</v>
      </c>
      <c r="E85" s="161" t="s">
        <v>4013</v>
      </c>
      <c r="F85" s="1">
        <v>61</v>
      </c>
      <c r="G85" s="1" t="s">
        <v>663</v>
      </c>
      <c r="H85" s="1"/>
      <c r="I85" s="1" t="s">
        <v>3511</v>
      </c>
    </row>
    <row r="86" spans="1:10" customFormat="1">
      <c r="A86" s="1">
        <v>62010</v>
      </c>
      <c r="B86" s="1">
        <v>6</v>
      </c>
      <c r="C86" s="1">
        <v>2</v>
      </c>
      <c r="D86" s="161" t="s">
        <v>3512</v>
      </c>
      <c r="E86" s="161" t="s">
        <v>4013</v>
      </c>
      <c r="F86" s="1">
        <v>61</v>
      </c>
      <c r="G86" s="1" t="s">
        <v>663</v>
      </c>
      <c r="H86" s="1"/>
      <c r="I86" s="1" t="s">
        <v>3513</v>
      </c>
    </row>
    <row r="87" spans="1:10" customFormat="1">
      <c r="A87" s="1">
        <v>71001</v>
      </c>
      <c r="B87" s="1">
        <v>7</v>
      </c>
      <c r="C87" s="1">
        <v>1</v>
      </c>
      <c r="D87" s="161" t="s">
        <v>3514</v>
      </c>
      <c r="E87" s="161" t="s">
        <v>4005</v>
      </c>
      <c r="F87" s="1">
        <v>70</v>
      </c>
      <c r="G87" s="1" t="s">
        <v>664</v>
      </c>
      <c r="H87" s="1"/>
      <c r="I87" s="1"/>
      <c r="J87" s="160" t="s">
        <v>3332</v>
      </c>
    </row>
    <row r="88" spans="1:10" customFormat="1">
      <c r="A88" s="1">
        <v>71002</v>
      </c>
      <c r="B88" s="1">
        <v>7</v>
      </c>
      <c r="C88" s="1">
        <v>1</v>
      </c>
      <c r="D88" s="161" t="s">
        <v>3515</v>
      </c>
      <c r="E88" s="161" t="s">
        <v>4005</v>
      </c>
      <c r="F88" s="1">
        <v>70</v>
      </c>
      <c r="G88" s="1" t="s">
        <v>664</v>
      </c>
      <c r="H88" s="1"/>
      <c r="I88" s="1"/>
      <c r="J88" s="160" t="s">
        <v>3333</v>
      </c>
    </row>
  </sheetData>
  <phoneticPr fontId="71" type="noConversion"/>
  <conditionalFormatting sqref="A89:J1048576 I4:I50 K51:K55 I56:I64 I73:I88 K65:K72">
    <cfRule type="expression" dxfId="1013" priority="99">
      <formula>INDIRECT("B"&amp;ROW())&lt;&gt;INDIRECT("b"&amp;ROW()+1)</formula>
    </cfRule>
  </conditionalFormatting>
  <conditionalFormatting sqref="A1:J2">
    <cfRule type="expression" dxfId="1012" priority="32">
      <formula>INDIRECT("B"&amp;ROW())&lt;&gt;INDIRECT("b"&amp;ROW()+1)</formula>
    </cfRule>
  </conditionalFormatting>
  <conditionalFormatting sqref="A3:J3 A59:H88 J59:J88 A4:H22 J4:J22">
    <cfRule type="expression" dxfId="1011" priority="31">
      <formula>INDIRECT("B"&amp;ROW())&lt;&gt;INDIRECT("b"&amp;ROW()+1)</formula>
    </cfRule>
  </conditionalFormatting>
  <conditionalFormatting sqref="A23:A24 A31:A34 D34 A40:H41 A47:H50 A25:H30 A42:G42 A43 B54:H55 A56:H57 J52:J57 J25:J30 J47:J50 J40:J43">
    <cfRule type="expression" dxfId="1010" priority="30">
      <formula>INDIRECT("B"&amp;ROW())&lt;&gt;INDIRECT("b"&amp;ROW()+1)</formula>
    </cfRule>
  </conditionalFormatting>
  <conditionalFormatting sqref="B23:H24 J23:J24">
    <cfRule type="expression" dxfId="1009" priority="29">
      <formula>INDIRECT("B"&amp;ROW())&lt;&gt;INDIRECT("b"&amp;ROW()+1)</formula>
    </cfRule>
  </conditionalFormatting>
  <conditionalFormatting sqref="B31:H31 B34:C34 B32:G33 H32:H34 J31:J33">
    <cfRule type="expression" dxfId="1008" priority="28">
      <formula>INDIRECT("B"&amp;ROW())&lt;&gt;INDIRECT("b"&amp;ROW()+1)</formula>
    </cfRule>
  </conditionalFormatting>
  <conditionalFormatting sqref="E34:G34">
    <cfRule type="expression" dxfId="1007" priority="27">
      <formula>INDIRECT("B"&amp;ROW())&lt;&gt;INDIRECT("b"&amp;ROW()+1)</formula>
    </cfRule>
  </conditionalFormatting>
  <conditionalFormatting sqref="A51:H51 A52:A55 J51">
    <cfRule type="expression" dxfId="1006" priority="26">
      <formula>INDIRECT("B"&amp;ROW())&lt;&gt;INDIRECT("b"&amp;ROW()+1)</formula>
    </cfRule>
  </conditionalFormatting>
  <conditionalFormatting sqref="H42">
    <cfRule type="expression" dxfId="1005" priority="25">
      <formula>INDIRECT("B"&amp;ROW())&lt;&gt;INDIRECT("b"&amp;ROW()+1)</formula>
    </cfRule>
  </conditionalFormatting>
  <conditionalFormatting sqref="B43:G43">
    <cfRule type="expression" dxfId="1004" priority="24">
      <formula>INDIRECT("B"&amp;ROW())&lt;&gt;INDIRECT("b"&amp;ROW()+1)</formula>
    </cfRule>
  </conditionalFormatting>
  <conditionalFormatting sqref="H43">
    <cfRule type="expression" dxfId="1003" priority="23">
      <formula>INDIRECT("B"&amp;ROW())&lt;&gt;INDIRECT("b"&amp;ROW()+1)</formula>
    </cfRule>
  </conditionalFormatting>
  <conditionalFormatting sqref="B52:H52">
    <cfRule type="expression" dxfId="1002" priority="22">
      <formula>INDIRECT("B"&amp;ROW())&lt;&gt;INDIRECT("b"&amp;ROW()+1)</formula>
    </cfRule>
  </conditionalFormatting>
  <conditionalFormatting sqref="J44:J46 A44:A46">
    <cfRule type="expression" dxfId="1001" priority="21">
      <formula>INDIRECT("B"&amp;ROW())&lt;&gt;INDIRECT("b"&amp;ROW()+1)</formula>
    </cfRule>
  </conditionalFormatting>
  <conditionalFormatting sqref="B44:G46">
    <cfRule type="expression" dxfId="1000" priority="20">
      <formula>INDIRECT("B"&amp;ROW())&lt;&gt;INDIRECT("b"&amp;ROW()+1)</formula>
    </cfRule>
  </conditionalFormatting>
  <conditionalFormatting sqref="H44:H46">
    <cfRule type="expression" dxfId="999" priority="19">
      <formula>INDIRECT("B"&amp;ROW())&lt;&gt;INDIRECT("b"&amp;ROW()+1)</formula>
    </cfRule>
  </conditionalFormatting>
  <conditionalFormatting sqref="B53:H53">
    <cfRule type="expression" dxfId="998" priority="18">
      <formula>INDIRECT("B"&amp;ROW())&lt;&gt;INDIRECT("b"&amp;ROW()+1)</formula>
    </cfRule>
  </conditionalFormatting>
  <conditionalFormatting sqref="A35 D35">
    <cfRule type="expression" dxfId="997" priority="17">
      <formula>INDIRECT("B"&amp;ROW())&lt;&gt;INDIRECT("b"&amp;ROW()+1)</formula>
    </cfRule>
  </conditionalFormatting>
  <conditionalFormatting sqref="B35:C35 H35">
    <cfRule type="expression" dxfId="996" priority="16">
      <formula>INDIRECT("B"&amp;ROW())&lt;&gt;INDIRECT("b"&amp;ROW()+1)</formula>
    </cfRule>
  </conditionalFormatting>
  <conditionalFormatting sqref="E35:G35">
    <cfRule type="expression" dxfId="995" priority="15">
      <formula>INDIRECT("B"&amp;ROW())&lt;&gt;INDIRECT("b"&amp;ROW()+1)</formula>
    </cfRule>
  </conditionalFormatting>
  <conditionalFormatting sqref="D36:D39 A36:A39">
    <cfRule type="expression" dxfId="994" priority="14">
      <formula>INDIRECT("B"&amp;ROW())&lt;&gt;INDIRECT("b"&amp;ROW()+1)</formula>
    </cfRule>
  </conditionalFormatting>
  <conditionalFormatting sqref="H36 B36:C39">
    <cfRule type="expression" dxfId="993" priority="13">
      <formula>INDIRECT("B"&amp;ROW())&lt;&gt;INDIRECT("b"&amp;ROW()+1)</formula>
    </cfRule>
  </conditionalFormatting>
  <conditionalFormatting sqref="E36:G36">
    <cfRule type="expression" dxfId="992" priority="12">
      <formula>INDIRECT("B"&amp;ROW())&lt;&gt;INDIRECT("b"&amp;ROW()+1)</formula>
    </cfRule>
  </conditionalFormatting>
  <conditionalFormatting sqref="A58:H58 J58">
    <cfRule type="expression" dxfId="991" priority="11">
      <formula>INDIRECT("B"&amp;ROW())&lt;&gt;INDIRECT("b"&amp;ROW()+1)</formula>
    </cfRule>
  </conditionalFormatting>
  <conditionalFormatting sqref="E37">
    <cfRule type="expression" dxfId="990" priority="10">
      <formula>INDIRECT("B"&amp;ROW())&lt;&gt;INDIRECT("b"&amp;ROW()+1)</formula>
    </cfRule>
  </conditionalFormatting>
  <conditionalFormatting sqref="E38">
    <cfRule type="expression" dxfId="989" priority="9">
      <formula>INDIRECT("B"&amp;ROW())&lt;&gt;INDIRECT("b"&amp;ROW()+1)</formula>
    </cfRule>
  </conditionalFormatting>
  <conditionalFormatting sqref="E39">
    <cfRule type="expression" dxfId="988" priority="8">
      <formula>INDIRECT("B"&amp;ROW())&lt;&gt;INDIRECT("b"&amp;ROW()+1)</formula>
    </cfRule>
  </conditionalFormatting>
  <conditionalFormatting sqref="H37">
    <cfRule type="expression" dxfId="987" priority="7">
      <formula>INDIRECT("B"&amp;ROW())&lt;&gt;INDIRECT("b"&amp;ROW()+1)</formula>
    </cfRule>
  </conditionalFormatting>
  <conditionalFormatting sqref="F37:G37">
    <cfRule type="expression" dxfId="986" priority="6">
      <formula>INDIRECT("B"&amp;ROW())&lt;&gt;INDIRECT("b"&amp;ROW()+1)</formula>
    </cfRule>
  </conditionalFormatting>
  <conditionalFormatting sqref="H38">
    <cfRule type="expression" dxfId="985" priority="5">
      <formula>INDIRECT("B"&amp;ROW())&lt;&gt;INDIRECT("b"&amp;ROW()+1)</formula>
    </cfRule>
  </conditionalFormatting>
  <conditionalFormatting sqref="F38:G38">
    <cfRule type="expression" dxfId="984" priority="4">
      <formula>INDIRECT("B"&amp;ROW())&lt;&gt;INDIRECT("b"&amp;ROW()+1)</formula>
    </cfRule>
  </conditionalFormatting>
  <conditionalFormatting sqref="H39">
    <cfRule type="expression" dxfId="983" priority="3">
      <formula>INDIRECT("B"&amp;ROW())&lt;&gt;INDIRECT("b"&amp;ROW()+1)</formula>
    </cfRule>
  </conditionalFormatting>
  <conditionalFormatting sqref="F39:G39">
    <cfRule type="expression" dxfId="982" priority="2">
      <formula>INDIRECT("B"&amp;ROW())&lt;&gt;INDIRECT("b"&amp;ROW()+1)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Pict="0" macro="[0]!宠物_输入有效性">
                <anchor moveWithCells="1" sizeWithCells="1">
                  <from>
                    <xdr:col>11</xdr:col>
                    <xdr:colOff>257175</xdr:colOff>
                    <xdr:row>0</xdr:row>
                    <xdr:rowOff>76200</xdr:rowOff>
                  </from>
                  <to>
                    <xdr:col>12</xdr:col>
                    <xdr:colOff>266700</xdr:colOff>
                    <xdr:row>1</xdr:row>
                    <xdr:rowOff>133350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X108"/>
  <sheetViews>
    <sheetView workbookViewId="0">
      <pane ySplit="1" topLeftCell="A20" activePane="bottomLeft" state="frozen"/>
      <selection pane="bottomLeft" activeCell="I29" sqref="I29"/>
    </sheetView>
  </sheetViews>
  <sheetFormatPr defaultColWidth="9" defaultRowHeight="16.5"/>
  <cols>
    <col min="1" max="2" width="6.375" customWidth="1"/>
    <col min="3" max="3" width="10.5" customWidth="1"/>
    <col min="4" max="4" width="9.25" customWidth="1"/>
    <col min="5" max="5" width="9.375" customWidth="1"/>
    <col min="6" max="6" width="8.75" customWidth="1"/>
    <col min="7" max="10" width="9.375" customWidth="1"/>
    <col min="11" max="11" width="18.75" customWidth="1"/>
    <col min="12" max="12" width="9.375" customWidth="1"/>
    <col min="13" max="17" width="7.75" customWidth="1"/>
    <col min="18" max="18" width="9.375" customWidth="1"/>
    <col min="19" max="19" width="6.875" customWidth="1"/>
    <col min="20" max="20" width="18.5" customWidth="1"/>
    <col min="21" max="21" width="14.25" customWidth="1"/>
    <col min="22" max="22" width="42.125" customWidth="1"/>
    <col min="23" max="23" width="3.5" bestFit="1" customWidth="1"/>
  </cols>
  <sheetData>
    <row r="1" spans="1:24" s="103" customFormat="1" ht="63.75" customHeight="1">
      <c r="A1" s="21" t="s">
        <v>3873</v>
      </c>
      <c r="B1" s="21" t="s">
        <v>3945</v>
      </c>
      <c r="C1" s="21" t="s">
        <v>3946</v>
      </c>
      <c r="D1" s="22" t="s">
        <v>3850</v>
      </c>
      <c r="E1" s="22" t="s">
        <v>3947</v>
      </c>
      <c r="F1" s="22" t="s">
        <v>3948</v>
      </c>
      <c r="G1" s="22" t="s">
        <v>3949</v>
      </c>
      <c r="H1" s="22" t="s">
        <v>3857</v>
      </c>
      <c r="I1" s="22" t="s">
        <v>3856</v>
      </c>
      <c r="J1" s="22" t="s">
        <v>3854</v>
      </c>
      <c r="K1" s="22" t="s">
        <v>3855</v>
      </c>
      <c r="L1" s="22" t="s">
        <v>3853</v>
      </c>
      <c r="M1" s="23" t="s">
        <v>3950</v>
      </c>
      <c r="N1" s="23" t="s">
        <v>3951</v>
      </c>
      <c r="O1" s="23" t="s">
        <v>3952</v>
      </c>
      <c r="P1" s="23" t="s">
        <v>3953</v>
      </c>
      <c r="Q1" s="23" t="s">
        <v>3954</v>
      </c>
      <c r="R1" s="102" t="s">
        <v>3955</v>
      </c>
      <c r="S1" s="102" t="s">
        <v>3956</v>
      </c>
      <c r="T1" s="102" t="s">
        <v>3957</v>
      </c>
      <c r="U1" s="102" t="s">
        <v>3958</v>
      </c>
      <c r="V1" s="102" t="s">
        <v>3959</v>
      </c>
      <c r="W1" s="102"/>
    </row>
    <row r="2" spans="1:24">
      <c r="A2" s="108">
        <v>1</v>
      </c>
      <c r="B2" s="108">
        <v>1</v>
      </c>
      <c r="C2" s="108">
        <v>1</v>
      </c>
      <c r="D2" s="108">
        <v>1</v>
      </c>
      <c r="E2" s="108">
        <v>1</v>
      </c>
      <c r="F2" s="108">
        <v>0</v>
      </c>
      <c r="G2" s="108">
        <v>0</v>
      </c>
      <c r="H2" s="108"/>
      <c r="I2" s="108"/>
      <c r="J2" s="108"/>
      <c r="K2" s="108"/>
      <c r="L2" s="108"/>
      <c r="M2" s="108">
        <v>1</v>
      </c>
      <c r="N2" s="111" t="s">
        <v>3516</v>
      </c>
      <c r="O2" s="111" t="s">
        <v>3516</v>
      </c>
      <c r="P2" s="110" t="s">
        <v>3967</v>
      </c>
      <c r="Q2" s="110">
        <v>3</v>
      </c>
      <c r="R2">
        <v>10101001</v>
      </c>
      <c r="S2">
        <v>10101</v>
      </c>
      <c r="T2" t="s">
        <v>3968</v>
      </c>
      <c r="U2" t="s">
        <v>3961</v>
      </c>
      <c r="V2" t="s">
        <v>3986</v>
      </c>
      <c r="W2">
        <v>17</v>
      </c>
      <c r="X2">
        <v>4.8246862457267392E-3</v>
      </c>
    </row>
    <row r="3" spans="1:24">
      <c r="A3" s="92">
        <v>2</v>
      </c>
      <c r="B3" s="92">
        <v>1</v>
      </c>
      <c r="C3" s="92" t="s">
        <v>3871</v>
      </c>
      <c r="D3" s="92" t="s">
        <v>4057</v>
      </c>
      <c r="E3" s="92" t="s">
        <v>4071</v>
      </c>
      <c r="F3" s="92"/>
      <c r="G3" s="92"/>
      <c r="H3" s="92"/>
      <c r="I3" s="92" t="s">
        <v>4072</v>
      </c>
      <c r="J3" s="92" t="s">
        <v>3869</v>
      </c>
      <c r="K3" s="92" t="s">
        <v>4060</v>
      </c>
      <c r="L3" s="92" t="s">
        <v>3907</v>
      </c>
      <c r="M3" s="92">
        <v>1</v>
      </c>
      <c r="N3" s="92" t="s">
        <v>4063</v>
      </c>
      <c r="O3" s="92" t="s">
        <v>4063</v>
      </c>
      <c r="P3" s="92" t="s">
        <v>4063</v>
      </c>
      <c r="Q3" s="92" t="s">
        <v>4063</v>
      </c>
      <c r="R3" s="92">
        <v>20103001</v>
      </c>
      <c r="S3" s="92">
        <v>20103</v>
      </c>
      <c r="T3" s="92" t="s">
        <v>3966</v>
      </c>
      <c r="U3" s="92" t="s">
        <v>4062</v>
      </c>
      <c r="V3" s="92" t="s">
        <v>4211</v>
      </c>
      <c r="W3">
        <v>86</v>
      </c>
      <c r="X3">
        <v>7.0392122299736126E-3</v>
      </c>
    </row>
    <row r="4" spans="1:24">
      <c r="A4" s="92">
        <v>2</v>
      </c>
      <c r="B4" s="92">
        <v>1</v>
      </c>
      <c r="C4" s="92" t="s">
        <v>3871</v>
      </c>
      <c r="D4" s="92" t="s">
        <v>4057</v>
      </c>
      <c r="E4" s="92" t="s">
        <v>4071</v>
      </c>
      <c r="F4" s="92"/>
      <c r="G4" s="92"/>
      <c r="H4" s="92"/>
      <c r="I4" s="92" t="s">
        <v>4072</v>
      </c>
      <c r="J4" s="92" t="s">
        <v>3869</v>
      </c>
      <c r="K4" s="92" t="s">
        <v>4060</v>
      </c>
      <c r="L4" s="92" t="s">
        <v>3859</v>
      </c>
      <c r="M4" s="92">
        <v>1</v>
      </c>
      <c r="N4" s="92" t="s">
        <v>4063</v>
      </c>
      <c r="O4" s="92" t="s">
        <v>4063</v>
      </c>
      <c r="P4" s="92" t="s">
        <v>4063</v>
      </c>
      <c r="Q4" s="92" t="s">
        <v>4063</v>
      </c>
      <c r="R4" s="92">
        <v>20103002</v>
      </c>
      <c r="S4" s="92">
        <v>20103</v>
      </c>
      <c r="T4" s="92" t="s">
        <v>3966</v>
      </c>
      <c r="U4" s="92" t="s">
        <v>4073</v>
      </c>
      <c r="V4" s="92" t="s">
        <v>4213</v>
      </c>
      <c r="W4">
        <v>88</v>
      </c>
      <c r="X4">
        <v>1.2859351623835558E-2</v>
      </c>
    </row>
    <row r="5" spans="1:24">
      <c r="A5" s="112">
        <v>1</v>
      </c>
      <c r="B5" s="112">
        <v>1</v>
      </c>
      <c r="C5" s="112">
        <v>2</v>
      </c>
      <c r="D5" s="112">
        <v>1</v>
      </c>
      <c r="E5" s="112">
        <v>1</v>
      </c>
      <c r="F5" s="112">
        <v>0</v>
      </c>
      <c r="G5" s="112">
        <v>0</v>
      </c>
      <c r="H5" s="112"/>
      <c r="I5" s="112"/>
      <c r="J5" s="112"/>
      <c r="K5" s="112"/>
      <c r="L5" s="112"/>
      <c r="M5" s="112">
        <v>1</v>
      </c>
      <c r="N5" s="112">
        <v>1</v>
      </c>
      <c r="O5" s="112">
        <v>1</v>
      </c>
      <c r="P5" s="16">
        <v>3</v>
      </c>
      <c r="Q5" s="16">
        <v>3</v>
      </c>
      <c r="R5" s="16">
        <v>10102001</v>
      </c>
      <c r="S5" s="16">
        <v>10102</v>
      </c>
      <c r="T5" s="16" t="s">
        <v>3970</v>
      </c>
      <c r="U5" s="16" t="s">
        <v>3961</v>
      </c>
      <c r="V5" s="16" t="s">
        <v>3999</v>
      </c>
      <c r="W5">
        <v>50</v>
      </c>
      <c r="X5">
        <v>1.4631198207117002E-2</v>
      </c>
    </row>
    <row r="6" spans="1:24">
      <c r="A6" s="92">
        <v>2</v>
      </c>
      <c r="B6" s="92">
        <v>1</v>
      </c>
      <c r="C6" s="147" t="s">
        <v>3913</v>
      </c>
      <c r="D6" s="92" t="s">
        <v>4064</v>
      </c>
      <c r="E6" s="92" t="s">
        <v>4069</v>
      </c>
      <c r="F6" s="92"/>
      <c r="G6" s="92"/>
      <c r="H6" s="92"/>
      <c r="I6" s="92" t="s">
        <v>4070</v>
      </c>
      <c r="J6" s="92" t="s">
        <v>3869</v>
      </c>
      <c r="K6" s="92" t="s">
        <v>4060</v>
      </c>
      <c r="L6" s="92" t="s">
        <v>4101</v>
      </c>
      <c r="M6" s="92">
        <v>1</v>
      </c>
      <c r="N6" s="92" t="s">
        <v>4061</v>
      </c>
      <c r="O6" s="92" t="s">
        <v>4061</v>
      </c>
      <c r="P6" s="92" t="s">
        <v>4061</v>
      </c>
      <c r="Q6" s="92" t="s">
        <v>4061</v>
      </c>
      <c r="R6" s="92">
        <v>20102001</v>
      </c>
      <c r="S6" s="92">
        <v>20102</v>
      </c>
      <c r="T6" s="92" t="s">
        <v>3960</v>
      </c>
      <c r="U6" s="92" t="s">
        <v>4065</v>
      </c>
      <c r="V6" s="92" t="s">
        <v>4393</v>
      </c>
      <c r="W6">
        <v>83</v>
      </c>
      <c r="X6">
        <v>2.5326069150789943E-2</v>
      </c>
    </row>
    <row r="7" spans="1:24">
      <c r="A7" s="113">
        <v>1</v>
      </c>
      <c r="B7" s="113">
        <v>1</v>
      </c>
      <c r="C7" s="113">
        <v>2</v>
      </c>
      <c r="D7" s="113">
        <v>1</v>
      </c>
      <c r="E7" s="113">
        <v>1</v>
      </c>
      <c r="F7" s="113">
        <v>0</v>
      </c>
      <c r="G7" s="113">
        <v>0</v>
      </c>
      <c r="H7" s="113"/>
      <c r="I7" s="113"/>
      <c r="J7" s="113"/>
      <c r="K7" s="113"/>
      <c r="L7" s="113"/>
      <c r="M7" s="113">
        <v>1</v>
      </c>
      <c r="N7" s="113">
        <v>1</v>
      </c>
      <c r="O7" s="113">
        <v>1</v>
      </c>
      <c r="P7" s="113">
        <v>2</v>
      </c>
      <c r="Q7" s="113">
        <v>2</v>
      </c>
      <c r="R7" s="17">
        <v>10102002</v>
      </c>
      <c r="S7" s="17">
        <v>10102</v>
      </c>
      <c r="T7" s="17" t="s">
        <v>3969</v>
      </c>
      <c r="U7" s="17" t="s">
        <v>3961</v>
      </c>
      <c r="V7" s="17" t="s">
        <v>3997</v>
      </c>
      <c r="W7">
        <v>46</v>
      </c>
      <c r="X7">
        <v>2.8762116528427417E-2</v>
      </c>
    </row>
    <row r="8" spans="1:24">
      <c r="A8" s="112">
        <v>1</v>
      </c>
      <c r="B8" s="112">
        <v>1</v>
      </c>
      <c r="C8" s="112">
        <v>2</v>
      </c>
      <c r="D8" s="112">
        <v>1</v>
      </c>
      <c r="E8" s="112">
        <v>1</v>
      </c>
      <c r="F8" s="112">
        <v>1</v>
      </c>
      <c r="G8" s="112">
        <v>0</v>
      </c>
      <c r="H8" s="112"/>
      <c r="I8" s="112"/>
      <c r="J8" s="112"/>
      <c r="K8" s="112"/>
      <c r="L8" s="112"/>
      <c r="M8" s="112">
        <v>1</v>
      </c>
      <c r="N8" s="112">
        <v>1</v>
      </c>
      <c r="O8" s="112">
        <v>1</v>
      </c>
      <c r="P8" s="112">
        <v>2</v>
      </c>
      <c r="Q8" s="112">
        <v>1</v>
      </c>
      <c r="R8" s="112">
        <v>10102003</v>
      </c>
      <c r="S8" s="112">
        <v>10102</v>
      </c>
      <c r="T8" s="112" t="s">
        <v>3974</v>
      </c>
      <c r="U8" s="112" t="s">
        <v>3972</v>
      </c>
      <c r="V8" s="112" t="s">
        <v>4000</v>
      </c>
      <c r="W8">
        <v>57</v>
      </c>
      <c r="X8">
        <v>2.8798236492245333E-2</v>
      </c>
    </row>
    <row r="9" spans="1:24">
      <c r="A9" s="111">
        <v>1</v>
      </c>
      <c r="B9" s="111">
        <v>1</v>
      </c>
      <c r="C9" s="111">
        <v>1</v>
      </c>
      <c r="D9" s="111">
        <v>4</v>
      </c>
      <c r="E9" s="111">
        <v>1</v>
      </c>
      <c r="F9" s="111">
        <v>0</v>
      </c>
      <c r="G9" s="111">
        <v>0</v>
      </c>
      <c r="H9" s="111"/>
      <c r="I9" s="111"/>
      <c r="J9" s="111"/>
      <c r="K9" s="111"/>
      <c r="L9" s="111"/>
      <c r="M9" s="111">
        <v>1</v>
      </c>
      <c r="N9" s="111">
        <v>1</v>
      </c>
      <c r="O9" s="111">
        <v>1</v>
      </c>
      <c r="P9" s="110">
        <v>1</v>
      </c>
      <c r="Q9" s="110">
        <v>1</v>
      </c>
      <c r="R9">
        <v>10101002</v>
      </c>
      <c r="S9">
        <v>10101</v>
      </c>
      <c r="T9" t="s">
        <v>3960</v>
      </c>
      <c r="U9" t="s">
        <v>3964</v>
      </c>
      <c r="V9" t="s">
        <v>3980</v>
      </c>
      <c r="W9">
        <v>32</v>
      </c>
      <c r="X9">
        <v>3.9766399135489294E-2</v>
      </c>
    </row>
    <row r="10" spans="1:24">
      <c r="A10" s="92">
        <v>2</v>
      </c>
      <c r="B10" s="92">
        <v>1</v>
      </c>
      <c r="C10" s="92" t="s">
        <v>3903</v>
      </c>
      <c r="D10" s="92" t="s">
        <v>4057</v>
      </c>
      <c r="E10" s="92" t="s">
        <v>4058</v>
      </c>
      <c r="F10" s="92"/>
      <c r="G10" s="92"/>
      <c r="H10" s="92"/>
      <c r="I10" s="92" t="s">
        <v>4059</v>
      </c>
      <c r="J10" s="92" t="s">
        <v>3869</v>
      </c>
      <c r="K10" s="92" t="s">
        <v>4060</v>
      </c>
      <c r="L10" s="92" t="s">
        <v>3907</v>
      </c>
      <c r="M10" s="92">
        <v>1</v>
      </c>
      <c r="N10" s="92" t="s">
        <v>4063</v>
      </c>
      <c r="O10" s="92" t="s">
        <v>4063</v>
      </c>
      <c r="P10" s="92" t="s">
        <v>4063</v>
      </c>
      <c r="Q10" s="92" t="s">
        <v>4063</v>
      </c>
      <c r="R10" s="92">
        <v>20101001</v>
      </c>
      <c r="S10" s="92">
        <v>20101</v>
      </c>
      <c r="T10" s="92" t="s">
        <v>3966</v>
      </c>
      <c r="U10" s="92" t="s">
        <v>4062</v>
      </c>
      <c r="V10" s="92" t="s">
        <v>4203</v>
      </c>
      <c r="W10">
        <v>76</v>
      </c>
      <c r="X10">
        <v>5.427456182621071E-2</v>
      </c>
    </row>
    <row r="11" spans="1:24">
      <c r="A11" s="108">
        <v>1</v>
      </c>
      <c r="B11" s="108">
        <v>1</v>
      </c>
      <c r="C11" s="108">
        <v>1</v>
      </c>
      <c r="D11" s="108">
        <v>2</v>
      </c>
      <c r="E11" s="108">
        <v>1</v>
      </c>
      <c r="F11" s="108">
        <v>0</v>
      </c>
      <c r="G11" s="108">
        <v>0</v>
      </c>
      <c r="H11" s="108"/>
      <c r="I11" s="108"/>
      <c r="J11" s="108"/>
      <c r="K11" s="108"/>
      <c r="L11" s="108"/>
      <c r="M11" s="108">
        <v>1</v>
      </c>
      <c r="N11" s="108">
        <v>1</v>
      </c>
      <c r="O11" s="108">
        <v>1</v>
      </c>
      <c r="P11" s="110">
        <v>1</v>
      </c>
      <c r="Q11" s="110">
        <v>1</v>
      </c>
      <c r="R11">
        <v>10101003</v>
      </c>
      <c r="S11">
        <v>10101</v>
      </c>
      <c r="T11" t="s">
        <v>3960</v>
      </c>
      <c r="U11" t="s">
        <v>3963</v>
      </c>
      <c r="V11" t="s">
        <v>3978</v>
      </c>
      <c r="W11">
        <v>38</v>
      </c>
      <c r="X11">
        <v>7.6859544885808817E-2</v>
      </c>
    </row>
    <row r="12" spans="1:24">
      <c r="A12" s="111">
        <v>1</v>
      </c>
      <c r="B12" s="111">
        <v>1</v>
      </c>
      <c r="C12" s="111">
        <v>1</v>
      </c>
      <c r="D12" s="111">
        <v>1</v>
      </c>
      <c r="E12" s="111">
        <v>1</v>
      </c>
      <c r="F12" s="111">
        <v>0</v>
      </c>
      <c r="G12" s="111">
        <v>0</v>
      </c>
      <c r="H12" s="111"/>
      <c r="I12" s="111"/>
      <c r="J12" s="111"/>
      <c r="K12" s="111"/>
      <c r="L12" s="111"/>
      <c r="M12" s="111">
        <v>1</v>
      </c>
      <c r="N12" s="111" t="s">
        <v>3516</v>
      </c>
      <c r="O12" s="111" t="s">
        <v>3516</v>
      </c>
      <c r="P12" s="111">
        <v>2</v>
      </c>
      <c r="Q12" s="111">
        <v>2</v>
      </c>
      <c r="R12">
        <v>10101004</v>
      </c>
      <c r="S12">
        <v>10101</v>
      </c>
      <c r="T12" t="s">
        <v>3966</v>
      </c>
      <c r="U12" t="s">
        <v>3961</v>
      </c>
      <c r="V12" t="s">
        <v>3982</v>
      </c>
      <c r="W12">
        <v>13</v>
      </c>
      <c r="X12">
        <v>7.8173274020005068E-2</v>
      </c>
    </row>
    <row r="13" spans="1:24">
      <c r="A13" s="92">
        <v>2</v>
      </c>
      <c r="B13" s="92">
        <v>1</v>
      </c>
      <c r="C13" s="92" t="s">
        <v>3871</v>
      </c>
      <c r="D13" s="92" t="s">
        <v>4057</v>
      </c>
      <c r="E13" s="92" t="s">
        <v>4071</v>
      </c>
      <c r="F13" s="92"/>
      <c r="G13" s="92"/>
      <c r="H13" s="92"/>
      <c r="I13" s="92" t="s">
        <v>4072</v>
      </c>
      <c r="J13" s="92" t="s">
        <v>3869</v>
      </c>
      <c r="K13" s="114" t="s">
        <v>4060</v>
      </c>
      <c r="L13" s="92" t="s">
        <v>3859</v>
      </c>
      <c r="M13" s="92">
        <v>1</v>
      </c>
      <c r="N13" s="92" t="s">
        <v>4061</v>
      </c>
      <c r="O13" s="92" t="s">
        <v>4061</v>
      </c>
      <c r="P13" s="92" t="s">
        <v>4061</v>
      </c>
      <c r="Q13" s="92" t="s">
        <v>4061</v>
      </c>
      <c r="R13" s="92">
        <v>20103003</v>
      </c>
      <c r="S13" s="92">
        <v>20103</v>
      </c>
      <c r="T13" s="92" t="s">
        <v>3960</v>
      </c>
      <c r="U13" s="92" t="s">
        <v>4073</v>
      </c>
      <c r="V13" s="92" t="s">
        <v>4212</v>
      </c>
      <c r="W13">
        <v>87</v>
      </c>
      <c r="X13">
        <v>0.10152581551417483</v>
      </c>
    </row>
    <row r="14" spans="1:24">
      <c r="A14" s="92">
        <v>2</v>
      </c>
      <c r="B14" s="92">
        <v>1</v>
      </c>
      <c r="C14" s="92" t="s">
        <v>3871</v>
      </c>
      <c r="D14" s="92" t="s">
        <v>4076</v>
      </c>
      <c r="E14" s="92" t="s">
        <v>4077</v>
      </c>
      <c r="F14" s="92"/>
      <c r="G14" s="92"/>
      <c r="H14" s="92"/>
      <c r="I14" s="92" t="s">
        <v>4078</v>
      </c>
      <c r="J14" s="92" t="s">
        <v>3869</v>
      </c>
      <c r="K14" s="114" t="s">
        <v>4060</v>
      </c>
      <c r="L14" s="92" t="s">
        <v>4074</v>
      </c>
      <c r="M14" s="92">
        <v>1</v>
      </c>
      <c r="N14" s="92" t="s">
        <v>4061</v>
      </c>
      <c r="O14" s="92" t="s">
        <v>4061</v>
      </c>
      <c r="P14" s="92" t="s">
        <v>4061</v>
      </c>
      <c r="Q14" s="92" t="s">
        <v>4061</v>
      </c>
      <c r="R14" s="92">
        <v>20103004</v>
      </c>
      <c r="S14" s="92">
        <v>20103</v>
      </c>
      <c r="T14" s="92" t="s">
        <v>3960</v>
      </c>
      <c r="U14" s="92" t="s">
        <v>4081</v>
      </c>
      <c r="V14" s="92" t="s">
        <v>4220</v>
      </c>
      <c r="W14">
        <v>95</v>
      </c>
      <c r="X14">
        <v>0.11784208909959237</v>
      </c>
    </row>
    <row r="15" spans="1:24">
      <c r="A15" s="111">
        <v>1</v>
      </c>
      <c r="B15" s="111">
        <v>1</v>
      </c>
      <c r="C15" s="111">
        <v>1</v>
      </c>
      <c r="D15" s="111">
        <v>2</v>
      </c>
      <c r="E15" s="111">
        <v>1</v>
      </c>
      <c r="F15" s="111">
        <v>0</v>
      </c>
      <c r="G15" s="111">
        <v>0</v>
      </c>
      <c r="H15" s="111"/>
      <c r="I15" s="111"/>
      <c r="J15" s="111"/>
      <c r="K15" s="111"/>
      <c r="L15" s="111"/>
      <c r="M15" s="111">
        <v>1</v>
      </c>
      <c r="N15" s="111">
        <v>1</v>
      </c>
      <c r="O15" s="111">
        <v>1</v>
      </c>
      <c r="P15" s="110">
        <v>3</v>
      </c>
      <c r="Q15" s="110">
        <v>3</v>
      </c>
      <c r="R15">
        <v>10101005</v>
      </c>
      <c r="S15">
        <v>10101</v>
      </c>
      <c r="T15" t="s">
        <v>3970</v>
      </c>
      <c r="U15" t="s">
        <v>3963</v>
      </c>
      <c r="V15" t="s">
        <v>3987</v>
      </c>
      <c r="W15">
        <v>30</v>
      </c>
      <c r="X15">
        <v>0.12424330841641307</v>
      </c>
    </row>
    <row r="16" spans="1:24">
      <c r="A16" s="113">
        <v>1</v>
      </c>
      <c r="B16" s="113">
        <v>1</v>
      </c>
      <c r="C16" s="113">
        <v>2</v>
      </c>
      <c r="D16" s="113">
        <v>1</v>
      </c>
      <c r="E16" s="113">
        <v>1</v>
      </c>
      <c r="F16" s="113">
        <v>0</v>
      </c>
      <c r="G16" s="113">
        <v>0</v>
      </c>
      <c r="H16" s="113"/>
      <c r="I16" s="113"/>
      <c r="J16" s="113"/>
      <c r="K16" s="113"/>
      <c r="L16" s="113"/>
      <c r="M16" s="113">
        <v>1</v>
      </c>
      <c r="N16" s="113">
        <v>1</v>
      </c>
      <c r="O16" s="113">
        <v>1</v>
      </c>
      <c r="P16" s="113">
        <v>1</v>
      </c>
      <c r="Q16" s="113">
        <v>2</v>
      </c>
      <c r="R16" s="17">
        <v>10102004</v>
      </c>
      <c r="S16" s="17">
        <v>10102</v>
      </c>
      <c r="T16" s="17" t="s">
        <v>3973</v>
      </c>
      <c r="U16" s="17" t="s">
        <v>3961</v>
      </c>
      <c r="V16" s="17" t="s">
        <v>4001</v>
      </c>
      <c r="W16">
        <v>55</v>
      </c>
      <c r="X16">
        <v>0.14654026023974442</v>
      </c>
    </row>
    <row r="17" spans="1:24">
      <c r="A17" s="112">
        <v>1</v>
      </c>
      <c r="B17" s="112">
        <v>1</v>
      </c>
      <c r="C17" s="112">
        <v>2</v>
      </c>
      <c r="D17" s="112">
        <v>1</v>
      </c>
      <c r="E17" s="112">
        <v>1</v>
      </c>
      <c r="F17" s="112">
        <v>1</v>
      </c>
      <c r="G17" s="112">
        <v>0</v>
      </c>
      <c r="H17" s="112"/>
      <c r="I17" s="112"/>
      <c r="J17" s="112"/>
      <c r="K17" s="112"/>
      <c r="L17" s="112"/>
      <c r="M17" s="112">
        <v>1</v>
      </c>
      <c r="N17" s="112">
        <v>1</v>
      </c>
      <c r="O17" s="112">
        <v>1</v>
      </c>
      <c r="P17" s="112">
        <v>2</v>
      </c>
      <c r="Q17" s="112">
        <v>1</v>
      </c>
      <c r="R17" s="112">
        <v>10102005</v>
      </c>
      <c r="S17" s="112">
        <v>10102</v>
      </c>
      <c r="T17" s="112" t="s">
        <v>3974</v>
      </c>
      <c r="U17" s="112" t="s">
        <v>3972</v>
      </c>
      <c r="V17" s="112" t="s">
        <v>4000</v>
      </c>
      <c r="W17">
        <v>60</v>
      </c>
      <c r="X17">
        <v>0.16842125099186456</v>
      </c>
    </row>
    <row r="18" spans="1:24">
      <c r="A18" s="92">
        <v>2</v>
      </c>
      <c r="B18" s="92">
        <v>1</v>
      </c>
      <c r="C18" s="92" t="s">
        <v>3871</v>
      </c>
      <c r="D18" s="92" t="s">
        <v>4076</v>
      </c>
      <c r="E18" s="92" t="s">
        <v>4077</v>
      </c>
      <c r="F18" s="92"/>
      <c r="G18" s="92"/>
      <c r="H18" s="92"/>
      <c r="I18" s="92" t="s">
        <v>4078</v>
      </c>
      <c r="J18" s="92" t="s">
        <v>3869</v>
      </c>
      <c r="K18" s="114" t="s">
        <v>4060</v>
      </c>
      <c r="L18" s="92" t="s">
        <v>3859</v>
      </c>
      <c r="M18" s="92">
        <v>1</v>
      </c>
      <c r="N18" s="92" t="s">
        <v>4061</v>
      </c>
      <c r="O18" s="92" t="s">
        <v>4061</v>
      </c>
      <c r="P18" s="92" t="s">
        <v>4061</v>
      </c>
      <c r="Q18" s="92" t="s">
        <v>4061</v>
      </c>
      <c r="R18" s="92">
        <v>20103005</v>
      </c>
      <c r="S18" s="92">
        <v>20103</v>
      </c>
      <c r="T18" s="92" t="s">
        <v>3960</v>
      </c>
      <c r="U18" s="92" t="s">
        <v>4080</v>
      </c>
      <c r="V18" s="92" t="s">
        <v>4218</v>
      </c>
      <c r="W18">
        <v>93</v>
      </c>
      <c r="X18">
        <v>0.17259765346692935</v>
      </c>
    </row>
    <row r="19" spans="1:24">
      <c r="A19" s="18">
        <v>1</v>
      </c>
      <c r="B19" s="18" t="s">
        <v>3301</v>
      </c>
      <c r="C19" s="18" t="s">
        <v>3302</v>
      </c>
      <c r="D19" s="19" t="s">
        <v>4055</v>
      </c>
      <c r="E19" s="19">
        <v>1</v>
      </c>
      <c r="F19" s="19"/>
      <c r="G19" s="19"/>
      <c r="H19" s="19" t="s">
        <v>3915</v>
      </c>
      <c r="I19" s="19"/>
      <c r="J19" s="19"/>
      <c r="K19" s="19"/>
      <c r="L19" s="19"/>
      <c r="M19" s="19">
        <v>1</v>
      </c>
      <c r="N19" s="19">
        <v>1</v>
      </c>
      <c r="O19" s="19">
        <v>1</v>
      </c>
      <c r="P19" s="19" t="s">
        <v>3516</v>
      </c>
      <c r="Q19" s="19" t="s">
        <v>3516</v>
      </c>
      <c r="R19" s="16">
        <v>10201001</v>
      </c>
      <c r="S19" s="93">
        <v>10201</v>
      </c>
      <c r="T19" t="s">
        <v>3969</v>
      </c>
      <c r="U19" t="s">
        <v>4398</v>
      </c>
      <c r="V19" t="s">
        <v>4399</v>
      </c>
      <c r="W19">
        <v>68</v>
      </c>
      <c r="X19">
        <v>0.18061769778798209</v>
      </c>
    </row>
    <row r="20" spans="1:24">
      <c r="A20" s="92">
        <v>2</v>
      </c>
      <c r="B20" s="92">
        <v>1</v>
      </c>
      <c r="C20" s="147" t="s">
        <v>3871</v>
      </c>
      <c r="D20" s="92" t="s">
        <v>4057</v>
      </c>
      <c r="E20" s="92" t="s">
        <v>4071</v>
      </c>
      <c r="F20" s="92"/>
      <c r="G20" s="92"/>
      <c r="H20" s="92"/>
      <c r="I20" s="92" t="s">
        <v>4072</v>
      </c>
      <c r="J20" s="92" t="s">
        <v>3869</v>
      </c>
      <c r="K20" s="114" t="s">
        <v>4060</v>
      </c>
      <c r="L20" s="92" t="s">
        <v>3907</v>
      </c>
      <c r="M20" s="92">
        <v>1</v>
      </c>
      <c r="N20" s="92" t="s">
        <v>4061</v>
      </c>
      <c r="O20" s="92" t="s">
        <v>4061</v>
      </c>
      <c r="P20" s="92" t="s">
        <v>4061</v>
      </c>
      <c r="Q20" s="92" t="s">
        <v>4061</v>
      </c>
      <c r="R20" s="92">
        <v>20103006</v>
      </c>
      <c r="S20" s="92">
        <v>20103</v>
      </c>
      <c r="T20" s="92" t="s">
        <v>3960</v>
      </c>
      <c r="U20" s="92" t="s">
        <v>4062</v>
      </c>
      <c r="V20" s="92" t="s">
        <v>4210</v>
      </c>
      <c r="W20">
        <v>85</v>
      </c>
      <c r="X20">
        <v>0.18432178872484184</v>
      </c>
    </row>
    <row r="21" spans="1:24">
      <c r="A21" s="92">
        <v>2</v>
      </c>
      <c r="B21" s="92">
        <v>1</v>
      </c>
      <c r="C21" s="92" t="s">
        <v>3903</v>
      </c>
      <c r="D21" s="92" t="s">
        <v>4064</v>
      </c>
      <c r="E21" s="92" t="s">
        <v>4058</v>
      </c>
      <c r="F21" s="92"/>
      <c r="G21" s="92"/>
      <c r="H21" s="92"/>
      <c r="I21" s="92" t="s">
        <v>4059</v>
      </c>
      <c r="J21" s="92" t="s">
        <v>3869</v>
      </c>
      <c r="K21" s="92" t="s">
        <v>4060</v>
      </c>
      <c r="L21" s="92" t="s">
        <v>3907</v>
      </c>
      <c r="M21" s="92">
        <v>1</v>
      </c>
      <c r="N21" s="92" t="s">
        <v>4063</v>
      </c>
      <c r="O21" s="92" t="s">
        <v>4063</v>
      </c>
      <c r="P21" s="92" t="s">
        <v>4063</v>
      </c>
      <c r="Q21" s="92" t="s">
        <v>4063</v>
      </c>
      <c r="R21" s="92">
        <v>20101002</v>
      </c>
      <c r="S21" s="92">
        <v>20101</v>
      </c>
      <c r="T21" s="92" t="s">
        <v>3966</v>
      </c>
      <c r="U21" s="92" t="s">
        <v>4065</v>
      </c>
      <c r="V21" s="92" t="s">
        <v>4205</v>
      </c>
      <c r="W21">
        <v>78</v>
      </c>
      <c r="X21">
        <v>0.18748120147604674</v>
      </c>
    </row>
    <row r="22" spans="1:24">
      <c r="A22" s="92">
        <v>2</v>
      </c>
      <c r="B22" s="92">
        <v>1</v>
      </c>
      <c r="C22" s="92" t="s">
        <v>3913</v>
      </c>
      <c r="D22" s="92" t="s">
        <v>4064</v>
      </c>
      <c r="E22" s="92" t="s">
        <v>4069</v>
      </c>
      <c r="F22" s="92"/>
      <c r="G22" s="92"/>
      <c r="H22" s="92"/>
      <c r="I22" s="92" t="s">
        <v>4070</v>
      </c>
      <c r="J22" s="92" t="s">
        <v>3869</v>
      </c>
      <c r="K22" s="92" t="s">
        <v>4060</v>
      </c>
      <c r="L22" s="92" t="s">
        <v>4101</v>
      </c>
      <c r="M22" s="92">
        <v>1</v>
      </c>
      <c r="N22" s="92" t="s">
        <v>4063</v>
      </c>
      <c r="O22" s="92" t="s">
        <v>4063</v>
      </c>
      <c r="P22" s="92" t="s">
        <v>4063</v>
      </c>
      <c r="Q22" s="92" t="s">
        <v>4063</v>
      </c>
      <c r="R22" s="92">
        <v>20102002</v>
      </c>
      <c r="S22" s="92">
        <v>20102</v>
      </c>
      <c r="T22" s="92" t="s">
        <v>3966</v>
      </c>
      <c r="U22" s="92" t="s">
        <v>4065</v>
      </c>
      <c r="V22" s="92" t="s">
        <v>4394</v>
      </c>
      <c r="W22">
        <v>84</v>
      </c>
      <c r="X22">
        <v>0.19563131245429188</v>
      </c>
    </row>
    <row r="23" spans="1:24">
      <c r="A23" s="111">
        <v>1</v>
      </c>
      <c r="B23" s="111">
        <v>1</v>
      </c>
      <c r="C23" s="111">
        <v>1</v>
      </c>
      <c r="D23" s="111">
        <v>3</v>
      </c>
      <c r="E23" s="111">
        <v>1</v>
      </c>
      <c r="F23" s="111">
        <v>0</v>
      </c>
      <c r="G23" s="111">
        <v>0</v>
      </c>
      <c r="H23" s="111"/>
      <c r="I23" s="111"/>
      <c r="J23" s="111"/>
      <c r="K23" s="111"/>
      <c r="L23" s="111"/>
      <c r="M23" s="111">
        <v>1</v>
      </c>
      <c r="N23" s="111" t="s">
        <v>3516</v>
      </c>
      <c r="O23" s="111" t="s">
        <v>3516</v>
      </c>
      <c r="P23" s="111">
        <v>2</v>
      </c>
      <c r="Q23" s="111">
        <v>2</v>
      </c>
      <c r="R23">
        <v>10101006</v>
      </c>
      <c r="S23">
        <v>10101</v>
      </c>
      <c r="T23" t="s">
        <v>3966</v>
      </c>
      <c r="U23" t="s">
        <v>3965</v>
      </c>
      <c r="V23" t="s">
        <v>3984</v>
      </c>
      <c r="W23">
        <v>15</v>
      </c>
      <c r="X23">
        <v>0.20706874960407851</v>
      </c>
    </row>
    <row r="24" spans="1:24">
      <c r="A24" s="108">
        <v>1</v>
      </c>
      <c r="B24" s="108">
        <v>1</v>
      </c>
      <c r="C24" s="108">
        <v>1</v>
      </c>
      <c r="D24" s="108">
        <v>4</v>
      </c>
      <c r="E24" s="108">
        <v>1</v>
      </c>
      <c r="F24" s="108">
        <v>0</v>
      </c>
      <c r="G24" s="108">
        <v>0</v>
      </c>
      <c r="H24" s="108"/>
      <c r="I24" s="108"/>
      <c r="J24" s="108"/>
      <c r="K24" s="108"/>
      <c r="L24" s="108"/>
      <c r="M24" s="108">
        <v>1</v>
      </c>
      <c r="N24" s="111" t="s">
        <v>3516</v>
      </c>
      <c r="O24" s="111" t="s">
        <v>3516</v>
      </c>
      <c r="P24" s="110">
        <v>3</v>
      </c>
      <c r="Q24" s="110">
        <v>3</v>
      </c>
      <c r="R24">
        <v>10101007</v>
      </c>
      <c r="S24">
        <v>10101</v>
      </c>
      <c r="T24" t="s">
        <v>3968</v>
      </c>
      <c r="U24" t="s">
        <v>3964</v>
      </c>
      <c r="V24" t="s">
        <v>3989</v>
      </c>
      <c r="W24">
        <v>20</v>
      </c>
      <c r="X24">
        <v>0.21050790085306115</v>
      </c>
    </row>
    <row r="25" spans="1:24">
      <c r="A25" s="92">
        <v>2</v>
      </c>
      <c r="B25" s="92">
        <v>1</v>
      </c>
      <c r="C25" s="92" t="s">
        <v>3871</v>
      </c>
      <c r="D25" s="92" t="s">
        <v>4076</v>
      </c>
      <c r="E25" s="92" t="s">
        <v>4077</v>
      </c>
      <c r="F25" s="92"/>
      <c r="G25" s="92"/>
      <c r="H25" s="92"/>
      <c r="I25" s="92" t="s">
        <v>4078</v>
      </c>
      <c r="J25" s="92" t="s">
        <v>3869</v>
      </c>
      <c r="K25" s="114" t="s">
        <v>4060</v>
      </c>
      <c r="L25" s="92" t="s">
        <v>3907</v>
      </c>
      <c r="M25" s="92">
        <v>1</v>
      </c>
      <c r="N25" s="92" t="s">
        <v>4061</v>
      </c>
      <c r="O25" s="92" t="s">
        <v>4061</v>
      </c>
      <c r="P25" s="92" t="s">
        <v>4061</v>
      </c>
      <c r="Q25" s="92" t="s">
        <v>4061</v>
      </c>
      <c r="R25" s="92">
        <v>20103007</v>
      </c>
      <c r="S25" s="92">
        <v>20103</v>
      </c>
      <c r="T25" s="92" t="s">
        <v>3960</v>
      </c>
      <c r="U25" s="92" t="s">
        <v>4079</v>
      </c>
      <c r="V25" s="92" t="s">
        <v>4216</v>
      </c>
      <c r="W25">
        <v>91</v>
      </c>
      <c r="X25">
        <v>0.21235595618420244</v>
      </c>
    </row>
    <row r="26" spans="1:24">
      <c r="A26" s="92">
        <v>2</v>
      </c>
      <c r="B26" s="92">
        <v>1</v>
      </c>
      <c r="C26" s="92" t="s">
        <v>3903</v>
      </c>
      <c r="D26" s="92" t="s">
        <v>4067</v>
      </c>
      <c r="E26" s="92" t="s">
        <v>4058</v>
      </c>
      <c r="F26" s="92"/>
      <c r="G26" s="92"/>
      <c r="H26" s="92"/>
      <c r="I26" s="92" t="s">
        <v>4059</v>
      </c>
      <c r="J26" s="92" t="s">
        <v>3869</v>
      </c>
      <c r="K26" s="92" t="s">
        <v>4060</v>
      </c>
      <c r="L26" s="92" t="s">
        <v>3863</v>
      </c>
      <c r="M26" s="92">
        <v>1</v>
      </c>
      <c r="N26" s="92" t="s">
        <v>4061</v>
      </c>
      <c r="O26" s="92" t="s">
        <v>4061</v>
      </c>
      <c r="P26" s="92" t="s">
        <v>4061</v>
      </c>
      <c r="Q26" s="92" t="s">
        <v>4061</v>
      </c>
      <c r="R26" s="92">
        <v>20101003</v>
      </c>
      <c r="S26" s="92">
        <v>20101</v>
      </c>
      <c r="T26" s="92" t="s">
        <v>3960</v>
      </c>
      <c r="U26" s="92" t="s">
        <v>4068</v>
      </c>
      <c r="V26" s="92" t="s">
        <v>4208</v>
      </c>
      <c r="W26">
        <v>81</v>
      </c>
      <c r="X26">
        <v>0.22315456263170508</v>
      </c>
    </row>
    <row r="27" spans="1:24">
      <c r="A27" s="18">
        <v>1</v>
      </c>
      <c r="B27" s="18" t="s">
        <v>3301</v>
      </c>
      <c r="C27" s="18" t="s">
        <v>3302</v>
      </c>
      <c r="D27" s="19" t="s">
        <v>4055</v>
      </c>
      <c r="E27" s="19">
        <v>1</v>
      </c>
      <c r="F27" s="19"/>
      <c r="G27" s="19"/>
      <c r="H27" s="19" t="s">
        <v>3915</v>
      </c>
      <c r="I27" s="19"/>
      <c r="J27" s="19"/>
      <c r="K27" s="19"/>
      <c r="L27" s="19"/>
      <c r="M27" s="19">
        <v>1</v>
      </c>
      <c r="N27" s="19">
        <v>1</v>
      </c>
      <c r="O27" s="19">
        <v>1</v>
      </c>
      <c r="P27" s="19" t="s">
        <v>3516</v>
      </c>
      <c r="Q27" s="19" t="s">
        <v>3517</v>
      </c>
      <c r="R27" s="16">
        <v>10201002</v>
      </c>
      <c r="S27" s="93">
        <v>10201</v>
      </c>
      <c r="T27" t="s">
        <v>3975</v>
      </c>
      <c r="U27" t="s">
        <v>4398</v>
      </c>
      <c r="V27" t="s">
        <v>4405</v>
      </c>
      <c r="W27">
        <v>72</v>
      </c>
      <c r="X27">
        <v>0.23007154730966106</v>
      </c>
    </row>
    <row r="28" spans="1:24">
      <c r="A28" s="108">
        <v>1</v>
      </c>
      <c r="B28" s="108">
        <v>1</v>
      </c>
      <c r="C28" s="108">
        <v>1</v>
      </c>
      <c r="D28" s="109">
        <v>4</v>
      </c>
      <c r="E28" s="109">
        <v>1</v>
      </c>
      <c r="F28" s="109">
        <v>0</v>
      </c>
      <c r="G28" s="109">
        <v>0</v>
      </c>
      <c r="H28" s="109"/>
      <c r="I28" s="109"/>
      <c r="J28" s="109"/>
      <c r="K28" s="109"/>
      <c r="L28" s="109"/>
      <c r="M28" s="110">
        <v>1</v>
      </c>
      <c r="N28" s="110">
        <v>1</v>
      </c>
      <c r="O28" s="110">
        <v>1</v>
      </c>
      <c r="P28" s="110">
        <v>1</v>
      </c>
      <c r="Q28" s="110">
        <v>1</v>
      </c>
      <c r="R28">
        <v>10101008</v>
      </c>
      <c r="S28">
        <v>10101</v>
      </c>
      <c r="T28" t="s">
        <v>3960</v>
      </c>
      <c r="U28" t="s">
        <v>3964</v>
      </c>
      <c r="V28" t="s">
        <v>3980</v>
      </c>
      <c r="W28">
        <v>8</v>
      </c>
      <c r="X28">
        <v>0.23396819137090075</v>
      </c>
    </row>
    <row r="29" spans="1:24">
      <c r="A29" s="113">
        <v>1</v>
      </c>
      <c r="B29" s="113">
        <v>1</v>
      </c>
      <c r="C29" s="113">
        <v>2</v>
      </c>
      <c r="D29" s="113">
        <v>1</v>
      </c>
      <c r="E29" s="113">
        <v>1</v>
      </c>
      <c r="F29" s="113">
        <v>0</v>
      </c>
      <c r="G29" s="113">
        <v>0</v>
      </c>
      <c r="H29" s="113"/>
      <c r="I29" s="113"/>
      <c r="J29" s="113"/>
      <c r="K29" s="113"/>
      <c r="L29" s="113"/>
      <c r="M29" s="113">
        <v>1</v>
      </c>
      <c r="N29" s="113">
        <v>1</v>
      </c>
      <c r="O29" s="113">
        <v>1</v>
      </c>
      <c r="P29" s="113">
        <v>2</v>
      </c>
      <c r="Q29" s="113">
        <v>2</v>
      </c>
      <c r="R29" s="17">
        <v>10102006</v>
      </c>
      <c r="S29" s="17">
        <v>10102</v>
      </c>
      <c r="T29" s="17" t="s">
        <v>3969</v>
      </c>
      <c r="U29" s="17" t="s">
        <v>3961</v>
      </c>
      <c r="V29" s="17" t="s">
        <v>3997</v>
      </c>
      <c r="W29">
        <v>47</v>
      </c>
      <c r="X29">
        <v>0.24634252145691737</v>
      </c>
    </row>
    <row r="30" spans="1:24">
      <c r="A30" s="111">
        <v>1</v>
      </c>
      <c r="B30" s="111">
        <v>1</v>
      </c>
      <c r="C30" s="111">
        <v>1</v>
      </c>
      <c r="D30" s="111">
        <v>2</v>
      </c>
      <c r="E30" s="111">
        <v>1</v>
      </c>
      <c r="F30" s="111">
        <v>0</v>
      </c>
      <c r="G30" s="111">
        <v>0</v>
      </c>
      <c r="H30" s="111"/>
      <c r="I30" s="111"/>
      <c r="J30" s="111"/>
      <c r="K30" s="111"/>
      <c r="L30" s="111"/>
      <c r="M30" s="111">
        <v>1</v>
      </c>
      <c r="N30" s="111" t="s">
        <v>3516</v>
      </c>
      <c r="O30" s="111" t="s">
        <v>3516</v>
      </c>
      <c r="P30" s="111">
        <v>2</v>
      </c>
      <c r="Q30" s="111">
        <v>2</v>
      </c>
      <c r="R30">
        <v>10101009</v>
      </c>
      <c r="S30">
        <v>10101</v>
      </c>
      <c r="T30" t="s">
        <v>3966</v>
      </c>
      <c r="U30" t="s">
        <v>3963</v>
      </c>
      <c r="V30" t="s">
        <v>3983</v>
      </c>
      <c r="W30">
        <v>14</v>
      </c>
      <c r="X30">
        <v>0.26161592477379991</v>
      </c>
    </row>
    <row r="31" spans="1:24">
      <c r="A31" s="18">
        <v>1</v>
      </c>
      <c r="B31" s="18" t="s">
        <v>3301</v>
      </c>
      <c r="C31" s="18" t="s">
        <v>3302</v>
      </c>
      <c r="D31" s="19" t="s">
        <v>4056</v>
      </c>
      <c r="E31" s="19">
        <v>1</v>
      </c>
      <c r="F31" s="19"/>
      <c r="G31" s="19"/>
      <c r="H31" s="19" t="s">
        <v>3915</v>
      </c>
      <c r="I31" s="19"/>
      <c r="J31" s="19"/>
      <c r="K31" s="19"/>
      <c r="L31" s="19"/>
      <c r="M31" s="19">
        <v>1</v>
      </c>
      <c r="N31" s="19">
        <v>1</v>
      </c>
      <c r="O31" s="19">
        <v>1</v>
      </c>
      <c r="P31" s="19" t="s">
        <v>3517</v>
      </c>
      <c r="Q31" s="19" t="s">
        <v>3517</v>
      </c>
      <c r="R31" s="16">
        <v>10201003</v>
      </c>
      <c r="S31" s="93">
        <v>10201</v>
      </c>
      <c r="T31" t="s">
        <v>3970</v>
      </c>
      <c r="U31" t="s">
        <v>4402</v>
      </c>
      <c r="V31" t="s">
        <v>4403</v>
      </c>
      <c r="W31">
        <v>70</v>
      </c>
      <c r="X31">
        <v>0.26402754475675583</v>
      </c>
    </row>
    <row r="32" spans="1:24">
      <c r="A32" s="113">
        <v>1</v>
      </c>
      <c r="B32" s="113">
        <v>1</v>
      </c>
      <c r="C32" s="113">
        <v>2</v>
      </c>
      <c r="D32" s="113">
        <v>1</v>
      </c>
      <c r="E32" s="113">
        <v>1</v>
      </c>
      <c r="F32" s="113">
        <v>1</v>
      </c>
      <c r="G32" s="113">
        <v>0</v>
      </c>
      <c r="H32" s="113"/>
      <c r="I32" s="113"/>
      <c r="J32" s="113"/>
      <c r="K32" s="113"/>
      <c r="L32" s="113"/>
      <c r="M32" s="113">
        <v>1</v>
      </c>
      <c r="N32" s="113">
        <v>1</v>
      </c>
      <c r="O32" s="113">
        <v>1</v>
      </c>
      <c r="P32" s="113">
        <v>2</v>
      </c>
      <c r="Q32" s="113">
        <v>3</v>
      </c>
      <c r="R32" s="17">
        <v>10102007</v>
      </c>
      <c r="S32" s="17">
        <v>10102</v>
      </c>
      <c r="T32" s="17" t="s">
        <v>3975</v>
      </c>
      <c r="U32" s="17" t="s">
        <v>3972</v>
      </c>
      <c r="V32" s="17" t="s">
        <v>4000</v>
      </c>
      <c r="W32">
        <v>64</v>
      </c>
      <c r="X32">
        <v>0.26829767069789423</v>
      </c>
    </row>
    <row r="33" spans="1:24">
      <c r="A33" s="112">
        <v>1</v>
      </c>
      <c r="B33" s="112">
        <v>1</v>
      </c>
      <c r="C33" s="112">
        <v>3</v>
      </c>
      <c r="D33" s="112">
        <v>1</v>
      </c>
      <c r="E33" s="112">
        <v>1</v>
      </c>
      <c r="F33" s="112">
        <v>0</v>
      </c>
      <c r="G33" s="112">
        <v>1</v>
      </c>
      <c r="H33" s="112"/>
      <c r="I33" s="112"/>
      <c r="J33" s="112"/>
      <c r="K33" s="112"/>
      <c r="L33" s="112"/>
      <c r="M33" s="112">
        <v>1</v>
      </c>
      <c r="N33" s="112">
        <v>1</v>
      </c>
      <c r="O33" s="112">
        <v>1</v>
      </c>
      <c r="P33" s="112">
        <v>1</v>
      </c>
      <c r="Q33" s="112">
        <v>1</v>
      </c>
      <c r="R33" s="16">
        <v>10103001</v>
      </c>
      <c r="S33" s="16">
        <v>10103</v>
      </c>
      <c r="T33" s="16" t="s">
        <v>3960</v>
      </c>
      <c r="U33" s="16" t="s">
        <v>3976</v>
      </c>
      <c r="V33" s="16" t="s">
        <v>4002</v>
      </c>
      <c r="W33">
        <v>65</v>
      </c>
      <c r="X33">
        <v>0.2891321665897123</v>
      </c>
    </row>
    <row r="34" spans="1:24">
      <c r="A34" s="108">
        <v>1</v>
      </c>
      <c r="B34" s="108">
        <v>1</v>
      </c>
      <c r="C34" s="108">
        <v>1</v>
      </c>
      <c r="D34" s="109">
        <v>4</v>
      </c>
      <c r="E34" s="109">
        <v>1</v>
      </c>
      <c r="F34" s="109">
        <v>0</v>
      </c>
      <c r="G34" s="109">
        <v>0</v>
      </c>
      <c r="H34" s="109"/>
      <c r="I34" s="109"/>
      <c r="J34" s="109"/>
      <c r="K34" s="109"/>
      <c r="L34" s="109"/>
      <c r="M34" s="110">
        <v>1</v>
      </c>
      <c r="N34" s="110">
        <v>1</v>
      </c>
      <c r="O34" s="110">
        <v>1</v>
      </c>
      <c r="P34" s="110">
        <v>1</v>
      </c>
      <c r="Q34" s="110">
        <v>1</v>
      </c>
      <c r="R34">
        <v>10101010</v>
      </c>
      <c r="S34">
        <v>10101</v>
      </c>
      <c r="T34" t="s">
        <v>3960</v>
      </c>
      <c r="U34" t="s">
        <v>3964</v>
      </c>
      <c r="V34" t="s">
        <v>3980</v>
      </c>
      <c r="W34">
        <v>4</v>
      </c>
      <c r="X34">
        <v>0.30117013481806076</v>
      </c>
    </row>
    <row r="35" spans="1:24">
      <c r="A35" s="108">
        <v>1</v>
      </c>
      <c r="B35" s="108">
        <v>1</v>
      </c>
      <c r="C35" s="108">
        <v>1</v>
      </c>
      <c r="D35" s="108">
        <v>4</v>
      </c>
      <c r="E35" s="108">
        <v>1</v>
      </c>
      <c r="F35" s="108">
        <v>0</v>
      </c>
      <c r="G35" s="108">
        <v>0</v>
      </c>
      <c r="H35" s="108"/>
      <c r="I35" s="108"/>
      <c r="J35" s="108"/>
      <c r="K35" s="108"/>
      <c r="L35" s="108"/>
      <c r="M35" s="108">
        <v>1</v>
      </c>
      <c r="N35" s="111" t="s">
        <v>3516</v>
      </c>
      <c r="O35" s="111" t="s">
        <v>3516</v>
      </c>
      <c r="P35" s="110">
        <v>3</v>
      </c>
      <c r="Q35" s="110">
        <v>3</v>
      </c>
      <c r="R35">
        <v>10101011</v>
      </c>
      <c r="S35">
        <v>10101</v>
      </c>
      <c r="T35" t="s">
        <v>3968</v>
      </c>
      <c r="U35" t="s">
        <v>3964</v>
      </c>
      <c r="V35" t="s">
        <v>3989</v>
      </c>
      <c r="W35">
        <v>24</v>
      </c>
      <c r="X35">
        <v>0.30573467873822546</v>
      </c>
    </row>
    <row r="36" spans="1:24">
      <c r="A36" s="111">
        <v>1</v>
      </c>
      <c r="B36" s="111">
        <v>1</v>
      </c>
      <c r="C36" s="111">
        <v>1</v>
      </c>
      <c r="D36" s="111">
        <v>4</v>
      </c>
      <c r="E36" s="111">
        <v>1</v>
      </c>
      <c r="F36" s="111">
        <v>0</v>
      </c>
      <c r="G36" s="111">
        <v>0</v>
      </c>
      <c r="H36" s="111"/>
      <c r="I36" s="111"/>
      <c r="J36" s="111"/>
      <c r="K36" s="111"/>
      <c r="L36" s="111"/>
      <c r="M36" s="111">
        <v>1</v>
      </c>
      <c r="N36" s="111" t="s">
        <v>3516</v>
      </c>
      <c r="O36" s="111" t="s">
        <v>3516</v>
      </c>
      <c r="P36" s="111">
        <v>2</v>
      </c>
      <c r="Q36" s="111">
        <v>2</v>
      </c>
      <c r="R36">
        <v>10101012</v>
      </c>
      <c r="S36">
        <v>10101</v>
      </c>
      <c r="T36" t="s">
        <v>3966</v>
      </c>
      <c r="U36" t="s">
        <v>3964</v>
      </c>
      <c r="V36" t="s">
        <v>3985</v>
      </c>
      <c r="W36">
        <v>12</v>
      </c>
      <c r="X36">
        <v>0.30735950156149838</v>
      </c>
    </row>
    <row r="37" spans="1:24">
      <c r="A37" s="108">
        <v>1</v>
      </c>
      <c r="B37" s="108">
        <v>1</v>
      </c>
      <c r="C37" s="108">
        <v>1</v>
      </c>
      <c r="D37" s="108">
        <v>1</v>
      </c>
      <c r="E37" s="108">
        <v>1</v>
      </c>
      <c r="F37" s="108">
        <v>0</v>
      </c>
      <c r="G37" s="108">
        <v>0</v>
      </c>
      <c r="H37" s="108"/>
      <c r="I37" s="108"/>
      <c r="J37" s="108"/>
      <c r="K37" s="108"/>
      <c r="L37" s="108"/>
      <c r="M37" s="108">
        <v>1</v>
      </c>
      <c r="N37" s="111" t="s">
        <v>3516</v>
      </c>
      <c r="O37" s="111" t="s">
        <v>3516</v>
      </c>
      <c r="P37" s="110">
        <v>3</v>
      </c>
      <c r="Q37" s="110">
        <v>3</v>
      </c>
      <c r="R37">
        <v>10101013</v>
      </c>
      <c r="S37">
        <v>10101</v>
      </c>
      <c r="T37" t="s">
        <v>3968</v>
      </c>
      <c r="U37" t="s">
        <v>3961</v>
      </c>
      <c r="V37" t="s">
        <v>3986</v>
      </c>
      <c r="W37">
        <v>21</v>
      </c>
      <c r="X37">
        <v>0.3233573659146709</v>
      </c>
    </row>
    <row r="38" spans="1:24">
      <c r="A38" s="112">
        <v>1</v>
      </c>
      <c r="B38" s="112">
        <v>1</v>
      </c>
      <c r="C38" s="112">
        <v>2</v>
      </c>
      <c r="D38" s="112">
        <v>1</v>
      </c>
      <c r="E38" s="112">
        <v>1</v>
      </c>
      <c r="F38" s="112">
        <v>1</v>
      </c>
      <c r="G38" s="112">
        <v>0</v>
      </c>
      <c r="H38" s="112"/>
      <c r="I38" s="112"/>
      <c r="J38" s="112"/>
      <c r="K38" s="112"/>
      <c r="L38" s="112"/>
      <c r="M38" s="112">
        <v>1</v>
      </c>
      <c r="N38" s="112">
        <v>1</v>
      </c>
      <c r="O38" s="112">
        <v>1</v>
      </c>
      <c r="P38" s="16">
        <v>3</v>
      </c>
      <c r="Q38" s="16">
        <v>3</v>
      </c>
      <c r="R38" s="16">
        <v>10102008</v>
      </c>
      <c r="S38" s="16">
        <v>10102</v>
      </c>
      <c r="T38" s="16" t="s">
        <v>3970</v>
      </c>
      <c r="U38" s="16" t="s">
        <v>3972</v>
      </c>
      <c r="V38" s="16" t="s">
        <v>3998</v>
      </c>
      <c r="W38">
        <v>49</v>
      </c>
      <c r="X38">
        <v>0.33258923434979959</v>
      </c>
    </row>
    <row r="39" spans="1:24">
      <c r="A39" s="112">
        <v>1</v>
      </c>
      <c r="B39" s="112">
        <v>1</v>
      </c>
      <c r="C39" s="112">
        <v>2</v>
      </c>
      <c r="D39" s="112">
        <v>1</v>
      </c>
      <c r="E39" s="112">
        <v>1</v>
      </c>
      <c r="F39" s="112">
        <v>1</v>
      </c>
      <c r="G39" s="112">
        <v>0</v>
      </c>
      <c r="H39" s="112"/>
      <c r="I39" s="112"/>
      <c r="J39" s="112"/>
      <c r="K39" s="112"/>
      <c r="L39" s="112"/>
      <c r="M39" s="112">
        <v>1</v>
      </c>
      <c r="N39" s="112">
        <v>1</v>
      </c>
      <c r="O39" s="112">
        <v>1</v>
      </c>
      <c r="P39" s="112">
        <v>1</v>
      </c>
      <c r="Q39" s="112">
        <v>1</v>
      </c>
      <c r="R39" s="16">
        <v>10102009</v>
      </c>
      <c r="S39" s="16">
        <v>10102</v>
      </c>
      <c r="T39" s="16" t="s">
        <v>3960</v>
      </c>
      <c r="U39" s="16" t="s">
        <v>3972</v>
      </c>
      <c r="V39" s="16" t="s">
        <v>3994</v>
      </c>
      <c r="W39">
        <v>41</v>
      </c>
      <c r="X39">
        <v>0.34397734643664779</v>
      </c>
    </row>
    <row r="40" spans="1:24">
      <c r="A40" s="113">
        <v>1</v>
      </c>
      <c r="B40" s="113">
        <v>1</v>
      </c>
      <c r="C40" s="113">
        <v>2</v>
      </c>
      <c r="D40" s="113">
        <v>1</v>
      </c>
      <c r="E40" s="113">
        <v>1</v>
      </c>
      <c r="F40" s="113">
        <v>1</v>
      </c>
      <c r="G40" s="113">
        <v>0</v>
      </c>
      <c r="H40" s="113"/>
      <c r="I40" s="113"/>
      <c r="J40" s="113"/>
      <c r="K40" s="113"/>
      <c r="L40" s="113"/>
      <c r="M40" s="113">
        <v>1</v>
      </c>
      <c r="N40" s="113">
        <v>1</v>
      </c>
      <c r="O40" s="113">
        <v>1</v>
      </c>
      <c r="P40" s="113">
        <v>1</v>
      </c>
      <c r="Q40" s="113">
        <v>2</v>
      </c>
      <c r="R40" s="17">
        <v>10102010</v>
      </c>
      <c r="S40" s="17">
        <v>10102</v>
      </c>
      <c r="T40" s="17" t="s">
        <v>3973</v>
      </c>
      <c r="U40" s="17" t="s">
        <v>3972</v>
      </c>
      <c r="V40" s="17" t="s">
        <v>4000</v>
      </c>
      <c r="W40">
        <v>56</v>
      </c>
      <c r="X40">
        <v>0.35192390052915823</v>
      </c>
    </row>
    <row r="41" spans="1:24">
      <c r="A41" s="111">
        <v>1</v>
      </c>
      <c r="B41" s="111">
        <v>1</v>
      </c>
      <c r="C41" s="111">
        <v>1</v>
      </c>
      <c r="D41" s="111">
        <v>2</v>
      </c>
      <c r="E41" s="111">
        <v>1</v>
      </c>
      <c r="F41" s="111">
        <v>0</v>
      </c>
      <c r="G41" s="111">
        <v>0</v>
      </c>
      <c r="H41" s="111"/>
      <c r="I41" s="111"/>
      <c r="J41" s="111"/>
      <c r="K41" s="111"/>
      <c r="L41" s="111"/>
      <c r="M41" s="111">
        <v>1</v>
      </c>
      <c r="N41" s="111" t="s">
        <v>3516</v>
      </c>
      <c r="O41" s="111" t="s">
        <v>3516</v>
      </c>
      <c r="P41" s="111">
        <v>2</v>
      </c>
      <c r="Q41" s="111">
        <v>2</v>
      </c>
      <c r="R41">
        <v>10101014</v>
      </c>
      <c r="S41">
        <v>10101</v>
      </c>
      <c r="T41" t="s">
        <v>3966</v>
      </c>
      <c r="U41" t="s">
        <v>3963</v>
      </c>
      <c r="V41" t="s">
        <v>3983</v>
      </c>
      <c r="W41">
        <v>10</v>
      </c>
      <c r="X41">
        <v>0.36311555568094012</v>
      </c>
    </row>
    <row r="42" spans="1:24" s="16" customFormat="1">
      <c r="A42" s="108">
        <v>1</v>
      </c>
      <c r="B42" s="108">
        <v>1</v>
      </c>
      <c r="C42" s="108">
        <v>1</v>
      </c>
      <c r="D42" s="108">
        <v>2</v>
      </c>
      <c r="E42" s="108">
        <v>1</v>
      </c>
      <c r="F42" s="108">
        <v>0</v>
      </c>
      <c r="G42" s="108">
        <v>0</v>
      </c>
      <c r="H42" s="108"/>
      <c r="I42" s="108"/>
      <c r="J42" s="108"/>
      <c r="K42" s="108"/>
      <c r="L42" s="108"/>
      <c r="M42" s="108">
        <v>1</v>
      </c>
      <c r="N42" s="111" t="s">
        <v>3516</v>
      </c>
      <c r="O42" s="111" t="s">
        <v>3516</v>
      </c>
      <c r="P42" s="110">
        <v>3</v>
      </c>
      <c r="Q42" s="110">
        <v>3</v>
      </c>
      <c r="R42">
        <v>10101015</v>
      </c>
      <c r="S42">
        <v>10101</v>
      </c>
      <c r="T42" t="s">
        <v>3968</v>
      </c>
      <c r="U42" t="s">
        <v>3963</v>
      </c>
      <c r="V42" t="s">
        <v>3987</v>
      </c>
      <c r="W42">
        <v>18</v>
      </c>
      <c r="X42">
        <v>0.38751348295246046</v>
      </c>
    </row>
    <row r="43" spans="1:24" s="16" customFormat="1">
      <c r="A43" s="108">
        <v>1</v>
      </c>
      <c r="B43" s="108">
        <v>1</v>
      </c>
      <c r="C43" s="108">
        <v>1</v>
      </c>
      <c r="D43" s="108">
        <v>3</v>
      </c>
      <c r="E43" s="108">
        <v>1</v>
      </c>
      <c r="F43" s="108">
        <v>0</v>
      </c>
      <c r="G43" s="108">
        <v>0</v>
      </c>
      <c r="H43" s="108"/>
      <c r="I43" s="108"/>
      <c r="J43" s="108"/>
      <c r="K43" s="108"/>
      <c r="L43" s="108"/>
      <c r="M43" s="108">
        <v>1</v>
      </c>
      <c r="N43" s="111" t="s">
        <v>3516</v>
      </c>
      <c r="O43" s="111" t="s">
        <v>3516</v>
      </c>
      <c r="P43" s="110">
        <v>3</v>
      </c>
      <c r="Q43" s="110">
        <v>3</v>
      </c>
      <c r="R43">
        <v>10101016</v>
      </c>
      <c r="S43">
        <v>10101</v>
      </c>
      <c r="T43" t="s">
        <v>3968</v>
      </c>
      <c r="U43" t="s">
        <v>3965</v>
      </c>
      <c r="V43" t="s">
        <v>3988</v>
      </c>
      <c r="W43">
        <v>19</v>
      </c>
      <c r="X43">
        <v>0.42003979091688404</v>
      </c>
    </row>
    <row r="44" spans="1:24" s="16" customFormat="1">
      <c r="A44" s="108">
        <v>1</v>
      </c>
      <c r="B44" s="108">
        <v>1</v>
      </c>
      <c r="C44" s="108">
        <v>1</v>
      </c>
      <c r="D44" s="109">
        <v>2</v>
      </c>
      <c r="E44" s="109">
        <v>1</v>
      </c>
      <c r="F44" s="109">
        <v>0</v>
      </c>
      <c r="G44" s="109">
        <v>0</v>
      </c>
      <c r="H44" s="109"/>
      <c r="I44" s="109"/>
      <c r="J44" s="109"/>
      <c r="K44" s="109"/>
      <c r="L44" s="109"/>
      <c r="M44" s="110">
        <v>1</v>
      </c>
      <c r="N44" s="110">
        <v>1</v>
      </c>
      <c r="O44" s="110">
        <v>1</v>
      </c>
      <c r="P44" s="110">
        <v>1</v>
      </c>
      <c r="Q44" s="110">
        <v>1</v>
      </c>
      <c r="R44">
        <v>10101017</v>
      </c>
      <c r="S44">
        <v>10101</v>
      </c>
      <c r="T44" t="s">
        <v>3960</v>
      </c>
      <c r="U44" t="s">
        <v>3963</v>
      </c>
      <c r="V44" t="s">
        <v>3978</v>
      </c>
      <c r="W44">
        <v>6</v>
      </c>
      <c r="X44">
        <v>0.42405330499104943</v>
      </c>
    </row>
    <row r="45" spans="1:24" s="16" customFormat="1">
      <c r="A45" s="92">
        <v>2</v>
      </c>
      <c r="B45" s="92">
        <v>1</v>
      </c>
      <c r="C45" s="92" t="s">
        <v>3871</v>
      </c>
      <c r="D45" s="92" t="s">
        <v>4076</v>
      </c>
      <c r="E45" s="92" t="s">
        <v>4077</v>
      </c>
      <c r="F45" s="92"/>
      <c r="G45" s="92"/>
      <c r="H45" s="92"/>
      <c r="I45" s="92" t="s">
        <v>4078</v>
      </c>
      <c r="J45" s="92" t="s">
        <v>3869</v>
      </c>
      <c r="K45" s="92" t="s">
        <v>4060</v>
      </c>
      <c r="L45" s="92" t="s">
        <v>3859</v>
      </c>
      <c r="M45" s="92">
        <v>1</v>
      </c>
      <c r="N45" s="92" t="s">
        <v>4063</v>
      </c>
      <c r="O45" s="92" t="s">
        <v>4063</v>
      </c>
      <c r="P45" s="92" t="s">
        <v>4063</v>
      </c>
      <c r="Q45" s="92" t="s">
        <v>4063</v>
      </c>
      <c r="R45" s="92">
        <v>20103008</v>
      </c>
      <c r="S45" s="92">
        <v>20103</v>
      </c>
      <c r="T45" s="92" t="s">
        <v>3966</v>
      </c>
      <c r="U45" s="92" t="s">
        <v>4080</v>
      </c>
      <c r="V45" s="92" t="s">
        <v>4219</v>
      </c>
      <c r="W45">
        <v>94</v>
      </c>
      <c r="X45">
        <v>0.42499087741467767</v>
      </c>
    </row>
    <row r="46" spans="1:24" s="17" customFormat="1">
      <c r="A46" s="111">
        <v>1</v>
      </c>
      <c r="B46" s="111">
        <v>1</v>
      </c>
      <c r="C46" s="111">
        <v>1</v>
      </c>
      <c r="D46" s="111">
        <v>3</v>
      </c>
      <c r="E46" s="111">
        <v>1</v>
      </c>
      <c r="F46" s="111">
        <v>0</v>
      </c>
      <c r="G46" s="111">
        <v>0</v>
      </c>
      <c r="H46" s="111"/>
      <c r="I46" s="111"/>
      <c r="J46" s="111"/>
      <c r="K46" s="111"/>
      <c r="L46" s="111"/>
      <c r="M46" s="111">
        <v>1</v>
      </c>
      <c r="N46" s="111" t="s">
        <v>3516</v>
      </c>
      <c r="O46" s="111" t="s">
        <v>3516</v>
      </c>
      <c r="P46" s="111">
        <v>2</v>
      </c>
      <c r="Q46" s="111">
        <v>2</v>
      </c>
      <c r="R46">
        <v>10101018</v>
      </c>
      <c r="S46">
        <v>10101</v>
      </c>
      <c r="T46" t="s">
        <v>3966</v>
      </c>
      <c r="U46" t="s">
        <v>3965</v>
      </c>
      <c r="V46" t="s">
        <v>3984</v>
      </c>
      <c r="W46">
        <v>11</v>
      </c>
      <c r="X46">
        <v>0.42860705312219161</v>
      </c>
    </row>
    <row r="47" spans="1:24" s="17" customFormat="1">
      <c r="A47" s="92">
        <v>2</v>
      </c>
      <c r="B47" s="92">
        <v>1</v>
      </c>
      <c r="C47" s="92" t="s">
        <v>3871</v>
      </c>
      <c r="D47" s="92" t="s">
        <v>4076</v>
      </c>
      <c r="E47" s="92" t="s">
        <v>4077</v>
      </c>
      <c r="F47" s="92"/>
      <c r="G47" s="92"/>
      <c r="H47" s="92"/>
      <c r="I47" s="92" t="s">
        <v>4078</v>
      </c>
      <c r="J47" s="92" t="s">
        <v>3869</v>
      </c>
      <c r="K47" s="92" t="s">
        <v>4060</v>
      </c>
      <c r="L47" s="92" t="s">
        <v>3907</v>
      </c>
      <c r="M47" s="92">
        <v>1</v>
      </c>
      <c r="N47" s="92" t="s">
        <v>4063</v>
      </c>
      <c r="O47" s="92" t="s">
        <v>4063</v>
      </c>
      <c r="P47" s="92" t="s">
        <v>4063</v>
      </c>
      <c r="Q47" s="92" t="s">
        <v>4063</v>
      </c>
      <c r="R47" s="92">
        <v>20103009</v>
      </c>
      <c r="S47" s="92">
        <v>20103</v>
      </c>
      <c r="T47" s="92" t="s">
        <v>3966</v>
      </c>
      <c r="U47" s="92" t="s">
        <v>4079</v>
      </c>
      <c r="V47" s="92" t="s">
        <v>4217</v>
      </c>
      <c r="W47">
        <v>92</v>
      </c>
      <c r="X47">
        <v>0.42983307115895009</v>
      </c>
    </row>
    <row r="48" spans="1:24" s="17" customFormat="1">
      <c r="A48" s="108">
        <v>1</v>
      </c>
      <c r="B48" s="108">
        <v>1</v>
      </c>
      <c r="C48" s="108">
        <v>1</v>
      </c>
      <c r="D48" s="109">
        <v>3</v>
      </c>
      <c r="E48" s="109">
        <v>2</v>
      </c>
      <c r="F48" s="109">
        <v>0</v>
      </c>
      <c r="G48" s="109">
        <v>0</v>
      </c>
      <c r="H48" s="109"/>
      <c r="I48" s="109"/>
      <c r="J48" s="109"/>
      <c r="K48" s="109"/>
      <c r="L48" s="109"/>
      <c r="M48" s="110">
        <v>1</v>
      </c>
      <c r="N48" s="110">
        <v>1</v>
      </c>
      <c r="O48" s="110">
        <v>1</v>
      </c>
      <c r="P48" s="110">
        <v>1</v>
      </c>
      <c r="Q48" s="110">
        <v>1</v>
      </c>
      <c r="R48">
        <v>10101019</v>
      </c>
      <c r="S48">
        <v>10101</v>
      </c>
      <c r="T48" t="s">
        <v>3960</v>
      </c>
      <c r="U48" t="s">
        <v>4962</v>
      </c>
      <c r="V48" t="s">
        <v>3979</v>
      </c>
      <c r="W48">
        <v>3</v>
      </c>
      <c r="X48">
        <v>0.44099183562083943</v>
      </c>
    </row>
    <row r="49" spans="1:24" s="17" customFormat="1" ht="18" customHeight="1">
      <c r="A49" s="112">
        <v>1</v>
      </c>
      <c r="B49" s="112">
        <v>1</v>
      </c>
      <c r="C49" s="112">
        <v>2</v>
      </c>
      <c r="D49" s="112">
        <v>1</v>
      </c>
      <c r="E49" s="112">
        <v>1</v>
      </c>
      <c r="F49" s="112">
        <v>0</v>
      </c>
      <c r="G49" s="112">
        <v>0</v>
      </c>
      <c r="H49" s="112"/>
      <c r="I49" s="112"/>
      <c r="J49" s="112"/>
      <c r="K49" s="112"/>
      <c r="L49" s="112"/>
      <c r="M49" s="112">
        <v>1</v>
      </c>
      <c r="N49" s="112">
        <v>1</v>
      </c>
      <c r="O49" s="112">
        <v>1</v>
      </c>
      <c r="P49" s="16">
        <v>3</v>
      </c>
      <c r="Q49" s="16">
        <v>3</v>
      </c>
      <c r="R49" s="16">
        <v>10102011</v>
      </c>
      <c r="S49" s="16">
        <v>10102</v>
      </c>
      <c r="T49" s="16" t="s">
        <v>3970</v>
      </c>
      <c r="U49" s="16" t="s">
        <v>3961</v>
      </c>
      <c r="V49" s="16" t="s">
        <v>3999</v>
      </c>
      <c r="W49">
        <v>51</v>
      </c>
      <c r="X49">
        <v>0.44294047134332748</v>
      </c>
    </row>
    <row r="50" spans="1:24" s="16" customFormat="1">
      <c r="A50" s="108">
        <v>1</v>
      </c>
      <c r="B50" s="108">
        <v>1</v>
      </c>
      <c r="C50" s="108">
        <v>1</v>
      </c>
      <c r="D50" s="108">
        <v>1</v>
      </c>
      <c r="E50" s="108">
        <v>1</v>
      </c>
      <c r="F50" s="108">
        <v>0</v>
      </c>
      <c r="G50" s="108">
        <v>0</v>
      </c>
      <c r="H50" s="108"/>
      <c r="I50" s="108"/>
      <c r="J50" s="108"/>
      <c r="K50" s="108"/>
      <c r="L50" s="108"/>
      <c r="M50" s="108">
        <v>1</v>
      </c>
      <c r="N50" s="108">
        <v>1</v>
      </c>
      <c r="O50" s="108">
        <v>1</v>
      </c>
      <c r="P50" s="110" t="s">
        <v>3517</v>
      </c>
      <c r="Q50" s="110" t="s">
        <v>3518</v>
      </c>
      <c r="R50">
        <v>10101020</v>
      </c>
      <c r="S50">
        <v>10101</v>
      </c>
      <c r="T50" t="s">
        <v>3971</v>
      </c>
      <c r="U50" t="s">
        <v>3961</v>
      </c>
      <c r="V50" t="s">
        <v>3990</v>
      </c>
      <c r="W50">
        <v>37</v>
      </c>
      <c r="X50">
        <v>0.44299824371414764</v>
      </c>
    </row>
    <row r="51" spans="1:24" s="16" customFormat="1">
      <c r="A51" s="92">
        <v>2</v>
      </c>
      <c r="B51" s="92">
        <v>1</v>
      </c>
      <c r="C51" s="92" t="s">
        <v>3903</v>
      </c>
      <c r="D51" s="92" t="s">
        <v>4064</v>
      </c>
      <c r="E51" s="92" t="s">
        <v>4058</v>
      </c>
      <c r="F51" s="92"/>
      <c r="G51" s="92"/>
      <c r="H51" s="92"/>
      <c r="I51" s="92" t="s">
        <v>4059</v>
      </c>
      <c r="J51" s="92"/>
      <c r="K51" s="92" t="s">
        <v>3870</v>
      </c>
      <c r="L51" s="92" t="s">
        <v>3859</v>
      </c>
      <c r="M51" s="92">
        <v>1</v>
      </c>
      <c r="N51" s="92" t="s">
        <v>4061</v>
      </c>
      <c r="O51" s="92" t="s">
        <v>4061</v>
      </c>
      <c r="P51" s="92" t="s">
        <v>4061</v>
      </c>
      <c r="Q51" s="92" t="s">
        <v>4061</v>
      </c>
      <c r="R51" s="92">
        <v>20101004</v>
      </c>
      <c r="S51" s="92">
        <v>20101</v>
      </c>
      <c r="T51" s="92" t="s">
        <v>3960</v>
      </c>
      <c r="U51" s="92" t="s">
        <v>4066</v>
      </c>
      <c r="V51" s="92" t="s">
        <v>4206</v>
      </c>
      <c r="W51">
        <v>79</v>
      </c>
      <c r="X51">
        <v>0.44347164613114443</v>
      </c>
    </row>
    <row r="52" spans="1:24" s="16" customFormat="1">
      <c r="A52" s="18">
        <v>1</v>
      </c>
      <c r="B52" s="18" t="s">
        <v>3301</v>
      </c>
      <c r="C52" s="18" t="s">
        <v>3302</v>
      </c>
      <c r="D52" s="19" t="s">
        <v>4056</v>
      </c>
      <c r="E52" s="19">
        <v>1</v>
      </c>
      <c r="F52" s="19"/>
      <c r="G52" s="19"/>
      <c r="H52" s="19" t="s">
        <v>3906</v>
      </c>
      <c r="I52" s="19"/>
      <c r="J52" s="19"/>
      <c r="K52" s="19"/>
      <c r="L52" s="19"/>
      <c r="M52" s="19">
        <v>1</v>
      </c>
      <c r="N52" s="19">
        <v>1</v>
      </c>
      <c r="O52" s="19">
        <v>1</v>
      </c>
      <c r="P52" s="19" t="s">
        <v>3517</v>
      </c>
      <c r="Q52" s="19" t="s">
        <v>3516</v>
      </c>
      <c r="R52" s="16">
        <v>10201004</v>
      </c>
      <c r="S52" s="93">
        <v>10201</v>
      </c>
      <c r="T52" t="s">
        <v>4395</v>
      </c>
      <c r="U52" t="s">
        <v>4400</v>
      </c>
      <c r="V52" t="s">
        <v>4882</v>
      </c>
      <c r="W52">
        <v>73</v>
      </c>
      <c r="X52">
        <v>0.45851194460462863</v>
      </c>
    </row>
    <row r="53" spans="1:24" s="16" customFormat="1">
      <c r="A53" s="18">
        <v>1</v>
      </c>
      <c r="B53" s="18" t="s">
        <v>3301</v>
      </c>
      <c r="C53" s="18" t="s">
        <v>3302</v>
      </c>
      <c r="D53" s="19" t="s">
        <v>4056</v>
      </c>
      <c r="E53" s="19">
        <v>1</v>
      </c>
      <c r="F53" s="19"/>
      <c r="G53" s="19"/>
      <c r="H53" s="19" t="s">
        <v>3906</v>
      </c>
      <c r="I53" s="19"/>
      <c r="J53" s="19"/>
      <c r="K53" s="19"/>
      <c r="L53" s="19"/>
      <c r="M53" s="19">
        <v>1</v>
      </c>
      <c r="N53" s="19">
        <v>1</v>
      </c>
      <c r="O53" s="19">
        <v>1</v>
      </c>
      <c r="P53" s="19" t="s">
        <v>3517</v>
      </c>
      <c r="Q53" s="19" t="s">
        <v>3517</v>
      </c>
      <c r="R53" s="16">
        <v>10201005</v>
      </c>
      <c r="S53" s="93">
        <v>10201</v>
      </c>
      <c r="T53" t="s">
        <v>3970</v>
      </c>
      <c r="U53" t="s">
        <v>4400</v>
      </c>
      <c r="V53" t="s">
        <v>4401</v>
      </c>
      <c r="W53">
        <v>69</v>
      </c>
      <c r="X53">
        <v>0.46139194437820452</v>
      </c>
    </row>
    <row r="54" spans="1:24" s="17" customFormat="1">
      <c r="A54" s="108">
        <v>1</v>
      </c>
      <c r="B54" s="108">
        <v>1</v>
      </c>
      <c r="C54" s="108">
        <v>1</v>
      </c>
      <c r="D54" s="108">
        <v>3</v>
      </c>
      <c r="E54" s="108">
        <v>1</v>
      </c>
      <c r="F54" s="108">
        <v>0</v>
      </c>
      <c r="G54" s="108">
        <v>0</v>
      </c>
      <c r="H54" s="108"/>
      <c r="I54" s="108"/>
      <c r="J54" s="108"/>
      <c r="K54" s="108"/>
      <c r="L54" s="108"/>
      <c r="M54" s="108">
        <v>1</v>
      </c>
      <c r="N54" s="108">
        <v>1</v>
      </c>
      <c r="O54" s="108">
        <v>1</v>
      </c>
      <c r="P54" s="110">
        <v>1</v>
      </c>
      <c r="Q54" s="110">
        <v>1</v>
      </c>
      <c r="R54">
        <v>10101021</v>
      </c>
      <c r="S54">
        <v>10101</v>
      </c>
      <c r="T54" t="s">
        <v>3960</v>
      </c>
      <c r="U54" t="s">
        <v>3965</v>
      </c>
      <c r="V54" t="s">
        <v>3981</v>
      </c>
      <c r="W54">
        <v>39</v>
      </c>
      <c r="X54">
        <v>0.46168142406676427</v>
      </c>
    </row>
    <row r="55" spans="1:24" s="17" customFormat="1">
      <c r="A55" s="111">
        <v>1</v>
      </c>
      <c r="B55" s="111">
        <v>1</v>
      </c>
      <c r="C55" s="111">
        <v>1</v>
      </c>
      <c r="D55" s="111">
        <v>1</v>
      </c>
      <c r="E55" s="111">
        <v>1</v>
      </c>
      <c r="F55" s="111">
        <v>0</v>
      </c>
      <c r="G55" s="111">
        <v>0</v>
      </c>
      <c r="H55" s="111"/>
      <c r="I55" s="111"/>
      <c r="J55" s="111"/>
      <c r="K55" s="111"/>
      <c r="L55" s="111"/>
      <c r="M55" s="111">
        <v>1</v>
      </c>
      <c r="N55" s="111">
        <v>1</v>
      </c>
      <c r="O55" s="111">
        <v>1</v>
      </c>
      <c r="P55" s="110">
        <v>3</v>
      </c>
      <c r="Q55" s="110">
        <v>3</v>
      </c>
      <c r="R55">
        <v>10101022</v>
      </c>
      <c r="S55">
        <v>10101</v>
      </c>
      <c r="T55" t="s">
        <v>3970</v>
      </c>
      <c r="U55" t="s">
        <v>3961</v>
      </c>
      <c r="V55" t="s">
        <v>3986</v>
      </c>
      <c r="W55">
        <v>29</v>
      </c>
      <c r="X55">
        <v>0.47208129617051664</v>
      </c>
    </row>
    <row r="56" spans="1:24" s="17" customFormat="1">
      <c r="A56" s="111">
        <v>1</v>
      </c>
      <c r="B56" s="111">
        <v>1</v>
      </c>
      <c r="C56" s="111">
        <v>1</v>
      </c>
      <c r="D56" s="111">
        <v>3</v>
      </c>
      <c r="E56" s="111">
        <v>1</v>
      </c>
      <c r="F56" s="111">
        <v>0</v>
      </c>
      <c r="G56" s="111">
        <v>0</v>
      </c>
      <c r="H56" s="111"/>
      <c r="I56" s="111"/>
      <c r="J56" s="111"/>
      <c r="K56" s="111"/>
      <c r="L56" s="111"/>
      <c r="M56" s="111">
        <v>1</v>
      </c>
      <c r="N56" s="111">
        <v>1</v>
      </c>
      <c r="O56" s="111">
        <v>1</v>
      </c>
      <c r="P56" s="111">
        <v>2</v>
      </c>
      <c r="Q56" s="111">
        <v>2</v>
      </c>
      <c r="R56">
        <v>10101023</v>
      </c>
      <c r="S56">
        <v>10101</v>
      </c>
      <c r="T56" t="s">
        <v>3969</v>
      </c>
      <c r="U56" t="s">
        <v>3965</v>
      </c>
      <c r="V56" t="s">
        <v>3984</v>
      </c>
      <c r="W56">
        <v>27</v>
      </c>
      <c r="X56">
        <v>0.48425655136531154</v>
      </c>
    </row>
    <row r="57" spans="1:24" s="17" customFormat="1">
      <c r="A57" s="18">
        <v>1</v>
      </c>
      <c r="B57" s="18" t="s">
        <v>3301</v>
      </c>
      <c r="C57" s="18" t="s">
        <v>3302</v>
      </c>
      <c r="D57" s="19" t="s">
        <v>4056</v>
      </c>
      <c r="E57" s="19">
        <v>1</v>
      </c>
      <c r="F57" s="19"/>
      <c r="G57" s="19"/>
      <c r="H57" s="19" t="s">
        <v>3915</v>
      </c>
      <c r="I57" s="19"/>
      <c r="J57" s="19"/>
      <c r="K57" s="19"/>
      <c r="L57" s="19"/>
      <c r="M57" s="19">
        <v>1</v>
      </c>
      <c r="N57" s="19">
        <v>1</v>
      </c>
      <c r="O57" s="19">
        <v>1</v>
      </c>
      <c r="P57" s="19" t="s">
        <v>3517</v>
      </c>
      <c r="Q57" s="19" t="s">
        <v>3516</v>
      </c>
      <c r="R57" s="16">
        <v>10201006</v>
      </c>
      <c r="S57" s="93">
        <v>10201</v>
      </c>
      <c r="T57" t="s">
        <v>4395</v>
      </c>
      <c r="U57" t="s">
        <v>4402</v>
      </c>
      <c r="V57" t="s">
        <v>4883</v>
      </c>
      <c r="W57">
        <v>74</v>
      </c>
      <c r="X57">
        <v>0.48521009851746399</v>
      </c>
    </row>
    <row r="58" spans="1:24" s="112" customFormat="1">
      <c r="A58" s="108">
        <v>1</v>
      </c>
      <c r="B58" s="108">
        <v>1</v>
      </c>
      <c r="C58" s="108">
        <v>1</v>
      </c>
      <c r="D58" s="108">
        <v>4</v>
      </c>
      <c r="E58" s="108">
        <v>1</v>
      </c>
      <c r="F58" s="108">
        <v>0</v>
      </c>
      <c r="G58" s="108">
        <v>0</v>
      </c>
      <c r="H58" s="108"/>
      <c r="I58" s="108"/>
      <c r="J58" s="108"/>
      <c r="K58" s="108"/>
      <c r="L58" s="108"/>
      <c r="M58" s="108">
        <v>1</v>
      </c>
      <c r="N58" s="108">
        <v>1</v>
      </c>
      <c r="O58" s="108">
        <v>1</v>
      </c>
      <c r="P58" s="110">
        <v>1</v>
      </c>
      <c r="Q58" s="110">
        <v>1</v>
      </c>
      <c r="R58">
        <v>10101024</v>
      </c>
      <c r="S58">
        <v>10101</v>
      </c>
      <c r="T58" t="s">
        <v>3960</v>
      </c>
      <c r="U58" t="s">
        <v>3964</v>
      </c>
      <c r="V58" t="s">
        <v>3980</v>
      </c>
      <c r="W58">
        <v>40</v>
      </c>
      <c r="X58">
        <v>0.48867280771661059</v>
      </c>
    </row>
    <row r="59" spans="1:24" s="112" customFormat="1">
      <c r="A59" s="92">
        <v>2</v>
      </c>
      <c r="B59" s="92">
        <v>1</v>
      </c>
      <c r="C59" s="92" t="s">
        <v>3871</v>
      </c>
      <c r="D59" s="92" t="s">
        <v>4076</v>
      </c>
      <c r="E59" s="92" t="s">
        <v>4077</v>
      </c>
      <c r="F59" s="92"/>
      <c r="G59" s="92"/>
      <c r="H59" s="92"/>
      <c r="I59" s="92" t="s">
        <v>4078</v>
      </c>
      <c r="J59" s="92" t="s">
        <v>3869</v>
      </c>
      <c r="K59" s="92" t="s">
        <v>4060</v>
      </c>
      <c r="L59" s="92" t="s">
        <v>4074</v>
      </c>
      <c r="M59" s="92">
        <v>1</v>
      </c>
      <c r="N59" s="92" t="s">
        <v>4063</v>
      </c>
      <c r="O59" s="92" t="s">
        <v>4063</v>
      </c>
      <c r="P59" s="92" t="s">
        <v>4063</v>
      </c>
      <c r="Q59" s="92" t="s">
        <v>4063</v>
      </c>
      <c r="R59" s="92">
        <v>20103010</v>
      </c>
      <c r="S59" s="92">
        <v>20103</v>
      </c>
      <c r="T59" s="92" t="s">
        <v>3966</v>
      </c>
      <c r="U59" s="92" t="s">
        <v>4081</v>
      </c>
      <c r="V59" s="92" t="s">
        <v>4221</v>
      </c>
      <c r="W59">
        <v>96</v>
      </c>
      <c r="X59">
        <v>0.54696678695856382</v>
      </c>
    </row>
    <row r="60" spans="1:24" s="112" customFormat="1">
      <c r="A60" s="108">
        <v>1</v>
      </c>
      <c r="B60" s="108">
        <v>1</v>
      </c>
      <c r="C60" s="108">
        <v>1</v>
      </c>
      <c r="D60" s="108">
        <v>3</v>
      </c>
      <c r="E60" s="108">
        <v>1</v>
      </c>
      <c r="F60" s="108">
        <v>0</v>
      </c>
      <c r="G60" s="108">
        <v>0</v>
      </c>
      <c r="H60" s="108"/>
      <c r="I60" s="108"/>
      <c r="J60" s="108"/>
      <c r="K60" s="108"/>
      <c r="L60" s="108"/>
      <c r="M60" s="108">
        <v>1</v>
      </c>
      <c r="N60" s="111" t="s">
        <v>3516</v>
      </c>
      <c r="O60" s="111" t="s">
        <v>3516</v>
      </c>
      <c r="P60" s="110">
        <v>3</v>
      </c>
      <c r="Q60" s="110">
        <v>3</v>
      </c>
      <c r="R60">
        <v>10101025</v>
      </c>
      <c r="S60">
        <v>10101</v>
      </c>
      <c r="T60" t="s">
        <v>3968</v>
      </c>
      <c r="U60" t="s">
        <v>3965</v>
      </c>
      <c r="V60" t="s">
        <v>3988</v>
      </c>
      <c r="W60">
        <v>23</v>
      </c>
      <c r="X60">
        <v>0.57609874160563179</v>
      </c>
    </row>
    <row r="61" spans="1:24" s="112" customFormat="1">
      <c r="A61" s="111">
        <v>1</v>
      </c>
      <c r="B61" s="111">
        <v>1</v>
      </c>
      <c r="C61" s="111">
        <v>1</v>
      </c>
      <c r="D61" s="111">
        <v>3</v>
      </c>
      <c r="E61" s="111">
        <v>1</v>
      </c>
      <c r="F61" s="111">
        <v>0</v>
      </c>
      <c r="G61" s="111">
        <v>0</v>
      </c>
      <c r="H61" s="111"/>
      <c r="I61" s="111"/>
      <c r="J61" s="111"/>
      <c r="K61" s="111"/>
      <c r="L61" s="111"/>
      <c r="M61" s="111">
        <v>1</v>
      </c>
      <c r="N61" s="111">
        <v>1</v>
      </c>
      <c r="O61" s="111">
        <v>1</v>
      </c>
      <c r="P61" s="110">
        <v>1</v>
      </c>
      <c r="Q61" s="110">
        <v>1</v>
      </c>
      <c r="R61">
        <v>10101026</v>
      </c>
      <c r="S61">
        <v>10101</v>
      </c>
      <c r="T61" t="s">
        <v>3960</v>
      </c>
      <c r="U61" t="s">
        <v>3965</v>
      </c>
      <c r="V61" t="s">
        <v>3981</v>
      </c>
      <c r="W61">
        <v>31</v>
      </c>
      <c r="X61">
        <v>0.58041063652311853</v>
      </c>
    </row>
    <row r="62" spans="1:24" s="17" customFormat="1">
      <c r="A62" s="108">
        <v>1</v>
      </c>
      <c r="B62" s="108">
        <v>1</v>
      </c>
      <c r="C62" s="108">
        <v>1</v>
      </c>
      <c r="D62" s="108">
        <v>2</v>
      </c>
      <c r="E62" s="108">
        <v>1</v>
      </c>
      <c r="F62" s="108">
        <v>0</v>
      </c>
      <c r="G62" s="108">
        <v>0</v>
      </c>
      <c r="H62" s="108"/>
      <c r="I62" s="108"/>
      <c r="J62" s="108"/>
      <c r="K62" s="108"/>
      <c r="L62" s="108"/>
      <c r="M62" s="108">
        <v>1</v>
      </c>
      <c r="N62" s="111" t="s">
        <v>3516</v>
      </c>
      <c r="O62" s="111" t="s">
        <v>3516</v>
      </c>
      <c r="P62" s="110">
        <v>3</v>
      </c>
      <c r="Q62" s="110">
        <v>3</v>
      </c>
      <c r="R62">
        <v>10101027</v>
      </c>
      <c r="S62">
        <v>10101</v>
      </c>
      <c r="T62" t="s">
        <v>3968</v>
      </c>
      <c r="U62" t="s">
        <v>3963</v>
      </c>
      <c r="V62" t="s">
        <v>3987</v>
      </c>
      <c r="W62">
        <v>22</v>
      </c>
      <c r="X62">
        <v>0.58552847257536678</v>
      </c>
    </row>
    <row r="63" spans="1:24" s="17" customFormat="1">
      <c r="A63" s="108">
        <v>1</v>
      </c>
      <c r="B63" s="108">
        <v>1</v>
      </c>
      <c r="C63" s="108">
        <v>1</v>
      </c>
      <c r="D63" s="109">
        <v>2</v>
      </c>
      <c r="E63" s="109">
        <v>1</v>
      </c>
      <c r="F63" s="109">
        <v>0</v>
      </c>
      <c r="G63" s="109">
        <v>0</v>
      </c>
      <c r="H63" s="109"/>
      <c r="I63" s="109"/>
      <c r="J63" s="109"/>
      <c r="K63" s="109"/>
      <c r="L63" s="109"/>
      <c r="M63" s="110">
        <v>1</v>
      </c>
      <c r="N63" s="110">
        <v>2</v>
      </c>
      <c r="O63" s="110">
        <v>1</v>
      </c>
      <c r="P63" s="110">
        <v>1</v>
      </c>
      <c r="Q63" s="110">
        <v>1</v>
      </c>
      <c r="R63">
        <v>10101028</v>
      </c>
      <c r="S63">
        <v>10101</v>
      </c>
      <c r="T63" t="s">
        <v>3962</v>
      </c>
      <c r="U63" t="s">
        <v>3963</v>
      </c>
      <c r="V63" t="s">
        <v>3978</v>
      </c>
      <c r="W63">
        <v>2</v>
      </c>
      <c r="X63">
        <v>0.59154973862217841</v>
      </c>
    </row>
    <row r="64" spans="1:24" s="17" customFormat="1">
      <c r="A64" s="111">
        <v>1</v>
      </c>
      <c r="B64" s="111">
        <v>1</v>
      </c>
      <c r="C64" s="111">
        <v>1</v>
      </c>
      <c r="D64" s="111">
        <v>1</v>
      </c>
      <c r="E64" s="111">
        <v>1</v>
      </c>
      <c r="F64" s="111">
        <v>0</v>
      </c>
      <c r="G64" s="111">
        <v>0</v>
      </c>
      <c r="H64" s="111"/>
      <c r="I64" s="111"/>
      <c r="J64" s="111"/>
      <c r="K64" s="111"/>
      <c r="L64" s="111"/>
      <c r="M64" s="111">
        <v>1</v>
      </c>
      <c r="N64" s="111">
        <v>1</v>
      </c>
      <c r="O64" s="111">
        <v>1</v>
      </c>
      <c r="P64" s="111">
        <v>2</v>
      </c>
      <c r="Q64" s="111">
        <v>2</v>
      </c>
      <c r="R64">
        <v>10101029</v>
      </c>
      <c r="S64">
        <v>10101</v>
      </c>
      <c r="T64" t="s">
        <v>3969</v>
      </c>
      <c r="U64" t="s">
        <v>3961</v>
      </c>
      <c r="V64" t="s">
        <v>3982</v>
      </c>
      <c r="W64">
        <v>25</v>
      </c>
      <c r="X64">
        <v>0.6119588152687202</v>
      </c>
    </row>
    <row r="65" spans="1:24" s="17" customFormat="1">
      <c r="A65" s="108">
        <v>1</v>
      </c>
      <c r="B65" s="108">
        <v>1</v>
      </c>
      <c r="C65" s="108">
        <v>1</v>
      </c>
      <c r="D65" s="108">
        <v>1</v>
      </c>
      <c r="E65" s="108">
        <v>1</v>
      </c>
      <c r="F65" s="108">
        <v>0</v>
      </c>
      <c r="G65" s="108">
        <v>0</v>
      </c>
      <c r="H65" s="108"/>
      <c r="I65" s="108"/>
      <c r="J65" s="108"/>
      <c r="K65" s="108"/>
      <c r="L65" s="108"/>
      <c r="M65" s="108">
        <v>1</v>
      </c>
      <c r="N65" s="108">
        <v>1</v>
      </c>
      <c r="O65" s="108">
        <v>1</v>
      </c>
      <c r="P65" s="110" t="s">
        <v>3517</v>
      </c>
      <c r="Q65" s="110" t="s">
        <v>3518</v>
      </c>
      <c r="R65">
        <v>10101030</v>
      </c>
      <c r="S65">
        <v>10101</v>
      </c>
      <c r="T65" t="s">
        <v>3971</v>
      </c>
      <c r="U65" t="s">
        <v>3961</v>
      </c>
      <c r="V65" t="s">
        <v>3990</v>
      </c>
      <c r="W65">
        <v>33</v>
      </c>
      <c r="X65">
        <v>0.61266730215502296</v>
      </c>
    </row>
    <row r="66" spans="1:24" s="16" customFormat="1">
      <c r="A66" s="112">
        <v>1</v>
      </c>
      <c r="B66" s="112">
        <v>1</v>
      </c>
      <c r="C66" s="112">
        <v>2</v>
      </c>
      <c r="D66" s="112">
        <v>1</v>
      </c>
      <c r="E66" s="112">
        <v>1</v>
      </c>
      <c r="F66" s="112">
        <v>0</v>
      </c>
      <c r="G66" s="112">
        <v>0</v>
      </c>
      <c r="H66" s="112"/>
      <c r="I66" s="112"/>
      <c r="J66" s="112"/>
      <c r="K66" s="112"/>
      <c r="L66" s="112"/>
      <c r="M66" s="112">
        <v>1</v>
      </c>
      <c r="N66" s="112">
        <v>1</v>
      </c>
      <c r="O66" s="112">
        <v>1</v>
      </c>
      <c r="P66" s="112">
        <v>2</v>
      </c>
      <c r="Q66" s="112">
        <v>1</v>
      </c>
      <c r="R66" s="112">
        <v>10102012</v>
      </c>
      <c r="S66" s="112">
        <v>10102</v>
      </c>
      <c r="T66" s="112" t="s">
        <v>3974</v>
      </c>
      <c r="U66" s="112" t="s">
        <v>3961</v>
      </c>
      <c r="V66" s="112" t="s">
        <v>4001</v>
      </c>
      <c r="W66">
        <v>59</v>
      </c>
      <c r="X66">
        <v>0.61267404411007853</v>
      </c>
    </row>
    <row r="67" spans="1:24">
      <c r="A67" s="113">
        <v>1</v>
      </c>
      <c r="B67" s="113">
        <v>1</v>
      </c>
      <c r="C67" s="113">
        <v>2</v>
      </c>
      <c r="D67" s="113">
        <v>1</v>
      </c>
      <c r="E67" s="113">
        <v>1</v>
      </c>
      <c r="F67" s="113">
        <v>1</v>
      </c>
      <c r="G67" s="113">
        <v>0</v>
      </c>
      <c r="H67" s="113"/>
      <c r="I67" s="113"/>
      <c r="J67" s="113"/>
      <c r="K67" s="113"/>
      <c r="L67" s="113"/>
      <c r="M67" s="113">
        <v>1</v>
      </c>
      <c r="N67" s="113">
        <v>1</v>
      </c>
      <c r="O67" s="113">
        <v>1</v>
      </c>
      <c r="P67" s="113">
        <v>2</v>
      </c>
      <c r="Q67" s="113">
        <v>3</v>
      </c>
      <c r="R67" s="17">
        <v>10102013</v>
      </c>
      <c r="S67" s="17">
        <v>10102</v>
      </c>
      <c r="T67" s="17" t="s">
        <v>3975</v>
      </c>
      <c r="U67" s="17" t="s">
        <v>3972</v>
      </c>
      <c r="V67" s="17" t="s">
        <v>4000</v>
      </c>
      <c r="W67">
        <v>61</v>
      </c>
      <c r="X67">
        <v>0.63794601675187856</v>
      </c>
    </row>
    <row r="68" spans="1:24">
      <c r="A68" s="92">
        <v>2</v>
      </c>
      <c r="B68" s="92">
        <v>1</v>
      </c>
      <c r="C68" s="92" t="s">
        <v>3903</v>
      </c>
      <c r="D68" s="92" t="s">
        <v>4057</v>
      </c>
      <c r="E68" s="92" t="s">
        <v>4058</v>
      </c>
      <c r="F68" s="92"/>
      <c r="G68" s="92"/>
      <c r="H68" s="92"/>
      <c r="I68" s="92" t="s">
        <v>4059</v>
      </c>
      <c r="J68" s="92" t="s">
        <v>3869</v>
      </c>
      <c r="K68" s="92" t="s">
        <v>4060</v>
      </c>
      <c r="L68" s="92" t="s">
        <v>3907</v>
      </c>
      <c r="M68" s="92">
        <v>1</v>
      </c>
      <c r="N68" s="92" t="s">
        <v>4061</v>
      </c>
      <c r="O68" s="92" t="s">
        <v>4061</v>
      </c>
      <c r="P68" s="92" t="s">
        <v>4061</v>
      </c>
      <c r="Q68" s="92" t="s">
        <v>4061</v>
      </c>
      <c r="R68" s="92">
        <v>20101005</v>
      </c>
      <c r="S68" s="92">
        <v>20101</v>
      </c>
      <c r="T68" s="92" t="s">
        <v>3960</v>
      </c>
      <c r="U68" s="92" t="s">
        <v>4062</v>
      </c>
      <c r="V68" s="92" t="s">
        <v>4202</v>
      </c>
      <c r="W68">
        <v>75</v>
      </c>
      <c r="X68">
        <v>0.64169762098891636</v>
      </c>
    </row>
    <row r="69" spans="1:24">
      <c r="A69" s="168">
        <v>1</v>
      </c>
      <c r="B69" s="168">
        <v>1</v>
      </c>
      <c r="C69" s="168">
        <v>1</v>
      </c>
      <c r="D69" s="169">
        <v>1</v>
      </c>
      <c r="E69" s="169">
        <v>1</v>
      </c>
      <c r="F69" s="169">
        <v>0</v>
      </c>
      <c r="G69" s="169">
        <v>0</v>
      </c>
      <c r="H69" s="169"/>
      <c r="I69" s="169"/>
      <c r="J69" s="169"/>
      <c r="K69" s="169"/>
      <c r="L69" s="169"/>
      <c r="M69" s="170">
        <v>1</v>
      </c>
      <c r="N69" s="170">
        <v>1</v>
      </c>
      <c r="O69" s="170">
        <v>1</v>
      </c>
      <c r="P69" s="170">
        <v>1</v>
      </c>
      <c r="Q69" s="170">
        <v>1</v>
      </c>
      <c r="R69">
        <v>10101031</v>
      </c>
      <c r="S69">
        <v>10101</v>
      </c>
      <c r="T69" t="s">
        <v>3960</v>
      </c>
      <c r="U69" t="s">
        <v>3961</v>
      </c>
      <c r="V69" t="s">
        <v>3977</v>
      </c>
      <c r="W69">
        <v>1</v>
      </c>
      <c r="X69">
        <v>0.64277444929056149</v>
      </c>
    </row>
    <row r="70" spans="1:24">
      <c r="A70" s="108">
        <v>1</v>
      </c>
      <c r="B70" s="108">
        <v>1</v>
      </c>
      <c r="C70" s="108">
        <v>1</v>
      </c>
      <c r="D70" s="109">
        <v>1</v>
      </c>
      <c r="E70" s="109">
        <v>1</v>
      </c>
      <c r="F70" s="109">
        <v>0</v>
      </c>
      <c r="G70" s="109">
        <v>0</v>
      </c>
      <c r="H70" s="109"/>
      <c r="I70" s="109"/>
      <c r="J70" s="109"/>
      <c r="K70" s="109"/>
      <c r="L70" s="109"/>
      <c r="M70" s="110">
        <v>1</v>
      </c>
      <c r="N70" s="110">
        <v>1</v>
      </c>
      <c r="O70" s="110">
        <v>1</v>
      </c>
      <c r="P70" s="110">
        <v>1</v>
      </c>
      <c r="Q70" s="110">
        <v>1</v>
      </c>
      <c r="R70">
        <v>10101032</v>
      </c>
      <c r="S70">
        <v>10101</v>
      </c>
      <c r="T70" t="s">
        <v>3960</v>
      </c>
      <c r="U70" t="s">
        <v>3961</v>
      </c>
      <c r="V70" t="s">
        <v>3977</v>
      </c>
      <c r="W70">
        <v>5</v>
      </c>
      <c r="X70">
        <v>0.64546349642793266</v>
      </c>
    </row>
    <row r="71" spans="1:24">
      <c r="A71" s="108">
        <v>1</v>
      </c>
      <c r="B71" s="108">
        <v>1</v>
      </c>
      <c r="C71" s="108">
        <v>1</v>
      </c>
      <c r="D71" s="109">
        <v>3</v>
      </c>
      <c r="E71" s="109">
        <v>1</v>
      </c>
      <c r="F71" s="109">
        <v>0</v>
      </c>
      <c r="G71" s="109">
        <v>0</v>
      </c>
      <c r="H71" s="109"/>
      <c r="I71" s="109"/>
      <c r="J71" s="109"/>
      <c r="K71" s="109"/>
      <c r="L71" s="109"/>
      <c r="M71" s="110">
        <v>1</v>
      </c>
      <c r="N71" s="110">
        <v>1</v>
      </c>
      <c r="O71" s="110">
        <v>1</v>
      </c>
      <c r="P71" s="110">
        <v>1</v>
      </c>
      <c r="Q71" s="110">
        <v>1</v>
      </c>
      <c r="R71">
        <v>10101033</v>
      </c>
      <c r="S71">
        <v>10101</v>
      </c>
      <c r="T71" t="s">
        <v>3960</v>
      </c>
      <c r="U71" t="s">
        <v>3965</v>
      </c>
      <c r="V71" t="s">
        <v>3981</v>
      </c>
      <c r="W71">
        <v>7</v>
      </c>
      <c r="X71">
        <v>0.65945814103584366</v>
      </c>
    </row>
    <row r="72" spans="1:24">
      <c r="A72" s="113">
        <v>1</v>
      </c>
      <c r="B72" s="113">
        <v>1</v>
      </c>
      <c r="C72" s="113">
        <v>2</v>
      </c>
      <c r="D72" s="113">
        <v>1</v>
      </c>
      <c r="E72" s="113">
        <v>1</v>
      </c>
      <c r="F72" s="113">
        <v>1</v>
      </c>
      <c r="G72" s="113">
        <v>0</v>
      </c>
      <c r="H72" s="113"/>
      <c r="I72" s="113"/>
      <c r="J72" s="113"/>
      <c r="K72" s="113"/>
      <c r="L72" s="113"/>
      <c r="M72" s="113">
        <v>1</v>
      </c>
      <c r="N72" s="113">
        <v>1</v>
      </c>
      <c r="O72" s="113">
        <v>1</v>
      </c>
      <c r="P72" s="113">
        <v>1</v>
      </c>
      <c r="Q72" s="113">
        <v>2</v>
      </c>
      <c r="R72" s="17">
        <v>10102014</v>
      </c>
      <c r="S72" s="17">
        <v>10102</v>
      </c>
      <c r="T72" s="17" t="s">
        <v>3973</v>
      </c>
      <c r="U72" s="17" t="s">
        <v>3972</v>
      </c>
      <c r="V72" s="17" t="s">
        <v>4000</v>
      </c>
      <c r="W72">
        <v>53</v>
      </c>
      <c r="X72">
        <v>0.69219318100590688</v>
      </c>
    </row>
    <row r="73" spans="1:24">
      <c r="A73" s="113">
        <v>1</v>
      </c>
      <c r="B73" s="113">
        <v>1</v>
      </c>
      <c r="C73" s="113">
        <v>2</v>
      </c>
      <c r="D73" s="113">
        <v>1</v>
      </c>
      <c r="E73" s="113">
        <v>1</v>
      </c>
      <c r="F73" s="113">
        <v>1</v>
      </c>
      <c r="G73" s="113">
        <v>0</v>
      </c>
      <c r="H73" s="113"/>
      <c r="I73" s="113"/>
      <c r="J73" s="113"/>
      <c r="K73" s="113"/>
      <c r="L73" s="113"/>
      <c r="M73" s="113">
        <v>1</v>
      </c>
      <c r="N73" s="113">
        <v>1</v>
      </c>
      <c r="O73" s="113">
        <v>1</v>
      </c>
      <c r="P73" s="113">
        <v>2</v>
      </c>
      <c r="Q73" s="113">
        <v>2</v>
      </c>
      <c r="R73" s="17">
        <v>10102015</v>
      </c>
      <c r="S73" s="17">
        <v>10102</v>
      </c>
      <c r="T73" s="17" t="s">
        <v>3969</v>
      </c>
      <c r="U73" s="17" t="s">
        <v>3972</v>
      </c>
      <c r="V73" s="17" t="s">
        <v>3996</v>
      </c>
      <c r="W73">
        <v>45</v>
      </c>
      <c r="X73">
        <v>0.69832822022397933</v>
      </c>
    </row>
    <row r="74" spans="1:24">
      <c r="A74" s="112">
        <v>1</v>
      </c>
      <c r="B74" s="112">
        <v>1</v>
      </c>
      <c r="C74" s="112">
        <v>2</v>
      </c>
      <c r="D74" s="112">
        <v>1</v>
      </c>
      <c r="E74" s="112">
        <v>1</v>
      </c>
      <c r="F74" s="112">
        <v>0</v>
      </c>
      <c r="G74" s="112">
        <v>0</v>
      </c>
      <c r="H74" s="112"/>
      <c r="I74" s="112"/>
      <c r="J74" s="112"/>
      <c r="K74" s="112"/>
      <c r="L74" s="112"/>
      <c r="M74" s="112">
        <v>1</v>
      </c>
      <c r="N74" s="112">
        <v>1</v>
      </c>
      <c r="O74" s="112">
        <v>1</v>
      </c>
      <c r="P74" s="112">
        <v>1</v>
      </c>
      <c r="Q74" s="112">
        <v>1</v>
      </c>
      <c r="R74" s="16">
        <v>10102016</v>
      </c>
      <c r="S74" s="16">
        <v>10102</v>
      </c>
      <c r="T74" s="16" t="s">
        <v>3960</v>
      </c>
      <c r="U74" s="16" t="s">
        <v>3961</v>
      </c>
      <c r="V74" s="16" t="s">
        <v>3995</v>
      </c>
      <c r="W74">
        <v>43</v>
      </c>
      <c r="X74">
        <v>0.71844537774742923</v>
      </c>
    </row>
    <row r="75" spans="1:24">
      <c r="A75" s="18">
        <v>1</v>
      </c>
      <c r="B75" s="18" t="s">
        <v>3301</v>
      </c>
      <c r="C75" s="18" t="s">
        <v>3302</v>
      </c>
      <c r="D75" s="19" t="s">
        <v>4055</v>
      </c>
      <c r="E75" s="19">
        <v>1</v>
      </c>
      <c r="F75" s="19"/>
      <c r="G75" s="19"/>
      <c r="H75" s="19" t="s">
        <v>3906</v>
      </c>
      <c r="I75" s="19"/>
      <c r="J75" s="19"/>
      <c r="K75" s="19"/>
      <c r="L75" s="19"/>
      <c r="M75" s="19">
        <v>1</v>
      </c>
      <c r="N75" s="19">
        <v>1</v>
      </c>
      <c r="O75" s="19">
        <v>1</v>
      </c>
      <c r="P75" s="19" t="s">
        <v>3516</v>
      </c>
      <c r="Q75" s="19" t="s">
        <v>3517</v>
      </c>
      <c r="R75" s="16">
        <v>10201007</v>
      </c>
      <c r="S75" s="93">
        <v>10201</v>
      </c>
      <c r="T75" t="s">
        <v>3975</v>
      </c>
      <c r="U75" t="s">
        <v>4396</v>
      </c>
      <c r="V75" t="s">
        <v>4404</v>
      </c>
      <c r="W75">
        <v>71</v>
      </c>
      <c r="X75">
        <v>0.7216602606796263</v>
      </c>
    </row>
    <row r="76" spans="1:24" s="92" customFormat="1">
      <c r="A76" s="111">
        <v>1</v>
      </c>
      <c r="B76" s="111">
        <v>1</v>
      </c>
      <c r="C76" s="111">
        <v>1</v>
      </c>
      <c r="D76" s="111">
        <v>4</v>
      </c>
      <c r="E76" s="111">
        <v>1</v>
      </c>
      <c r="F76" s="111">
        <v>0</v>
      </c>
      <c r="G76" s="111">
        <v>0</v>
      </c>
      <c r="H76" s="111"/>
      <c r="I76" s="111"/>
      <c r="J76" s="111"/>
      <c r="K76" s="111"/>
      <c r="L76" s="111"/>
      <c r="M76" s="111">
        <v>1</v>
      </c>
      <c r="N76" s="111" t="s">
        <v>3516</v>
      </c>
      <c r="O76" s="111" t="s">
        <v>3516</v>
      </c>
      <c r="P76" s="111">
        <v>2</v>
      </c>
      <c r="Q76" s="111">
        <v>2</v>
      </c>
      <c r="R76">
        <v>10101034</v>
      </c>
      <c r="S76">
        <v>10101</v>
      </c>
      <c r="T76" t="s">
        <v>3966</v>
      </c>
      <c r="U76" t="s">
        <v>3964</v>
      </c>
      <c r="V76" t="s">
        <v>3985</v>
      </c>
      <c r="W76">
        <v>16</v>
      </c>
      <c r="X76">
        <v>0.73967738466622635</v>
      </c>
    </row>
    <row r="77" spans="1:24" s="92" customFormat="1">
      <c r="A77" s="92">
        <v>2</v>
      </c>
      <c r="B77" s="92">
        <v>1</v>
      </c>
      <c r="C77" s="92" t="s">
        <v>3903</v>
      </c>
      <c r="D77" s="92" t="s">
        <v>4064</v>
      </c>
      <c r="E77" s="92" t="s">
        <v>4058</v>
      </c>
      <c r="I77" s="92" t="s">
        <v>4059</v>
      </c>
      <c r="J77" s="92" t="s">
        <v>3869</v>
      </c>
      <c r="K77" s="92" t="s">
        <v>4060</v>
      </c>
      <c r="L77" s="92" t="s">
        <v>3907</v>
      </c>
      <c r="M77" s="92">
        <v>1</v>
      </c>
      <c r="N77" s="92" t="s">
        <v>4061</v>
      </c>
      <c r="O77" s="92" t="s">
        <v>4061</v>
      </c>
      <c r="P77" s="92" t="s">
        <v>4061</v>
      </c>
      <c r="Q77" s="92" t="s">
        <v>4061</v>
      </c>
      <c r="R77" s="92">
        <v>20101006</v>
      </c>
      <c r="S77" s="92">
        <v>20101</v>
      </c>
      <c r="T77" s="92" t="s">
        <v>3960</v>
      </c>
      <c r="U77" s="92" t="s">
        <v>4065</v>
      </c>
      <c r="V77" s="92" t="s">
        <v>4204</v>
      </c>
      <c r="W77">
        <v>77</v>
      </c>
      <c r="X77">
        <v>0.74840664505333698</v>
      </c>
    </row>
    <row r="78" spans="1:24" s="92" customFormat="1">
      <c r="A78" s="112">
        <v>1</v>
      </c>
      <c r="B78" s="112">
        <v>1</v>
      </c>
      <c r="C78" s="112">
        <v>2</v>
      </c>
      <c r="D78" s="112">
        <v>1</v>
      </c>
      <c r="E78" s="112">
        <v>1</v>
      </c>
      <c r="F78" s="112">
        <v>1</v>
      </c>
      <c r="G78" s="112">
        <v>0</v>
      </c>
      <c r="H78" s="112"/>
      <c r="I78" s="112"/>
      <c r="J78" s="112"/>
      <c r="K78" s="112"/>
      <c r="L78" s="112"/>
      <c r="M78" s="112">
        <v>1</v>
      </c>
      <c r="N78" s="112">
        <v>1</v>
      </c>
      <c r="O78" s="112">
        <v>1</v>
      </c>
      <c r="P78" s="16">
        <v>3</v>
      </c>
      <c r="Q78" s="16">
        <v>3</v>
      </c>
      <c r="R78" s="16">
        <v>10102017</v>
      </c>
      <c r="S78" s="16">
        <v>10102</v>
      </c>
      <c r="T78" s="16" t="s">
        <v>3970</v>
      </c>
      <c r="U78" s="16" t="s">
        <v>3972</v>
      </c>
      <c r="V78" s="16" t="s">
        <v>3998</v>
      </c>
      <c r="W78">
        <v>52</v>
      </c>
      <c r="X78">
        <v>0.74880805080611346</v>
      </c>
    </row>
    <row r="79" spans="1:24" s="92" customFormat="1">
      <c r="A79" s="111">
        <v>1</v>
      </c>
      <c r="B79" s="111">
        <v>1</v>
      </c>
      <c r="C79" s="111">
        <v>1</v>
      </c>
      <c r="D79" s="111">
        <v>2</v>
      </c>
      <c r="E79" s="111">
        <v>1</v>
      </c>
      <c r="F79" s="111">
        <v>0</v>
      </c>
      <c r="G79" s="111">
        <v>0</v>
      </c>
      <c r="H79" s="111"/>
      <c r="I79" s="111"/>
      <c r="J79" s="111"/>
      <c r="K79" s="111"/>
      <c r="L79" s="111"/>
      <c r="M79" s="111">
        <v>1</v>
      </c>
      <c r="N79" s="111">
        <v>1</v>
      </c>
      <c r="O79" s="111">
        <v>1</v>
      </c>
      <c r="P79" s="111">
        <v>2</v>
      </c>
      <c r="Q79" s="111">
        <v>2</v>
      </c>
      <c r="R79">
        <v>10101035</v>
      </c>
      <c r="S79">
        <v>10101</v>
      </c>
      <c r="T79" t="s">
        <v>3969</v>
      </c>
      <c r="U79" t="s">
        <v>3963</v>
      </c>
      <c r="V79" t="s">
        <v>3983</v>
      </c>
      <c r="W79">
        <v>26</v>
      </c>
      <c r="X79">
        <v>0.75007692873215615</v>
      </c>
    </row>
    <row r="80" spans="1:24" s="92" customFormat="1">
      <c r="A80" s="92">
        <v>2</v>
      </c>
      <c r="B80" s="92">
        <v>1</v>
      </c>
      <c r="C80" s="92" t="s">
        <v>3871</v>
      </c>
      <c r="D80" s="92" t="s">
        <v>4057</v>
      </c>
      <c r="E80" s="92" t="s">
        <v>4071</v>
      </c>
      <c r="I80" s="92" t="s">
        <v>4072</v>
      </c>
      <c r="J80" s="92" t="s">
        <v>3869</v>
      </c>
      <c r="K80" s="114" t="s">
        <v>4060</v>
      </c>
      <c r="L80" s="92" t="s">
        <v>4074</v>
      </c>
      <c r="M80" s="92">
        <v>1</v>
      </c>
      <c r="N80" s="92" t="s">
        <v>4061</v>
      </c>
      <c r="O80" s="92" t="s">
        <v>4061</v>
      </c>
      <c r="P80" s="92" t="s">
        <v>4061</v>
      </c>
      <c r="Q80" s="92" t="s">
        <v>4061</v>
      </c>
      <c r="R80" s="92">
        <v>20103011</v>
      </c>
      <c r="S80" s="92">
        <v>20103</v>
      </c>
      <c r="T80" s="92" t="s">
        <v>3960</v>
      </c>
      <c r="U80" s="92" t="s">
        <v>4075</v>
      </c>
      <c r="V80" s="92" t="s">
        <v>4214</v>
      </c>
      <c r="W80">
        <v>89</v>
      </c>
      <c r="X80">
        <v>0.76442422759488726</v>
      </c>
    </row>
    <row r="81" spans="1:24" s="92" customFormat="1">
      <c r="A81" s="113">
        <v>1</v>
      </c>
      <c r="B81" s="113">
        <v>1</v>
      </c>
      <c r="C81" s="113">
        <v>2</v>
      </c>
      <c r="D81" s="113">
        <v>1</v>
      </c>
      <c r="E81" s="113">
        <v>1</v>
      </c>
      <c r="F81" s="113">
        <v>0</v>
      </c>
      <c r="G81" s="113">
        <v>0</v>
      </c>
      <c r="H81" s="113"/>
      <c r="I81" s="113"/>
      <c r="J81" s="113"/>
      <c r="K81" s="113"/>
      <c r="L81" s="113"/>
      <c r="M81" s="113">
        <v>1</v>
      </c>
      <c r="N81" s="113">
        <v>1</v>
      </c>
      <c r="O81" s="113">
        <v>1</v>
      </c>
      <c r="P81" s="113">
        <v>2</v>
      </c>
      <c r="Q81" s="113">
        <v>3</v>
      </c>
      <c r="R81" s="17">
        <v>10102018</v>
      </c>
      <c r="S81" s="17">
        <v>10102</v>
      </c>
      <c r="T81" s="17" t="s">
        <v>3975</v>
      </c>
      <c r="U81" s="17" t="s">
        <v>3961</v>
      </c>
      <c r="V81" s="17" t="s">
        <v>4001</v>
      </c>
      <c r="W81">
        <v>63</v>
      </c>
      <c r="X81">
        <v>0.76674204710729388</v>
      </c>
    </row>
    <row r="82" spans="1:24" s="92" customFormat="1">
      <c r="A82" s="112">
        <v>1</v>
      </c>
      <c r="B82" s="112">
        <v>1</v>
      </c>
      <c r="C82" s="112">
        <v>2</v>
      </c>
      <c r="D82" s="112">
        <v>1</v>
      </c>
      <c r="E82" s="112">
        <v>1</v>
      </c>
      <c r="F82" s="112">
        <v>0</v>
      </c>
      <c r="G82" s="112">
        <v>0</v>
      </c>
      <c r="H82" s="112"/>
      <c r="I82" s="112"/>
      <c r="J82" s="112"/>
      <c r="K82" s="112"/>
      <c r="L82" s="112"/>
      <c r="M82" s="112">
        <v>1</v>
      </c>
      <c r="N82" s="112">
        <v>1</v>
      </c>
      <c r="O82" s="112">
        <v>1</v>
      </c>
      <c r="P82" s="112">
        <v>2</v>
      </c>
      <c r="Q82" s="112">
        <v>1</v>
      </c>
      <c r="R82" s="112">
        <v>10102019</v>
      </c>
      <c r="S82" s="112">
        <v>10102</v>
      </c>
      <c r="T82" s="112" t="s">
        <v>3974</v>
      </c>
      <c r="U82" s="112" t="s">
        <v>3961</v>
      </c>
      <c r="V82" s="112" t="s">
        <v>4001</v>
      </c>
      <c r="W82">
        <v>58</v>
      </c>
      <c r="X82">
        <v>0.78082236461139654</v>
      </c>
    </row>
    <row r="83" spans="1:24" s="92" customFormat="1">
      <c r="A83" s="92">
        <v>2</v>
      </c>
      <c r="B83" s="92">
        <v>1</v>
      </c>
      <c r="C83" s="92" t="s">
        <v>3903</v>
      </c>
      <c r="D83" s="92" t="s">
        <v>4067</v>
      </c>
      <c r="E83" s="92" t="s">
        <v>4058</v>
      </c>
      <c r="I83" s="92" t="s">
        <v>4059</v>
      </c>
      <c r="J83" s="92" t="s">
        <v>3869</v>
      </c>
      <c r="K83" s="92" t="s">
        <v>4060</v>
      </c>
      <c r="L83" s="92" t="s">
        <v>3863</v>
      </c>
      <c r="M83" s="92">
        <v>1</v>
      </c>
      <c r="N83" s="92" t="s">
        <v>4063</v>
      </c>
      <c r="O83" s="92" t="s">
        <v>4063</v>
      </c>
      <c r="P83" s="92" t="s">
        <v>4063</v>
      </c>
      <c r="Q83" s="92" t="s">
        <v>4063</v>
      </c>
      <c r="R83" s="92">
        <v>20101007</v>
      </c>
      <c r="S83" s="92">
        <v>20101</v>
      </c>
      <c r="T83" s="92" t="s">
        <v>3966</v>
      </c>
      <c r="U83" s="92" t="s">
        <v>4068</v>
      </c>
      <c r="V83" s="92" t="s">
        <v>4209</v>
      </c>
      <c r="W83">
        <v>82</v>
      </c>
      <c r="X83">
        <v>0.80024045378111586</v>
      </c>
    </row>
    <row r="84" spans="1:24" s="92" customFormat="1">
      <c r="A84" s="113">
        <v>1</v>
      </c>
      <c r="B84" s="113">
        <v>1</v>
      </c>
      <c r="C84" s="113">
        <v>2</v>
      </c>
      <c r="D84" s="113">
        <v>1</v>
      </c>
      <c r="E84" s="113">
        <v>1</v>
      </c>
      <c r="F84" s="113">
        <v>0</v>
      </c>
      <c r="G84" s="113">
        <v>0</v>
      </c>
      <c r="H84" s="113"/>
      <c r="I84" s="113"/>
      <c r="J84" s="113"/>
      <c r="K84" s="113"/>
      <c r="L84" s="113"/>
      <c r="M84" s="113">
        <v>1</v>
      </c>
      <c r="N84" s="113">
        <v>1</v>
      </c>
      <c r="O84" s="113">
        <v>1</v>
      </c>
      <c r="P84" s="113">
        <v>2</v>
      </c>
      <c r="Q84" s="113">
        <v>3</v>
      </c>
      <c r="R84" s="17">
        <v>10102020</v>
      </c>
      <c r="S84" s="17">
        <v>10102</v>
      </c>
      <c r="T84" s="17" t="s">
        <v>3975</v>
      </c>
      <c r="U84" s="17" t="s">
        <v>3961</v>
      </c>
      <c r="V84" s="17" t="s">
        <v>4001</v>
      </c>
      <c r="W84">
        <v>62</v>
      </c>
      <c r="X84">
        <v>0.80934171287019263</v>
      </c>
    </row>
    <row r="85" spans="1:24" s="92" customFormat="1">
      <c r="A85" s="112">
        <v>1</v>
      </c>
      <c r="B85" s="112">
        <v>1</v>
      </c>
      <c r="C85" s="112">
        <v>2</v>
      </c>
      <c r="D85" s="112">
        <v>1</v>
      </c>
      <c r="E85" s="112">
        <v>1</v>
      </c>
      <c r="F85" s="112">
        <v>0</v>
      </c>
      <c r="G85" s="112">
        <v>0</v>
      </c>
      <c r="H85" s="112"/>
      <c r="I85" s="112"/>
      <c r="J85" s="112"/>
      <c r="K85" s="112"/>
      <c r="L85" s="112"/>
      <c r="M85" s="112">
        <v>1</v>
      </c>
      <c r="N85" s="112">
        <v>1</v>
      </c>
      <c r="O85" s="112">
        <v>1</v>
      </c>
      <c r="P85" s="112">
        <v>1</v>
      </c>
      <c r="Q85" s="112">
        <v>1</v>
      </c>
      <c r="R85" s="16">
        <v>10102021</v>
      </c>
      <c r="S85" s="16">
        <v>10102</v>
      </c>
      <c r="T85" s="16" t="s">
        <v>3960</v>
      </c>
      <c r="U85" s="16" t="s">
        <v>3961</v>
      </c>
      <c r="V85" s="16" t="s">
        <v>3995</v>
      </c>
      <c r="W85">
        <v>42</v>
      </c>
      <c r="X85">
        <v>0.81576506638205526</v>
      </c>
    </row>
    <row r="86" spans="1:24" s="92" customFormat="1">
      <c r="A86" s="108">
        <v>1</v>
      </c>
      <c r="B86" s="108">
        <v>1</v>
      </c>
      <c r="C86" s="108">
        <v>1</v>
      </c>
      <c r="D86" s="108">
        <v>3</v>
      </c>
      <c r="E86" s="108">
        <v>1</v>
      </c>
      <c r="F86" s="108">
        <v>0</v>
      </c>
      <c r="G86" s="108">
        <v>0</v>
      </c>
      <c r="H86" s="108"/>
      <c r="I86" s="108"/>
      <c r="J86" s="108"/>
      <c r="K86" s="108"/>
      <c r="L86" s="108"/>
      <c r="M86" s="108">
        <v>1</v>
      </c>
      <c r="N86" s="108">
        <v>1</v>
      </c>
      <c r="O86" s="108">
        <v>1</v>
      </c>
      <c r="P86" s="110" t="s">
        <v>3517</v>
      </c>
      <c r="Q86" s="110" t="s">
        <v>3518</v>
      </c>
      <c r="R86">
        <v>10101036</v>
      </c>
      <c r="S86">
        <v>10101</v>
      </c>
      <c r="T86" t="s">
        <v>3971</v>
      </c>
      <c r="U86" t="s">
        <v>3965</v>
      </c>
      <c r="V86" t="s">
        <v>3992</v>
      </c>
      <c r="W86">
        <v>35</v>
      </c>
      <c r="X86">
        <v>0.86127250374746911</v>
      </c>
    </row>
    <row r="87" spans="1:24" s="92" customFormat="1">
      <c r="A87" s="112">
        <v>1</v>
      </c>
      <c r="B87" s="112">
        <v>1</v>
      </c>
      <c r="C87" s="112">
        <v>2</v>
      </c>
      <c r="D87" s="112">
        <v>1</v>
      </c>
      <c r="E87" s="112">
        <v>1</v>
      </c>
      <c r="F87" s="112">
        <v>1</v>
      </c>
      <c r="G87" s="112">
        <v>0</v>
      </c>
      <c r="H87" s="112"/>
      <c r="I87" s="112"/>
      <c r="J87" s="112"/>
      <c r="K87" s="112"/>
      <c r="L87" s="112"/>
      <c r="M87" s="112">
        <v>1</v>
      </c>
      <c r="N87" s="112">
        <v>1</v>
      </c>
      <c r="O87" s="112">
        <v>1</v>
      </c>
      <c r="P87" s="112">
        <v>1</v>
      </c>
      <c r="Q87" s="112">
        <v>1</v>
      </c>
      <c r="R87" s="16">
        <v>10102022</v>
      </c>
      <c r="S87" s="16">
        <v>10102</v>
      </c>
      <c r="T87" s="16" t="s">
        <v>3960</v>
      </c>
      <c r="U87" s="16" t="s">
        <v>3972</v>
      </c>
      <c r="V87" s="16" t="s">
        <v>3994</v>
      </c>
      <c r="W87">
        <v>44</v>
      </c>
      <c r="X87">
        <v>0.86858180605684365</v>
      </c>
    </row>
    <row r="88" spans="1:24" s="92" customFormat="1">
      <c r="A88" s="18">
        <v>1</v>
      </c>
      <c r="B88" s="18" t="s">
        <v>3301</v>
      </c>
      <c r="C88" s="18" t="s">
        <v>3302</v>
      </c>
      <c r="D88" s="19" t="s">
        <v>4055</v>
      </c>
      <c r="E88" s="19">
        <v>1</v>
      </c>
      <c r="F88" s="19"/>
      <c r="G88" s="19"/>
      <c r="H88" s="19" t="s">
        <v>3906</v>
      </c>
      <c r="I88" s="19"/>
      <c r="J88" s="19"/>
      <c r="K88" s="19"/>
      <c r="L88" s="19"/>
      <c r="M88" s="19">
        <v>1</v>
      </c>
      <c r="N88" s="19">
        <v>1</v>
      </c>
      <c r="O88" s="19">
        <v>1</v>
      </c>
      <c r="P88" s="19" t="s">
        <v>3516</v>
      </c>
      <c r="Q88" s="19" t="s">
        <v>3516</v>
      </c>
      <c r="R88" s="16">
        <v>10201008</v>
      </c>
      <c r="S88" s="93">
        <v>10201</v>
      </c>
      <c r="T88" t="s">
        <v>3969</v>
      </c>
      <c r="U88" t="s">
        <v>4396</v>
      </c>
      <c r="V88" t="s">
        <v>4397</v>
      </c>
      <c r="W88">
        <v>67</v>
      </c>
      <c r="X88">
        <v>0.883803747490708</v>
      </c>
    </row>
    <row r="89" spans="1:24" s="92" customFormat="1">
      <c r="A89" s="92">
        <v>2</v>
      </c>
      <c r="B89" s="92">
        <v>1</v>
      </c>
      <c r="C89" s="92" t="s">
        <v>3871</v>
      </c>
      <c r="D89" s="92" t="s">
        <v>4057</v>
      </c>
      <c r="E89" s="92" t="s">
        <v>4071</v>
      </c>
      <c r="I89" s="92" t="s">
        <v>4072</v>
      </c>
      <c r="J89" s="92" t="s">
        <v>3869</v>
      </c>
      <c r="K89" s="92" t="s">
        <v>4060</v>
      </c>
      <c r="L89" s="92" t="s">
        <v>4074</v>
      </c>
      <c r="M89" s="92">
        <v>1</v>
      </c>
      <c r="N89" s="92" t="s">
        <v>4063</v>
      </c>
      <c r="O89" s="92" t="s">
        <v>4063</v>
      </c>
      <c r="P89" s="92" t="s">
        <v>4063</v>
      </c>
      <c r="Q89" s="92" t="s">
        <v>4063</v>
      </c>
      <c r="R89" s="92">
        <v>20103012</v>
      </c>
      <c r="S89" s="92">
        <v>20103</v>
      </c>
      <c r="T89" s="92" t="s">
        <v>3966</v>
      </c>
      <c r="U89" s="92" t="s">
        <v>4075</v>
      </c>
      <c r="V89" s="92" t="s">
        <v>4215</v>
      </c>
      <c r="W89">
        <v>90</v>
      </c>
      <c r="X89">
        <v>0.89305650338361131</v>
      </c>
    </row>
    <row r="90" spans="1:24" s="92" customFormat="1">
      <c r="A90" s="113">
        <v>1</v>
      </c>
      <c r="B90" s="113">
        <v>1</v>
      </c>
      <c r="C90" s="113">
        <v>2</v>
      </c>
      <c r="D90" s="113">
        <v>1</v>
      </c>
      <c r="E90" s="113">
        <v>1</v>
      </c>
      <c r="F90" s="113">
        <v>1</v>
      </c>
      <c r="G90" s="113">
        <v>0</v>
      </c>
      <c r="H90" s="113"/>
      <c r="I90" s="113"/>
      <c r="J90" s="113"/>
      <c r="K90" s="113"/>
      <c r="L90" s="113"/>
      <c r="M90" s="113">
        <v>1</v>
      </c>
      <c r="N90" s="113">
        <v>1</v>
      </c>
      <c r="O90" s="113">
        <v>1</v>
      </c>
      <c r="P90" s="113">
        <v>2</v>
      </c>
      <c r="Q90" s="113">
        <v>2</v>
      </c>
      <c r="R90" s="17">
        <v>10102023</v>
      </c>
      <c r="S90" s="17">
        <v>10102</v>
      </c>
      <c r="T90" s="17" t="s">
        <v>3969</v>
      </c>
      <c r="U90" s="17" t="s">
        <v>3972</v>
      </c>
      <c r="V90" s="17" t="s">
        <v>3996</v>
      </c>
      <c r="W90">
        <v>48</v>
      </c>
      <c r="X90">
        <v>0.92613877166381176</v>
      </c>
    </row>
    <row r="91" spans="1:24" s="92" customFormat="1">
      <c r="A91" s="108">
        <v>1</v>
      </c>
      <c r="B91" s="108">
        <v>1</v>
      </c>
      <c r="C91" s="108">
        <v>1</v>
      </c>
      <c r="D91" s="108">
        <v>2</v>
      </c>
      <c r="E91" s="108">
        <v>1</v>
      </c>
      <c r="F91" s="108">
        <v>0</v>
      </c>
      <c r="G91" s="108">
        <v>0</v>
      </c>
      <c r="H91" s="108"/>
      <c r="I91" s="108"/>
      <c r="J91" s="108"/>
      <c r="K91" s="108"/>
      <c r="L91" s="108"/>
      <c r="M91" s="108">
        <v>1</v>
      </c>
      <c r="N91" s="108">
        <v>1</v>
      </c>
      <c r="O91" s="108">
        <v>1</v>
      </c>
      <c r="P91" s="110" t="s">
        <v>3517</v>
      </c>
      <c r="Q91" s="110" t="s">
        <v>3518</v>
      </c>
      <c r="R91">
        <v>10101037</v>
      </c>
      <c r="S91">
        <v>10101</v>
      </c>
      <c r="T91" t="s">
        <v>3971</v>
      </c>
      <c r="U91" t="s">
        <v>3963</v>
      </c>
      <c r="V91" t="s">
        <v>3991</v>
      </c>
      <c r="W91">
        <v>34</v>
      </c>
      <c r="X91">
        <v>0.92770259032871294</v>
      </c>
    </row>
    <row r="92" spans="1:24" s="92" customFormat="1">
      <c r="A92" s="111">
        <v>1</v>
      </c>
      <c r="B92" s="111">
        <v>1</v>
      </c>
      <c r="C92" s="111">
        <v>1</v>
      </c>
      <c r="D92" s="111">
        <v>4</v>
      </c>
      <c r="E92" s="111">
        <v>1</v>
      </c>
      <c r="F92" s="111">
        <v>0</v>
      </c>
      <c r="G92" s="111">
        <v>0</v>
      </c>
      <c r="H92" s="111"/>
      <c r="I92" s="111"/>
      <c r="J92" s="111"/>
      <c r="K92" s="111"/>
      <c r="L92" s="111"/>
      <c r="M92" s="111">
        <v>1</v>
      </c>
      <c r="N92" s="111">
        <v>1</v>
      </c>
      <c r="O92" s="111">
        <v>1</v>
      </c>
      <c r="P92" s="110" t="s">
        <v>3967</v>
      </c>
      <c r="Q92" s="110">
        <v>3</v>
      </c>
      <c r="R92">
        <v>10101038</v>
      </c>
      <c r="S92">
        <v>10101</v>
      </c>
      <c r="T92" t="s">
        <v>3970</v>
      </c>
      <c r="U92" t="s">
        <v>3964</v>
      </c>
      <c r="V92" t="s">
        <v>3989</v>
      </c>
      <c r="W92">
        <v>28</v>
      </c>
      <c r="X92">
        <v>0.933600371180346</v>
      </c>
    </row>
    <row r="93" spans="1:24" s="92" customFormat="1">
      <c r="A93" s="92">
        <v>2</v>
      </c>
      <c r="B93" s="92">
        <v>1</v>
      </c>
      <c r="C93" s="92" t="s">
        <v>3903</v>
      </c>
      <c r="D93" s="92" t="s">
        <v>4064</v>
      </c>
      <c r="E93" s="92" t="s">
        <v>4058</v>
      </c>
      <c r="I93" s="92" t="s">
        <v>4059</v>
      </c>
      <c r="K93" s="92" t="s">
        <v>3870</v>
      </c>
      <c r="L93" s="92" t="s">
        <v>3859</v>
      </c>
      <c r="M93" s="92">
        <v>1</v>
      </c>
      <c r="N93" s="92" t="s">
        <v>4063</v>
      </c>
      <c r="O93" s="92" t="s">
        <v>4063</v>
      </c>
      <c r="P93" s="92" t="s">
        <v>4063</v>
      </c>
      <c r="Q93" s="92" t="s">
        <v>4063</v>
      </c>
      <c r="R93" s="92">
        <v>20101008</v>
      </c>
      <c r="S93" s="92">
        <v>20101</v>
      </c>
      <c r="T93" s="92" t="s">
        <v>3966</v>
      </c>
      <c r="U93" s="92" t="s">
        <v>4066</v>
      </c>
      <c r="V93" s="92" t="s">
        <v>4207</v>
      </c>
      <c r="W93">
        <v>80</v>
      </c>
      <c r="X93">
        <v>0.94419763893330955</v>
      </c>
    </row>
    <row r="94" spans="1:24" s="92" customFormat="1">
      <c r="A94" s="18">
        <v>1</v>
      </c>
      <c r="B94" s="18">
        <v>1</v>
      </c>
      <c r="C94" s="18">
        <v>3</v>
      </c>
      <c r="D94" s="19">
        <v>1</v>
      </c>
      <c r="E94" s="19">
        <v>1</v>
      </c>
      <c r="F94" s="19">
        <v>0</v>
      </c>
      <c r="G94" s="19">
        <v>0</v>
      </c>
      <c r="H94" s="19"/>
      <c r="I94" s="19"/>
      <c r="J94" s="19"/>
      <c r="K94" s="19"/>
      <c r="L94" s="19"/>
      <c r="M94" s="20">
        <v>1</v>
      </c>
      <c r="N94" s="20">
        <v>1</v>
      </c>
      <c r="O94" s="20">
        <v>1</v>
      </c>
      <c r="P94" s="20">
        <v>1</v>
      </c>
      <c r="Q94" s="20">
        <v>1</v>
      </c>
      <c r="R94" s="16">
        <v>10103002</v>
      </c>
      <c r="S94">
        <v>10103</v>
      </c>
      <c r="T94" t="s">
        <v>3960</v>
      </c>
      <c r="U94" t="s">
        <v>3961</v>
      </c>
      <c r="V94" t="s">
        <v>4003</v>
      </c>
      <c r="W94">
        <v>66</v>
      </c>
      <c r="X94">
        <v>0.94930385156824137</v>
      </c>
    </row>
    <row r="95" spans="1:24" s="92" customFormat="1">
      <c r="A95" s="108">
        <v>1</v>
      </c>
      <c r="B95" s="108">
        <v>1</v>
      </c>
      <c r="C95" s="108">
        <v>1</v>
      </c>
      <c r="D95" s="108">
        <v>4</v>
      </c>
      <c r="E95" s="108">
        <v>1</v>
      </c>
      <c r="F95" s="108">
        <v>0</v>
      </c>
      <c r="G95" s="108">
        <v>0</v>
      </c>
      <c r="H95" s="108"/>
      <c r="I95" s="108"/>
      <c r="J95" s="108"/>
      <c r="K95" s="108"/>
      <c r="L95" s="108"/>
      <c r="M95" s="108">
        <v>1</v>
      </c>
      <c r="N95" s="108">
        <v>1</v>
      </c>
      <c r="O95" s="108">
        <v>1</v>
      </c>
      <c r="P95" s="110" t="s">
        <v>3517</v>
      </c>
      <c r="Q95" s="110" t="s">
        <v>3518</v>
      </c>
      <c r="R95">
        <v>10101039</v>
      </c>
      <c r="S95">
        <v>10101</v>
      </c>
      <c r="T95" t="s">
        <v>3971</v>
      </c>
      <c r="U95" t="s">
        <v>3964</v>
      </c>
      <c r="V95" t="s">
        <v>3993</v>
      </c>
      <c r="W95">
        <v>36</v>
      </c>
      <c r="X95">
        <v>0.9512554316848556</v>
      </c>
    </row>
    <row r="96" spans="1:24" s="92" customFormat="1">
      <c r="A96" s="111">
        <v>1</v>
      </c>
      <c r="B96" s="111">
        <v>1</v>
      </c>
      <c r="C96" s="111">
        <v>1</v>
      </c>
      <c r="D96" s="111">
        <v>1</v>
      </c>
      <c r="E96" s="111">
        <v>1</v>
      </c>
      <c r="F96" s="111">
        <v>0</v>
      </c>
      <c r="G96" s="111">
        <v>0</v>
      </c>
      <c r="H96" s="111"/>
      <c r="I96" s="111"/>
      <c r="J96" s="111"/>
      <c r="K96" s="111"/>
      <c r="L96" s="111"/>
      <c r="M96" s="111">
        <v>1</v>
      </c>
      <c r="N96" s="111" t="s">
        <v>3516</v>
      </c>
      <c r="O96" s="111" t="s">
        <v>3516</v>
      </c>
      <c r="P96" s="111">
        <v>2</v>
      </c>
      <c r="Q96" s="111">
        <v>2</v>
      </c>
      <c r="R96">
        <v>10101040</v>
      </c>
      <c r="S96">
        <v>10101</v>
      </c>
      <c r="T96" t="s">
        <v>3966</v>
      </c>
      <c r="U96" t="s">
        <v>3961</v>
      </c>
      <c r="V96" t="s">
        <v>3982</v>
      </c>
      <c r="W96">
        <v>9</v>
      </c>
      <c r="X96">
        <v>0.9522402371850186</v>
      </c>
    </row>
    <row r="97" spans="1:24" s="92" customFormat="1">
      <c r="A97" s="113">
        <v>1</v>
      </c>
      <c r="B97" s="113">
        <v>1</v>
      </c>
      <c r="C97" s="113">
        <v>2</v>
      </c>
      <c r="D97" s="113">
        <v>1</v>
      </c>
      <c r="E97" s="113">
        <v>1</v>
      </c>
      <c r="F97" s="113">
        <v>0</v>
      </c>
      <c r="G97" s="113">
        <v>0</v>
      </c>
      <c r="H97" s="113"/>
      <c r="I97" s="113"/>
      <c r="J97" s="113"/>
      <c r="K97" s="113"/>
      <c r="L97" s="113"/>
      <c r="M97" s="113">
        <v>1</v>
      </c>
      <c r="N97" s="113">
        <v>1</v>
      </c>
      <c r="O97" s="113">
        <v>1</v>
      </c>
      <c r="P97" s="113">
        <v>1</v>
      </c>
      <c r="Q97" s="113">
        <v>2</v>
      </c>
      <c r="R97" s="17">
        <v>10102024</v>
      </c>
      <c r="S97" s="17">
        <v>10102</v>
      </c>
      <c r="T97" s="17" t="s">
        <v>3973</v>
      </c>
      <c r="U97" s="17" t="s">
        <v>3961</v>
      </c>
      <c r="V97" s="17" t="s">
        <v>4001</v>
      </c>
      <c r="W97">
        <v>54</v>
      </c>
      <c r="X97">
        <v>0.96122872239102364</v>
      </c>
    </row>
    <row r="98" spans="1:24">
      <c r="A98">
        <v>2</v>
      </c>
      <c r="B98" s="92">
        <v>2</v>
      </c>
      <c r="C98" t="s">
        <v>4745</v>
      </c>
      <c r="D98" t="s">
        <v>4753</v>
      </c>
      <c r="E98" t="s">
        <v>4748</v>
      </c>
      <c r="I98" t="s">
        <v>4749</v>
      </c>
      <c r="J98" t="s">
        <v>4743</v>
      </c>
      <c r="K98" t="s">
        <v>4744</v>
      </c>
      <c r="L98" t="s">
        <v>4751</v>
      </c>
      <c r="M98">
        <v>1</v>
      </c>
      <c r="N98" t="s">
        <v>4061</v>
      </c>
      <c r="O98" t="s">
        <v>4061</v>
      </c>
      <c r="P98" t="s">
        <v>4061</v>
      </c>
      <c r="Q98" t="s">
        <v>4061</v>
      </c>
      <c r="R98">
        <v>20201001</v>
      </c>
      <c r="S98">
        <v>20201</v>
      </c>
      <c r="T98" t="s">
        <v>3960</v>
      </c>
      <c r="U98" t="s">
        <v>4834</v>
      </c>
      <c r="V98" t="s">
        <v>4835</v>
      </c>
    </row>
    <row r="99" spans="1:24">
      <c r="A99">
        <v>2</v>
      </c>
      <c r="B99" s="92">
        <v>2</v>
      </c>
      <c r="C99" t="s">
        <v>4747</v>
      </c>
      <c r="D99" t="s">
        <v>4064</v>
      </c>
      <c r="E99" t="s">
        <v>4748</v>
      </c>
      <c r="I99" t="s">
        <v>4749</v>
      </c>
      <c r="J99" t="s">
        <v>4743</v>
      </c>
      <c r="K99" t="s">
        <v>4744</v>
      </c>
      <c r="L99" t="s">
        <v>4755</v>
      </c>
      <c r="M99">
        <v>1</v>
      </c>
      <c r="N99" t="s">
        <v>4061</v>
      </c>
      <c r="O99" t="s">
        <v>4061</v>
      </c>
      <c r="P99" t="s">
        <v>4061</v>
      </c>
      <c r="Q99" t="s">
        <v>4061</v>
      </c>
      <c r="R99">
        <v>20202001</v>
      </c>
      <c r="S99">
        <v>20202</v>
      </c>
      <c r="T99" t="s">
        <v>3960</v>
      </c>
      <c r="U99" t="s">
        <v>4836</v>
      </c>
      <c r="V99" t="s">
        <v>4837</v>
      </c>
    </row>
    <row r="100" spans="1:24">
      <c r="A100">
        <v>2</v>
      </c>
      <c r="B100" s="92">
        <v>2</v>
      </c>
      <c r="C100" t="s">
        <v>4747</v>
      </c>
      <c r="D100" t="s">
        <v>4064</v>
      </c>
      <c r="E100" t="s">
        <v>4748</v>
      </c>
      <c r="I100" t="s">
        <v>4749</v>
      </c>
      <c r="J100" t="s">
        <v>4743</v>
      </c>
      <c r="K100" t="s">
        <v>4744</v>
      </c>
      <c r="L100" t="s">
        <v>4757</v>
      </c>
      <c r="M100">
        <v>1</v>
      </c>
      <c r="N100" t="s">
        <v>4061</v>
      </c>
      <c r="O100" t="s">
        <v>4061</v>
      </c>
      <c r="P100" t="s">
        <v>4061</v>
      </c>
      <c r="Q100" t="s">
        <v>4061</v>
      </c>
      <c r="R100">
        <v>20202002</v>
      </c>
      <c r="S100">
        <v>20202</v>
      </c>
      <c r="T100" t="s">
        <v>3960</v>
      </c>
      <c r="U100" t="s">
        <v>4838</v>
      </c>
      <c r="V100" t="s">
        <v>4839</v>
      </c>
    </row>
    <row r="101" spans="1:24">
      <c r="A101">
        <v>2</v>
      </c>
      <c r="B101" s="92">
        <v>2</v>
      </c>
      <c r="C101" t="s">
        <v>4747</v>
      </c>
      <c r="D101" t="s">
        <v>4064</v>
      </c>
      <c r="E101" t="s">
        <v>4748</v>
      </c>
      <c r="I101" t="s">
        <v>4749</v>
      </c>
      <c r="J101" t="s">
        <v>4743</v>
      </c>
      <c r="K101" t="s">
        <v>4746</v>
      </c>
      <c r="L101" t="s">
        <v>4755</v>
      </c>
      <c r="M101">
        <v>1</v>
      </c>
      <c r="N101" t="s">
        <v>4061</v>
      </c>
      <c r="O101" t="s">
        <v>4061</v>
      </c>
      <c r="P101" t="s">
        <v>4061</v>
      </c>
      <c r="Q101" t="s">
        <v>4061</v>
      </c>
      <c r="R101">
        <v>20202003</v>
      </c>
      <c r="S101">
        <v>20202</v>
      </c>
      <c r="T101" t="s">
        <v>3960</v>
      </c>
      <c r="U101" t="s">
        <v>4840</v>
      </c>
      <c r="V101" t="s">
        <v>4841</v>
      </c>
    </row>
    <row r="102" spans="1:24">
      <c r="A102">
        <v>2</v>
      </c>
      <c r="B102" s="92">
        <v>2</v>
      </c>
      <c r="C102" t="s">
        <v>4747</v>
      </c>
      <c r="D102" t="s">
        <v>4064</v>
      </c>
      <c r="E102" t="s">
        <v>4748</v>
      </c>
      <c r="I102" t="s">
        <v>4749</v>
      </c>
      <c r="J102" t="s">
        <v>4743</v>
      </c>
      <c r="K102" t="s">
        <v>4746</v>
      </c>
      <c r="L102" t="s">
        <v>4757</v>
      </c>
      <c r="M102">
        <v>1</v>
      </c>
      <c r="N102" t="s">
        <v>4061</v>
      </c>
      <c r="O102" t="s">
        <v>4061</v>
      </c>
      <c r="P102" t="s">
        <v>4061</v>
      </c>
      <c r="Q102" t="s">
        <v>4061</v>
      </c>
      <c r="R102">
        <v>20202004</v>
      </c>
      <c r="S102">
        <v>20202</v>
      </c>
      <c r="T102" t="s">
        <v>3960</v>
      </c>
      <c r="U102" t="s">
        <v>4842</v>
      </c>
      <c r="V102" t="s">
        <v>4843</v>
      </c>
    </row>
    <row r="103" spans="1:24">
      <c r="A103">
        <v>2</v>
      </c>
      <c r="B103" s="92">
        <v>2</v>
      </c>
      <c r="C103" t="s">
        <v>4752</v>
      </c>
      <c r="D103" t="s">
        <v>4756</v>
      </c>
      <c r="E103" t="s">
        <v>4748</v>
      </c>
      <c r="I103" t="s">
        <v>4749</v>
      </c>
      <c r="J103" t="s">
        <v>4743</v>
      </c>
      <c r="K103" t="s">
        <v>4750</v>
      </c>
      <c r="L103" t="s">
        <v>4759</v>
      </c>
      <c r="M103">
        <v>1</v>
      </c>
      <c r="N103" t="s">
        <v>4061</v>
      </c>
      <c r="O103" t="s">
        <v>4061</v>
      </c>
      <c r="P103" t="s">
        <v>4061</v>
      </c>
      <c r="Q103" t="s">
        <v>4061</v>
      </c>
      <c r="R103">
        <v>20203001</v>
      </c>
      <c r="S103">
        <v>20203</v>
      </c>
      <c r="T103" t="s">
        <v>3960</v>
      </c>
      <c r="U103" t="s">
        <v>4834</v>
      </c>
      <c r="V103" t="s">
        <v>4844</v>
      </c>
    </row>
    <row r="104" spans="1:24">
      <c r="A104">
        <v>2</v>
      </c>
      <c r="B104" s="92">
        <v>2</v>
      </c>
      <c r="C104" t="s">
        <v>4752</v>
      </c>
      <c r="D104" t="s">
        <v>4756</v>
      </c>
      <c r="E104" t="s">
        <v>4748</v>
      </c>
      <c r="I104" t="s">
        <v>4749</v>
      </c>
      <c r="J104" t="s">
        <v>4743</v>
      </c>
      <c r="K104" t="s">
        <v>4754</v>
      </c>
      <c r="L104" t="s">
        <v>4759</v>
      </c>
      <c r="M104">
        <v>1</v>
      </c>
      <c r="N104" t="s">
        <v>4061</v>
      </c>
      <c r="O104" t="s">
        <v>4061</v>
      </c>
      <c r="P104" t="s">
        <v>4061</v>
      </c>
      <c r="Q104" t="s">
        <v>4061</v>
      </c>
      <c r="R104">
        <v>20203002</v>
      </c>
      <c r="S104">
        <v>20203</v>
      </c>
      <c r="T104" t="s">
        <v>3960</v>
      </c>
      <c r="U104" t="s">
        <v>4884</v>
      </c>
      <c r="V104" t="s">
        <v>4845</v>
      </c>
    </row>
    <row r="105" spans="1:24">
      <c r="A105">
        <v>2</v>
      </c>
      <c r="B105" s="92">
        <v>2</v>
      </c>
      <c r="C105" t="s">
        <v>4752</v>
      </c>
      <c r="D105" t="s">
        <v>4758</v>
      </c>
      <c r="E105" t="s">
        <v>4748</v>
      </c>
      <c r="I105" t="s">
        <v>4749</v>
      </c>
      <c r="J105" t="s">
        <v>4743</v>
      </c>
      <c r="K105" t="s">
        <v>4750</v>
      </c>
      <c r="L105" t="s">
        <v>4759</v>
      </c>
      <c r="M105">
        <v>1</v>
      </c>
      <c r="N105" t="s">
        <v>4061</v>
      </c>
      <c r="O105" t="s">
        <v>4061</v>
      </c>
      <c r="P105" t="s">
        <v>4061</v>
      </c>
      <c r="Q105" t="s">
        <v>4061</v>
      </c>
      <c r="R105">
        <v>20203003</v>
      </c>
      <c r="S105">
        <v>20203</v>
      </c>
      <c r="T105" t="s">
        <v>3960</v>
      </c>
      <c r="U105" t="s">
        <v>4885</v>
      </c>
      <c r="V105" t="s">
        <v>4846</v>
      </c>
    </row>
    <row r="106" spans="1:24">
      <c r="A106">
        <v>2</v>
      </c>
      <c r="B106" s="92">
        <v>2</v>
      </c>
      <c r="C106" t="s">
        <v>4752</v>
      </c>
      <c r="D106" t="s">
        <v>4758</v>
      </c>
      <c r="E106" t="s">
        <v>4748</v>
      </c>
      <c r="I106" t="s">
        <v>4749</v>
      </c>
      <c r="J106" t="s">
        <v>4743</v>
      </c>
      <c r="K106" t="s">
        <v>4754</v>
      </c>
      <c r="L106" t="s">
        <v>4759</v>
      </c>
      <c r="M106">
        <v>1</v>
      </c>
      <c r="N106" t="s">
        <v>4061</v>
      </c>
      <c r="O106" t="s">
        <v>4061</v>
      </c>
      <c r="P106" t="s">
        <v>4061</v>
      </c>
      <c r="Q106" t="s">
        <v>4061</v>
      </c>
      <c r="R106">
        <v>20203004</v>
      </c>
      <c r="S106">
        <v>20203</v>
      </c>
      <c r="T106" t="s">
        <v>3960</v>
      </c>
      <c r="U106" t="s">
        <v>4886</v>
      </c>
      <c r="V106" t="s">
        <v>4847</v>
      </c>
    </row>
    <row r="107" spans="1:24">
      <c r="A107">
        <v>2</v>
      </c>
      <c r="B107" s="92">
        <v>2</v>
      </c>
      <c r="C107" t="s">
        <v>4752</v>
      </c>
      <c r="D107" t="s">
        <v>4760</v>
      </c>
      <c r="E107" t="s">
        <v>4748</v>
      </c>
      <c r="I107" t="s">
        <v>4749</v>
      </c>
      <c r="J107" t="s">
        <v>4743</v>
      </c>
      <c r="K107" t="s">
        <v>4750</v>
      </c>
      <c r="L107" t="s">
        <v>4759</v>
      </c>
      <c r="M107">
        <v>1</v>
      </c>
      <c r="N107" t="s">
        <v>4061</v>
      </c>
      <c r="O107" t="s">
        <v>4061</v>
      </c>
      <c r="P107" t="s">
        <v>4061</v>
      </c>
      <c r="Q107" t="s">
        <v>4061</v>
      </c>
      <c r="R107">
        <v>20203005</v>
      </c>
      <c r="S107">
        <v>20203</v>
      </c>
      <c r="T107" t="s">
        <v>3960</v>
      </c>
      <c r="U107" t="s">
        <v>4836</v>
      </c>
      <c r="V107" t="s">
        <v>4848</v>
      </c>
    </row>
    <row r="108" spans="1:24">
      <c r="A108">
        <v>2</v>
      </c>
      <c r="B108" s="92">
        <v>2</v>
      </c>
      <c r="C108" t="s">
        <v>4752</v>
      </c>
      <c r="D108" t="s">
        <v>4760</v>
      </c>
      <c r="E108" t="s">
        <v>4748</v>
      </c>
      <c r="I108" t="s">
        <v>4749</v>
      </c>
      <c r="J108" t="s">
        <v>4743</v>
      </c>
      <c r="K108" t="s">
        <v>4754</v>
      </c>
      <c r="L108" t="s">
        <v>4759</v>
      </c>
      <c r="M108">
        <v>1</v>
      </c>
      <c r="N108" t="s">
        <v>4061</v>
      </c>
      <c r="O108" t="s">
        <v>4061</v>
      </c>
      <c r="P108" t="s">
        <v>4061</v>
      </c>
      <c r="Q108" t="s">
        <v>4061</v>
      </c>
      <c r="R108">
        <v>20203006</v>
      </c>
      <c r="S108">
        <v>20203</v>
      </c>
      <c r="T108" t="s">
        <v>3960</v>
      </c>
      <c r="U108" t="s">
        <v>4840</v>
      </c>
      <c r="V108" t="s">
        <v>4849</v>
      </c>
    </row>
  </sheetData>
  <autoFilter ref="A1:X108" xr:uid="{6875A98F-C1E6-4145-B5C8-531D50F2559A}">
    <sortState xmlns:xlrd2="http://schemas.microsoft.com/office/spreadsheetml/2017/richdata2" ref="A2:X108">
      <sortCondition ref="W2:W108"/>
    </sortState>
  </autoFilter>
  <sortState xmlns:xlrd2="http://schemas.microsoft.com/office/spreadsheetml/2017/richdata2" ref="A2:X109">
    <sortCondition ref="X2:X109"/>
  </sortState>
  <phoneticPr fontId="71" type="noConversion"/>
  <dataValidations count="3">
    <dataValidation type="list" allowBlank="1" showInputMessage="1" sqref="A1:A1048576" xr:uid="{72F16863-129F-4A64-9F0D-E673F142CB46}">
      <formula1>INDIRECT(A$1)</formula1>
    </dataValidation>
    <dataValidation type="list" allowBlank="1" showInputMessage="1" sqref="B2:L108" xr:uid="{2BDEE502-1738-4028-B813-99E93EC11762}">
      <formula1>INDIRECT(B$1&amp;$A2)</formula1>
    </dataValidation>
    <dataValidation type="list" allowBlank="1" showInputMessage="1" sqref="M2:Q108" xr:uid="{C3D5E3B2-BA44-4D80-81DF-D1F6BBB91823}">
      <formula1>INDIRECT("瞳色"&amp;$A2)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6678" r:id="rId4" name="Button 6">
              <controlPr defaultSize="0" print="0" autoPict="0" macro="[0]!宠物_数据生成">
                <anchor moveWithCells="1" sizeWithCells="1">
                  <from>
                    <xdr:col>21</xdr:col>
                    <xdr:colOff>1343025</xdr:colOff>
                    <xdr:row>0</xdr:row>
                    <xdr:rowOff>104775</xdr:rowOff>
                  </from>
                  <to>
                    <xdr:col>21</xdr:col>
                    <xdr:colOff>2486025</xdr:colOff>
                    <xdr:row>0</xdr:row>
                    <xdr:rowOff>657225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AD459"/>
  <sheetViews>
    <sheetView workbookViewId="0">
      <pane xSplit="1" ySplit="1" topLeftCell="B2" activePane="bottomRight" state="frozen"/>
      <selection pane="topRight" activeCell="B1" sqref="B1"/>
      <selection pane="bottomLeft" activeCell="A2" sqref="A2"/>
      <selection pane="bottomRight" activeCell="R7" sqref="R7"/>
    </sheetView>
  </sheetViews>
  <sheetFormatPr defaultRowHeight="16.5"/>
  <cols>
    <col min="1" max="1" width="8.5" style="173" bestFit="1" customWidth="1"/>
    <col min="2" max="2" width="16.875" style="173" customWidth="1"/>
    <col min="3" max="3" width="8.5" style="173" bestFit="1" customWidth="1"/>
    <col min="4" max="5" width="8" style="173" customWidth="1"/>
    <col min="6" max="6" width="8" style="173" bestFit="1" customWidth="1"/>
    <col min="7" max="9" width="2.875" style="173" customWidth="1"/>
    <col min="10" max="10" width="6.625" style="173" bestFit="1" customWidth="1"/>
    <col min="11" max="11" width="6.5" style="173" bestFit="1" customWidth="1"/>
    <col min="12" max="12" width="4.875" style="173" bestFit="1" customWidth="1"/>
    <col min="13" max="13" width="11.875" style="173" customWidth="1"/>
    <col min="14" max="14" width="5.75" style="173" bestFit="1" customWidth="1"/>
    <col min="15" max="15" width="8" style="173" bestFit="1" customWidth="1"/>
    <col min="16" max="17" width="3.375" style="173" customWidth="1"/>
    <col min="18" max="18" width="4.5" style="173" bestFit="1" customWidth="1"/>
    <col min="19" max="21" width="4.75" style="173" bestFit="1" customWidth="1"/>
    <col min="22" max="22" width="6.625" style="173" customWidth="1"/>
    <col min="23" max="24" width="4.75" style="173" bestFit="1" customWidth="1"/>
    <col min="25" max="25" width="4" style="173" customWidth="1"/>
    <col min="26" max="26" width="7.125" style="173" customWidth="1"/>
    <col min="27" max="28" width="7.5" style="173" bestFit="1" customWidth="1"/>
    <col min="29" max="29" width="6.875" style="173" customWidth="1"/>
    <col min="30" max="30" width="7.5" style="173" bestFit="1" customWidth="1"/>
    <col min="31" max="16384" width="9" style="173"/>
  </cols>
  <sheetData>
    <row r="1" spans="1:30" s="2" customFormat="1" ht="36.75" customHeight="1">
      <c r="A1" s="141" t="s">
        <v>3838</v>
      </c>
      <c r="B1" s="141" t="s">
        <v>3843</v>
      </c>
      <c r="C1" s="141" t="s">
        <v>3839</v>
      </c>
      <c r="D1" s="141" t="s">
        <v>3840</v>
      </c>
      <c r="E1" s="141" t="s">
        <v>3841</v>
      </c>
      <c r="F1" s="141" t="s">
        <v>3842</v>
      </c>
      <c r="J1" s="141" t="s">
        <v>4406</v>
      </c>
      <c r="K1" s="141" t="s">
        <v>4407</v>
      </c>
      <c r="L1" s="141" t="s">
        <v>4162</v>
      </c>
      <c r="M1" s="141" t="s">
        <v>4163</v>
      </c>
      <c r="N1" s="141" t="s">
        <v>4164</v>
      </c>
      <c r="O1" s="141" t="s">
        <v>4408</v>
      </c>
      <c r="P1" s="141"/>
      <c r="R1" s="150" t="s">
        <v>3837</v>
      </c>
      <c r="S1" s="186" t="s">
        <v>5335</v>
      </c>
      <c r="T1" s="150" t="s">
        <v>4697</v>
      </c>
      <c r="U1" s="150" t="s">
        <v>4164</v>
      </c>
      <c r="V1" s="186" t="s">
        <v>5336</v>
      </c>
      <c r="W1" s="150" t="s">
        <v>4409</v>
      </c>
      <c r="X1" s="150" t="s">
        <v>4165</v>
      </c>
      <c r="Y1" s="150" t="s">
        <v>4410</v>
      </c>
      <c r="Z1" s="150" t="s">
        <v>4690</v>
      </c>
      <c r="AA1" s="2">
        <v>0</v>
      </c>
      <c r="AB1" s="2">
        <v>1</v>
      </c>
      <c r="AC1" s="2">
        <v>2</v>
      </c>
      <c r="AD1" s="2">
        <v>3</v>
      </c>
    </row>
    <row r="2" spans="1:30">
      <c r="A2" s="173">
        <v>2051100</v>
      </c>
      <c r="B2" s="191" t="s">
        <v>4698</v>
      </c>
      <c r="C2" s="173">
        <v>3051200</v>
      </c>
      <c r="D2" s="173">
        <v>107</v>
      </c>
      <c r="E2" s="173">
        <v>1</v>
      </c>
      <c r="F2" s="173">
        <v>150</v>
      </c>
      <c r="J2" s="192">
        <v>4201</v>
      </c>
      <c r="K2" s="193">
        <v>4101</v>
      </c>
      <c r="L2" s="192">
        <v>375</v>
      </c>
      <c r="M2" s="194" t="s">
        <v>4191</v>
      </c>
      <c r="N2" s="192">
        <v>0</v>
      </c>
      <c r="O2" s="194" t="s">
        <v>4192</v>
      </c>
      <c r="P2" s="191"/>
      <c r="R2" s="173">
        <v>511</v>
      </c>
      <c r="S2" s="173">
        <v>1</v>
      </c>
      <c r="T2" s="195" t="s">
        <v>4167</v>
      </c>
      <c r="U2" s="173">
        <v>0</v>
      </c>
      <c r="V2" s="173">
        <v>10000</v>
      </c>
      <c r="W2" s="173">
        <v>2</v>
      </c>
      <c r="X2" s="167"/>
      <c r="Y2" s="188"/>
      <c r="Z2" s="188"/>
      <c r="AA2" s="188"/>
      <c r="AB2" s="188">
        <v>1.4999999999999999E-2</v>
      </c>
      <c r="AC2" s="188"/>
      <c r="AD2" s="188"/>
    </row>
    <row r="3" spans="1:30">
      <c r="A3" s="173">
        <v>2061100</v>
      </c>
      <c r="B3" s="191" t="s">
        <v>4699</v>
      </c>
      <c r="C3" s="196">
        <v>3061200</v>
      </c>
      <c r="D3" s="196">
        <v>107</v>
      </c>
      <c r="E3" s="196">
        <v>1</v>
      </c>
      <c r="F3" s="173">
        <v>150</v>
      </c>
      <c r="J3" s="192">
        <v>4202</v>
      </c>
      <c r="K3" s="193">
        <v>4102</v>
      </c>
      <c r="L3" s="192">
        <v>375</v>
      </c>
      <c r="M3" s="194" t="s">
        <v>4193</v>
      </c>
      <c r="N3" s="192">
        <v>0</v>
      </c>
      <c r="O3" s="194" t="s">
        <v>4192</v>
      </c>
      <c r="P3" s="191"/>
      <c r="R3" s="173">
        <v>512</v>
      </c>
      <c r="S3" s="173">
        <v>1</v>
      </c>
      <c r="T3" s="195" t="s">
        <v>4167</v>
      </c>
      <c r="U3" s="173">
        <v>1</v>
      </c>
      <c r="V3" s="173">
        <v>10000</v>
      </c>
      <c r="W3" s="173">
        <v>4</v>
      </c>
      <c r="X3" s="167">
        <v>1</v>
      </c>
      <c r="Y3" s="188">
        <f t="shared" ref="Y3:Z5" si="0">Y7</f>
        <v>2</v>
      </c>
      <c r="Z3" s="188">
        <f t="shared" si="0"/>
        <v>1.9800000000000002E-2</v>
      </c>
      <c r="AA3" s="188"/>
      <c r="AB3" s="188"/>
      <c r="AC3" s="188"/>
      <c r="AD3" s="188"/>
    </row>
    <row r="4" spans="1:30">
      <c r="A4" s="173">
        <v>2051100</v>
      </c>
      <c r="B4" s="196" t="s">
        <v>4698</v>
      </c>
      <c r="C4" s="196">
        <v>6004</v>
      </c>
      <c r="D4" s="196">
        <v>375</v>
      </c>
      <c r="E4" s="196">
        <v>2</v>
      </c>
      <c r="F4" s="173">
        <v>4925</v>
      </c>
      <c r="J4" s="192">
        <v>4203</v>
      </c>
      <c r="K4" s="193">
        <v>4103</v>
      </c>
      <c r="L4" s="192">
        <v>375</v>
      </c>
      <c r="M4" s="194" t="s">
        <v>4194</v>
      </c>
      <c r="N4" s="192">
        <v>1</v>
      </c>
      <c r="O4" s="194" t="s">
        <v>4192</v>
      </c>
      <c r="P4" s="191"/>
      <c r="R4" s="173">
        <v>513</v>
      </c>
      <c r="S4" s="173">
        <v>1</v>
      </c>
      <c r="T4" s="195" t="s">
        <v>4167</v>
      </c>
      <c r="U4" s="173">
        <v>2</v>
      </c>
      <c r="V4" s="173">
        <v>10000</v>
      </c>
      <c r="W4" s="173">
        <v>8</v>
      </c>
      <c r="X4" s="167">
        <v>2</v>
      </c>
      <c r="Y4" s="188">
        <f t="shared" si="0"/>
        <v>2</v>
      </c>
      <c r="Z4" s="188">
        <f t="shared" si="0"/>
        <v>1.9800000000000002E-2</v>
      </c>
      <c r="AA4" s="188"/>
      <c r="AB4" s="188">
        <f>AB8</f>
        <v>0.26729999999999998</v>
      </c>
      <c r="AC4" s="188"/>
      <c r="AD4" s="188"/>
    </row>
    <row r="5" spans="1:30">
      <c r="A5" s="173">
        <v>2061100</v>
      </c>
      <c r="B5" s="191" t="s">
        <v>4699</v>
      </c>
      <c r="C5" s="196">
        <v>6004</v>
      </c>
      <c r="D5" s="196">
        <v>375</v>
      </c>
      <c r="E5" s="196">
        <v>2</v>
      </c>
      <c r="F5" s="173">
        <v>4925</v>
      </c>
      <c r="J5" s="192">
        <v>4204</v>
      </c>
      <c r="K5" s="193">
        <v>4104</v>
      </c>
      <c r="L5" s="192">
        <v>375</v>
      </c>
      <c r="M5" s="194" t="s">
        <v>4195</v>
      </c>
      <c r="N5" s="192">
        <v>1</v>
      </c>
      <c r="O5" s="194" t="s">
        <v>4192</v>
      </c>
      <c r="P5" s="191"/>
      <c r="R5" s="173">
        <v>514</v>
      </c>
      <c r="S5" s="173">
        <v>1</v>
      </c>
      <c r="T5" s="195" t="s">
        <v>4167</v>
      </c>
      <c r="U5" s="173">
        <v>3</v>
      </c>
      <c r="V5" s="173">
        <v>10000</v>
      </c>
      <c r="W5" s="173">
        <v>16</v>
      </c>
      <c r="X5" s="167">
        <v>3</v>
      </c>
      <c r="Y5" s="188">
        <f t="shared" si="0"/>
        <v>3</v>
      </c>
      <c r="Z5" s="188">
        <f t="shared" si="0"/>
        <v>0.1205</v>
      </c>
      <c r="AA5" s="188"/>
      <c r="AB5" s="188"/>
      <c r="AC5" s="188">
        <f>AC9</f>
        <v>0.31409999999999999</v>
      </c>
      <c r="AD5" s="188"/>
    </row>
    <row r="6" spans="1:30">
      <c r="A6" s="173">
        <v>2051100</v>
      </c>
      <c r="B6" s="191" t="s">
        <v>4698</v>
      </c>
      <c r="C6" s="196">
        <v>6004</v>
      </c>
      <c r="D6" s="196">
        <v>375</v>
      </c>
      <c r="E6" s="196">
        <v>3</v>
      </c>
      <c r="F6" s="173">
        <v>4925</v>
      </c>
      <c r="J6" s="192">
        <v>4205</v>
      </c>
      <c r="K6" s="193">
        <v>4105</v>
      </c>
      <c r="L6" s="192">
        <v>375</v>
      </c>
      <c r="M6" s="194" t="s">
        <v>4196</v>
      </c>
      <c r="N6" s="192">
        <v>2</v>
      </c>
      <c r="O6" s="194" t="s">
        <v>4192</v>
      </c>
      <c r="R6" s="173">
        <v>501</v>
      </c>
      <c r="S6" s="173">
        <v>1</v>
      </c>
      <c r="T6" s="195" t="s">
        <v>4176</v>
      </c>
      <c r="U6" s="173">
        <v>0</v>
      </c>
      <c r="V6" s="173">
        <v>10000</v>
      </c>
      <c r="W6" s="173">
        <v>2</v>
      </c>
      <c r="X6" s="167">
        <v>0</v>
      </c>
      <c r="Y6" s="188">
        <v>6</v>
      </c>
      <c r="Z6" s="188">
        <v>1.6199999999999999E-2</v>
      </c>
      <c r="AA6" s="188"/>
      <c r="AB6" s="188">
        <v>1.7399999999999999E-2</v>
      </c>
      <c r="AC6" s="188"/>
      <c r="AD6" s="188"/>
    </row>
    <row r="7" spans="1:30">
      <c r="A7" s="173">
        <v>2061100</v>
      </c>
      <c r="B7" s="191" t="s">
        <v>4699</v>
      </c>
      <c r="C7" s="173">
        <v>6004</v>
      </c>
      <c r="D7" s="173">
        <v>375</v>
      </c>
      <c r="E7" s="173">
        <v>3</v>
      </c>
      <c r="F7" s="173">
        <v>4925</v>
      </c>
      <c r="J7" s="192">
        <v>1201</v>
      </c>
      <c r="K7" s="193">
        <v>1101</v>
      </c>
      <c r="L7" s="192">
        <v>375</v>
      </c>
      <c r="M7" s="194" t="s">
        <v>4197</v>
      </c>
      <c r="N7" s="192">
        <v>0</v>
      </c>
      <c r="O7" s="194" t="s">
        <v>4192</v>
      </c>
      <c r="R7" s="173">
        <v>502</v>
      </c>
      <c r="S7" s="173">
        <v>1</v>
      </c>
      <c r="T7" s="195" t="s">
        <v>4176</v>
      </c>
      <c r="U7" s="173">
        <v>1</v>
      </c>
      <c r="V7" s="173">
        <v>10000</v>
      </c>
      <c r="W7" s="173">
        <v>4</v>
      </c>
      <c r="X7" s="167">
        <v>1</v>
      </c>
      <c r="Y7" s="188">
        <v>2</v>
      </c>
      <c r="Z7" s="188">
        <v>1.9800000000000002E-2</v>
      </c>
      <c r="AA7" s="188">
        <v>0.14849999999999999</v>
      </c>
      <c r="AB7" s="188"/>
      <c r="AC7" s="188"/>
      <c r="AD7" s="188"/>
    </row>
    <row r="8" spans="1:30">
      <c r="A8" s="173">
        <v>3051200</v>
      </c>
      <c r="B8" s="191" t="s">
        <v>4700</v>
      </c>
      <c r="C8" s="173">
        <v>3051200</v>
      </c>
      <c r="D8" s="173">
        <v>107</v>
      </c>
      <c r="E8" s="173">
        <v>1</v>
      </c>
      <c r="F8" s="173">
        <v>10000</v>
      </c>
      <c r="J8" s="192">
        <v>1202</v>
      </c>
      <c r="K8" s="193">
        <v>1102</v>
      </c>
      <c r="L8" s="192">
        <v>375</v>
      </c>
      <c r="M8" s="194" t="s">
        <v>4198</v>
      </c>
      <c r="N8" s="192">
        <v>0</v>
      </c>
      <c r="O8" s="194" t="s">
        <v>4192</v>
      </c>
      <c r="R8" s="173">
        <v>503</v>
      </c>
      <c r="S8" s="173">
        <v>1</v>
      </c>
      <c r="T8" s="195" t="s">
        <v>4176</v>
      </c>
      <c r="U8" s="173">
        <v>2</v>
      </c>
      <c r="V8" s="173">
        <v>10000</v>
      </c>
      <c r="W8" s="173">
        <v>8</v>
      </c>
      <c r="X8" s="167">
        <v>2</v>
      </c>
      <c r="Y8" s="188">
        <v>2</v>
      </c>
      <c r="Z8" s="188">
        <v>1.9800000000000002E-2</v>
      </c>
      <c r="AA8" s="188"/>
      <c r="AB8" s="188">
        <v>0.26729999999999998</v>
      </c>
      <c r="AC8" s="188"/>
      <c r="AD8" s="188"/>
    </row>
    <row r="9" spans="1:30">
      <c r="A9" s="173">
        <v>3061200</v>
      </c>
      <c r="B9" s="191" t="s">
        <v>4701</v>
      </c>
      <c r="C9" s="196">
        <v>3061200</v>
      </c>
      <c r="D9" s="196">
        <v>107</v>
      </c>
      <c r="E9" s="196">
        <v>1</v>
      </c>
      <c r="F9" s="173">
        <v>10000</v>
      </c>
      <c r="J9" s="192">
        <v>1203</v>
      </c>
      <c r="K9" s="193">
        <v>1103</v>
      </c>
      <c r="L9" s="192">
        <v>375</v>
      </c>
      <c r="M9" s="194" t="s">
        <v>4199</v>
      </c>
      <c r="N9" s="192">
        <v>1</v>
      </c>
      <c r="O9" s="194" t="s">
        <v>4192</v>
      </c>
      <c r="R9" s="173">
        <v>504</v>
      </c>
      <c r="S9" s="173">
        <v>1</v>
      </c>
      <c r="T9" s="195" t="s">
        <v>4176</v>
      </c>
      <c r="U9" s="173">
        <v>3</v>
      </c>
      <c r="V9" s="173">
        <v>10000</v>
      </c>
      <c r="W9" s="173">
        <v>16</v>
      </c>
      <c r="X9" s="167">
        <v>3</v>
      </c>
      <c r="Y9" s="188">
        <v>3</v>
      </c>
      <c r="Z9" s="188">
        <v>0.1205</v>
      </c>
      <c r="AA9" s="188"/>
      <c r="AB9" s="188"/>
      <c r="AC9" s="188">
        <v>0.31409999999999999</v>
      </c>
      <c r="AD9" s="188"/>
    </row>
    <row r="10" spans="1:30">
      <c r="A10" s="173">
        <v>2051200</v>
      </c>
      <c r="B10" s="191" t="s">
        <v>4411</v>
      </c>
      <c r="C10" s="173">
        <v>3051200</v>
      </c>
      <c r="D10" s="173">
        <v>107</v>
      </c>
      <c r="E10" s="173">
        <v>1</v>
      </c>
      <c r="F10" s="173">
        <v>198.00000000000003</v>
      </c>
      <c r="J10" s="192">
        <v>1204</v>
      </c>
      <c r="K10" s="193">
        <v>1104</v>
      </c>
      <c r="L10" s="192">
        <v>375</v>
      </c>
      <c r="M10" s="194" t="s">
        <v>4200</v>
      </c>
      <c r="N10" s="192">
        <v>1</v>
      </c>
      <c r="O10" s="194" t="s">
        <v>4192</v>
      </c>
      <c r="R10" s="173">
        <v>521</v>
      </c>
      <c r="S10" s="173">
        <v>0</v>
      </c>
      <c r="T10" s="195" t="s">
        <v>4414</v>
      </c>
      <c r="U10" s="173">
        <v>0</v>
      </c>
      <c r="V10" s="173">
        <v>10000</v>
      </c>
      <c r="X10" s="167">
        <v>0</v>
      </c>
      <c r="Y10" s="188"/>
      <c r="Z10" s="188"/>
      <c r="AA10" s="188">
        <v>0.66</v>
      </c>
      <c r="AB10" s="188">
        <v>0.33</v>
      </c>
      <c r="AC10" s="188">
        <v>0.01</v>
      </c>
      <c r="AD10" s="188"/>
    </row>
    <row r="11" spans="1:30">
      <c r="A11" s="173">
        <v>2061200</v>
      </c>
      <c r="B11" s="191" t="s">
        <v>4412</v>
      </c>
      <c r="C11" s="173">
        <v>3061200</v>
      </c>
      <c r="D11" s="173">
        <v>107</v>
      </c>
      <c r="E11" s="173">
        <v>1</v>
      </c>
      <c r="F11" s="173">
        <v>198.00000000000003</v>
      </c>
      <c r="J11" s="192">
        <v>1205</v>
      </c>
      <c r="K11" s="193">
        <v>1105</v>
      </c>
      <c r="L11" s="192">
        <v>375</v>
      </c>
      <c r="M11" s="194" t="s">
        <v>4201</v>
      </c>
      <c r="N11" s="192">
        <v>2</v>
      </c>
      <c r="O11" s="194" t="s">
        <v>4192</v>
      </c>
      <c r="R11" s="173">
        <v>522</v>
      </c>
      <c r="S11" s="173">
        <v>0</v>
      </c>
      <c r="T11" s="195" t="s">
        <v>4414</v>
      </c>
      <c r="U11" s="173">
        <v>1</v>
      </c>
      <c r="V11" s="173">
        <v>10000</v>
      </c>
      <c r="X11" s="167">
        <v>1</v>
      </c>
      <c r="Y11" s="188"/>
      <c r="Z11" s="188"/>
      <c r="AA11" s="188"/>
      <c r="AB11" s="188">
        <v>0.9</v>
      </c>
      <c r="AC11" s="188">
        <v>0.1</v>
      </c>
      <c r="AD11" s="188"/>
    </row>
    <row r="12" spans="1:30">
      <c r="A12" s="173">
        <v>2051200</v>
      </c>
      <c r="B12" s="191" t="s">
        <v>4411</v>
      </c>
      <c r="C12" s="173">
        <v>6004</v>
      </c>
      <c r="D12" s="173">
        <v>375</v>
      </c>
      <c r="E12" s="173">
        <v>4</v>
      </c>
      <c r="F12" s="173">
        <v>4901</v>
      </c>
      <c r="J12" s="192">
        <v>3201</v>
      </c>
      <c r="K12" s="192">
        <v>3101</v>
      </c>
      <c r="L12" s="192">
        <v>375</v>
      </c>
      <c r="M12" s="197" t="s">
        <v>4710</v>
      </c>
      <c r="N12" s="192">
        <v>0</v>
      </c>
      <c r="O12" s="194" t="s">
        <v>4192</v>
      </c>
      <c r="R12" s="173">
        <v>523</v>
      </c>
      <c r="S12" s="173">
        <v>0</v>
      </c>
      <c r="T12" s="195" t="s">
        <v>4414</v>
      </c>
      <c r="U12" s="173">
        <v>2</v>
      </c>
      <c r="V12" s="173">
        <v>10000</v>
      </c>
      <c r="X12" s="167">
        <v>2</v>
      </c>
      <c r="Y12" s="188"/>
      <c r="Z12" s="188"/>
      <c r="AA12" s="188"/>
      <c r="AB12" s="188"/>
      <c r="AC12" s="188">
        <v>1</v>
      </c>
      <c r="AD12" s="188"/>
    </row>
    <row r="13" spans="1:30">
      <c r="A13" s="173">
        <v>2061200</v>
      </c>
      <c r="B13" s="191" t="s">
        <v>4412</v>
      </c>
      <c r="C13" s="173">
        <v>6004</v>
      </c>
      <c r="D13" s="173">
        <v>375</v>
      </c>
      <c r="E13" s="173">
        <v>4</v>
      </c>
      <c r="F13" s="173">
        <v>4901</v>
      </c>
      <c r="J13" s="192">
        <v>3204</v>
      </c>
      <c r="K13" s="192">
        <v>3104</v>
      </c>
      <c r="L13" s="192">
        <v>375</v>
      </c>
      <c r="M13" s="197" t="s">
        <v>4711</v>
      </c>
      <c r="N13" s="192">
        <v>1</v>
      </c>
      <c r="O13" s="194" t="s">
        <v>4192</v>
      </c>
      <c r="R13" s="173">
        <v>533</v>
      </c>
      <c r="S13" s="173">
        <v>0</v>
      </c>
      <c r="T13" s="195" t="s">
        <v>4176</v>
      </c>
      <c r="U13" s="173">
        <v>3</v>
      </c>
      <c r="V13" s="173">
        <v>2500</v>
      </c>
      <c r="W13" s="173">
        <v>8</v>
      </c>
      <c r="AA13" s="173">
        <v>1.6E-2</v>
      </c>
      <c r="AB13" s="173">
        <v>1.2E-2</v>
      </c>
      <c r="AC13" s="173">
        <v>8.9999999999999993E-3</v>
      </c>
      <c r="AD13" s="173">
        <v>4.0000000000000001E-3</v>
      </c>
    </row>
    <row r="14" spans="1:30">
      <c r="A14" s="173">
        <v>2051200</v>
      </c>
      <c r="B14" s="191" t="s">
        <v>4411</v>
      </c>
      <c r="C14" s="173">
        <v>6004</v>
      </c>
      <c r="D14" s="173">
        <v>375</v>
      </c>
      <c r="E14" s="173">
        <v>6</v>
      </c>
      <c r="F14" s="173">
        <v>4901</v>
      </c>
      <c r="J14" s="192">
        <v>2201</v>
      </c>
      <c r="K14" s="192">
        <v>2101</v>
      </c>
      <c r="L14" s="192">
        <v>375</v>
      </c>
      <c r="M14" s="197" t="s">
        <v>4712</v>
      </c>
      <c r="N14" s="192">
        <v>0</v>
      </c>
      <c r="O14" s="194" t="s">
        <v>4192</v>
      </c>
      <c r="R14" s="173">
        <v>533</v>
      </c>
      <c r="S14" s="173">
        <v>0</v>
      </c>
      <c r="T14" s="195" t="s">
        <v>4167</v>
      </c>
      <c r="U14" s="173">
        <v>3</v>
      </c>
      <c r="V14" s="173">
        <v>2500</v>
      </c>
      <c r="W14" s="173">
        <v>8</v>
      </c>
      <c r="AB14" s="173">
        <v>1.2E-2</v>
      </c>
      <c r="AC14" s="173">
        <v>8.9999999999999993E-3</v>
      </c>
      <c r="AD14" s="173">
        <v>4.0000000000000001E-3</v>
      </c>
    </row>
    <row r="15" spans="1:30">
      <c r="A15" s="173">
        <v>2061200</v>
      </c>
      <c r="B15" s="191" t="s">
        <v>4412</v>
      </c>
      <c r="C15" s="196">
        <v>6004</v>
      </c>
      <c r="D15" s="196">
        <v>375</v>
      </c>
      <c r="E15" s="196">
        <v>6</v>
      </c>
      <c r="F15" s="173">
        <v>4901</v>
      </c>
      <c r="J15" s="192">
        <v>2204</v>
      </c>
      <c r="K15" s="192">
        <v>2104</v>
      </c>
      <c r="L15" s="192">
        <v>375</v>
      </c>
      <c r="M15" s="197" t="s">
        <v>4713</v>
      </c>
      <c r="N15" s="192">
        <v>1</v>
      </c>
      <c r="O15" s="194" t="s">
        <v>4192</v>
      </c>
      <c r="R15" s="173">
        <v>533</v>
      </c>
      <c r="S15" s="173">
        <v>0</v>
      </c>
      <c r="T15" s="195" t="s">
        <v>4414</v>
      </c>
      <c r="U15" s="173">
        <v>3</v>
      </c>
      <c r="V15" s="173">
        <v>5000</v>
      </c>
      <c r="AB15" s="173">
        <v>0.33</v>
      </c>
      <c r="AC15" s="173">
        <v>0.17</v>
      </c>
    </row>
    <row r="16" spans="1:30">
      <c r="A16" s="173">
        <v>3051300</v>
      </c>
      <c r="B16" s="191" t="s">
        <v>4694</v>
      </c>
      <c r="C16" s="196">
        <v>3051300</v>
      </c>
      <c r="D16" s="196">
        <v>107</v>
      </c>
      <c r="E16" s="196">
        <v>1</v>
      </c>
      <c r="F16" s="173">
        <v>10000</v>
      </c>
      <c r="J16" s="173">
        <v>14206</v>
      </c>
      <c r="K16" s="173">
        <v>14106</v>
      </c>
      <c r="L16" s="173">
        <v>373</v>
      </c>
      <c r="M16" s="173" t="s">
        <v>5307</v>
      </c>
      <c r="N16" s="173">
        <v>3</v>
      </c>
      <c r="O16" s="198" t="s">
        <v>5316</v>
      </c>
    </row>
    <row r="17" spans="1:30">
      <c r="A17" s="173">
        <v>3061300</v>
      </c>
      <c r="B17" s="191" t="s">
        <v>4695</v>
      </c>
      <c r="C17" s="196">
        <v>3061300</v>
      </c>
      <c r="D17" s="196">
        <v>107</v>
      </c>
      <c r="E17" s="196">
        <v>1</v>
      </c>
      <c r="F17" s="173">
        <v>10000</v>
      </c>
      <c r="J17" s="173">
        <v>11206</v>
      </c>
      <c r="K17" s="173">
        <v>11106</v>
      </c>
      <c r="L17" s="173">
        <v>373</v>
      </c>
      <c r="M17" s="173" t="s">
        <v>5305</v>
      </c>
      <c r="N17" s="173">
        <v>2</v>
      </c>
      <c r="O17" s="198" t="s">
        <v>5316</v>
      </c>
    </row>
    <row r="18" spans="1:30">
      <c r="A18" s="173">
        <v>2051300</v>
      </c>
      <c r="B18" s="191" t="s">
        <v>4413</v>
      </c>
      <c r="C18" s="173">
        <v>3051300</v>
      </c>
      <c r="D18" s="173">
        <v>107</v>
      </c>
      <c r="E18" s="173">
        <v>1</v>
      </c>
      <c r="F18" s="173">
        <v>198.00000000000003</v>
      </c>
      <c r="J18" s="173">
        <v>15304</v>
      </c>
      <c r="K18" s="173">
        <v>15304</v>
      </c>
      <c r="L18" s="173">
        <v>373</v>
      </c>
      <c r="M18" s="173" t="s">
        <v>5308</v>
      </c>
      <c r="N18" s="173">
        <v>2</v>
      </c>
      <c r="O18" s="198" t="s">
        <v>5316</v>
      </c>
      <c r="R18" s="173">
        <v>111</v>
      </c>
      <c r="S18" s="173">
        <v>1</v>
      </c>
      <c r="T18" s="195" t="s">
        <v>4167</v>
      </c>
      <c r="U18" s="173">
        <v>0</v>
      </c>
      <c r="V18" s="173">
        <v>10000</v>
      </c>
      <c r="W18" s="173">
        <v>2</v>
      </c>
      <c r="X18" s="167"/>
      <c r="Y18" s="167"/>
      <c r="Z18" s="167"/>
      <c r="AA18" s="167"/>
      <c r="AB18" s="167">
        <v>0.01</v>
      </c>
      <c r="AC18" s="167"/>
      <c r="AD18" s="152"/>
    </row>
    <row r="19" spans="1:30">
      <c r="A19" s="173">
        <v>2061300</v>
      </c>
      <c r="B19" s="191" t="s">
        <v>4415</v>
      </c>
      <c r="C19" s="173">
        <v>3061300</v>
      </c>
      <c r="D19" s="173">
        <v>107</v>
      </c>
      <c r="E19" s="173">
        <v>1</v>
      </c>
      <c r="F19" s="173">
        <v>198.00000000000003</v>
      </c>
      <c r="J19" s="173">
        <v>22205</v>
      </c>
      <c r="K19" s="173">
        <v>22105</v>
      </c>
      <c r="L19" s="173">
        <v>380</v>
      </c>
      <c r="M19" s="173" t="s">
        <v>5309</v>
      </c>
      <c r="N19" s="173">
        <v>1</v>
      </c>
      <c r="O19" s="198" t="s">
        <v>5316</v>
      </c>
      <c r="R19" s="173">
        <v>112</v>
      </c>
      <c r="S19" s="173">
        <v>1</v>
      </c>
      <c r="T19" s="195" t="s">
        <v>4167</v>
      </c>
      <c r="U19" s="173">
        <v>1</v>
      </c>
      <c r="V19" s="173">
        <v>10000</v>
      </c>
      <c r="W19" s="173">
        <v>4</v>
      </c>
      <c r="X19" s="167">
        <v>1</v>
      </c>
      <c r="Y19" s="167">
        <v>9</v>
      </c>
      <c r="Z19" s="167">
        <f>Z23</f>
        <v>2.1399999999999999E-2</v>
      </c>
      <c r="AA19" s="167"/>
      <c r="AB19" s="167"/>
      <c r="AC19" s="167"/>
      <c r="AD19" s="152"/>
    </row>
    <row r="20" spans="1:30">
      <c r="A20" s="173">
        <v>2051300</v>
      </c>
      <c r="B20" s="191" t="s">
        <v>4413</v>
      </c>
      <c r="C20" s="173">
        <v>3051200</v>
      </c>
      <c r="D20" s="173">
        <v>107</v>
      </c>
      <c r="E20" s="173">
        <v>1</v>
      </c>
      <c r="F20" s="173">
        <v>2673</v>
      </c>
      <c r="J20" s="173">
        <v>23204</v>
      </c>
      <c r="K20" s="173">
        <v>23104</v>
      </c>
      <c r="L20" s="173">
        <v>380</v>
      </c>
      <c r="M20" s="173" t="s">
        <v>5310</v>
      </c>
      <c r="N20" s="173">
        <v>1</v>
      </c>
      <c r="O20" s="198" t="s">
        <v>5316</v>
      </c>
      <c r="R20" s="173">
        <v>113</v>
      </c>
      <c r="S20" s="173">
        <v>1</v>
      </c>
      <c r="T20" s="195" t="s">
        <v>4167</v>
      </c>
      <c r="U20" s="173">
        <v>2</v>
      </c>
      <c r="V20" s="173">
        <v>10000</v>
      </c>
      <c r="W20" s="173">
        <v>8</v>
      </c>
      <c r="X20" s="167">
        <v>2</v>
      </c>
      <c r="Y20" s="167">
        <v>4</v>
      </c>
      <c r="Z20" s="167">
        <f>Z24</f>
        <v>2.4400000000000002E-2</v>
      </c>
      <c r="AA20" s="167"/>
      <c r="AB20" s="167">
        <f>AB24</f>
        <v>0.16039999999999999</v>
      </c>
      <c r="AC20" s="167"/>
      <c r="AD20" s="152"/>
    </row>
    <row r="21" spans="1:30">
      <c r="A21" s="173">
        <v>2061300</v>
      </c>
      <c r="B21" s="191" t="s">
        <v>4415</v>
      </c>
      <c r="C21" s="173">
        <v>3061200</v>
      </c>
      <c r="D21" s="173">
        <v>107</v>
      </c>
      <c r="E21" s="173">
        <v>1</v>
      </c>
      <c r="F21" s="173">
        <v>2673</v>
      </c>
      <c r="J21" s="173">
        <v>3206</v>
      </c>
      <c r="K21" s="173">
        <v>3106</v>
      </c>
      <c r="L21" s="173">
        <v>374</v>
      </c>
      <c r="M21" s="199" t="s">
        <v>5318</v>
      </c>
      <c r="N21" s="173">
        <v>3</v>
      </c>
      <c r="O21" s="198" t="s">
        <v>5317</v>
      </c>
      <c r="R21" s="173">
        <v>114</v>
      </c>
      <c r="S21" s="173">
        <v>1</v>
      </c>
      <c r="T21" s="195" t="s">
        <v>4167</v>
      </c>
      <c r="U21" s="173">
        <v>3</v>
      </c>
      <c r="V21" s="173">
        <v>10000</v>
      </c>
      <c r="W21" s="173">
        <v>16</v>
      </c>
      <c r="X21" s="167">
        <v>3</v>
      </c>
      <c r="Y21" s="167">
        <v>3</v>
      </c>
      <c r="Z21" s="167">
        <f>Z25</f>
        <v>2.58E-2</v>
      </c>
      <c r="AA21" s="167"/>
      <c r="AB21" s="167"/>
      <c r="AC21" s="167">
        <f>AC25</f>
        <v>0.23699999999999999</v>
      </c>
      <c r="AD21" s="152"/>
    </row>
    <row r="22" spans="1:30">
      <c r="A22" s="173">
        <v>2051300</v>
      </c>
      <c r="B22" s="191" t="s">
        <v>4413</v>
      </c>
      <c r="C22" s="196">
        <v>6004</v>
      </c>
      <c r="D22" s="196">
        <v>375</v>
      </c>
      <c r="E22" s="196">
        <v>8</v>
      </c>
      <c r="F22" s="173">
        <v>3564</v>
      </c>
      <c r="J22" s="173">
        <v>1209</v>
      </c>
      <c r="K22" s="173">
        <v>1109</v>
      </c>
      <c r="L22" s="173">
        <v>374</v>
      </c>
      <c r="M22" s="173" t="s">
        <v>5311</v>
      </c>
      <c r="N22" s="173">
        <v>2</v>
      </c>
      <c r="O22" s="198" t="s">
        <v>5317</v>
      </c>
      <c r="R22" s="173">
        <v>101</v>
      </c>
      <c r="S22" s="173">
        <v>1</v>
      </c>
      <c r="T22" s="195" t="s">
        <v>4176</v>
      </c>
      <c r="U22" s="173">
        <v>0</v>
      </c>
      <c r="V22" s="173">
        <v>10000</v>
      </c>
      <c r="W22" s="173">
        <v>2</v>
      </c>
      <c r="X22" s="167">
        <v>0</v>
      </c>
      <c r="Y22" s="167">
        <v>13</v>
      </c>
      <c r="Z22" s="167">
        <v>1.7600000000000001E-2</v>
      </c>
      <c r="AA22" s="167"/>
      <c r="AB22" s="167">
        <v>1.0800000000000001E-2</v>
      </c>
      <c r="AC22" s="167"/>
      <c r="AD22" s="152"/>
    </row>
    <row r="23" spans="1:30">
      <c r="A23" s="173">
        <v>2061300</v>
      </c>
      <c r="B23" s="191" t="s">
        <v>4415</v>
      </c>
      <c r="C23" s="173">
        <v>6004</v>
      </c>
      <c r="D23" s="173">
        <v>375</v>
      </c>
      <c r="E23" s="173">
        <v>8</v>
      </c>
      <c r="F23" s="173">
        <v>3564</v>
      </c>
      <c r="J23" s="173">
        <v>1211</v>
      </c>
      <c r="K23" s="173">
        <v>1111</v>
      </c>
      <c r="L23" s="173">
        <v>374</v>
      </c>
      <c r="M23" s="173" t="s">
        <v>5312</v>
      </c>
      <c r="N23" s="173">
        <v>2</v>
      </c>
      <c r="O23" s="198" t="s">
        <v>5317</v>
      </c>
      <c r="R23" s="173">
        <v>102</v>
      </c>
      <c r="S23" s="173">
        <v>1</v>
      </c>
      <c r="T23" s="195" t="s">
        <v>4176</v>
      </c>
      <c r="U23" s="173">
        <v>1</v>
      </c>
      <c r="V23" s="173">
        <v>10000</v>
      </c>
      <c r="W23" s="173">
        <v>4</v>
      </c>
      <c r="X23" s="167">
        <v>1</v>
      </c>
      <c r="Y23" s="167">
        <v>9</v>
      </c>
      <c r="Z23" s="167">
        <v>2.1399999999999999E-2</v>
      </c>
      <c r="AA23" s="167">
        <v>9.9000000000000005E-2</v>
      </c>
      <c r="AB23" s="167"/>
      <c r="AC23" s="167"/>
      <c r="AD23" s="152"/>
    </row>
    <row r="24" spans="1:30">
      <c r="A24" s="173">
        <v>2051300</v>
      </c>
      <c r="B24" s="191" t="s">
        <v>4413</v>
      </c>
      <c r="C24" s="196">
        <v>6004</v>
      </c>
      <c r="D24" s="196">
        <v>375</v>
      </c>
      <c r="E24" s="196">
        <v>12</v>
      </c>
      <c r="F24" s="173">
        <v>3565</v>
      </c>
      <c r="J24" s="173">
        <v>2222</v>
      </c>
      <c r="K24" s="173">
        <v>2122</v>
      </c>
      <c r="L24" s="173">
        <v>374</v>
      </c>
      <c r="M24" s="173" t="s">
        <v>5313</v>
      </c>
      <c r="N24" s="173">
        <v>1</v>
      </c>
      <c r="O24" s="198" t="s">
        <v>5317</v>
      </c>
      <c r="R24" s="173">
        <v>103</v>
      </c>
      <c r="S24" s="173">
        <v>1</v>
      </c>
      <c r="T24" s="195" t="s">
        <v>4176</v>
      </c>
      <c r="U24" s="173">
        <v>2</v>
      </c>
      <c r="V24" s="173">
        <v>10000</v>
      </c>
      <c r="W24" s="173">
        <v>8</v>
      </c>
      <c r="X24" s="167">
        <v>2</v>
      </c>
      <c r="Y24" s="167">
        <v>4</v>
      </c>
      <c r="Z24" s="167">
        <v>2.4400000000000002E-2</v>
      </c>
      <c r="AA24" s="167"/>
      <c r="AB24" s="167">
        <v>0.16039999999999999</v>
      </c>
      <c r="AC24" s="167"/>
      <c r="AD24" s="152"/>
    </row>
    <row r="25" spans="1:30">
      <c r="A25" s="173">
        <v>2061300</v>
      </c>
      <c r="B25" s="191" t="s">
        <v>4415</v>
      </c>
      <c r="C25" s="173">
        <v>6004</v>
      </c>
      <c r="D25" s="173">
        <v>375</v>
      </c>
      <c r="E25" s="173">
        <v>12</v>
      </c>
      <c r="F25" s="173">
        <v>3565</v>
      </c>
      <c r="J25" s="173">
        <v>2224</v>
      </c>
      <c r="K25" s="173">
        <v>2124</v>
      </c>
      <c r="L25" s="173">
        <v>374</v>
      </c>
      <c r="M25" s="173" t="s">
        <v>5314</v>
      </c>
      <c r="N25" s="173">
        <v>1</v>
      </c>
      <c r="O25" s="198" t="s">
        <v>5317</v>
      </c>
      <c r="R25" s="173">
        <v>104</v>
      </c>
      <c r="S25" s="173">
        <v>1</v>
      </c>
      <c r="T25" s="195" t="s">
        <v>4176</v>
      </c>
      <c r="U25" s="173">
        <v>3</v>
      </c>
      <c r="V25" s="173">
        <v>10000</v>
      </c>
      <c r="W25" s="173">
        <v>16</v>
      </c>
      <c r="X25" s="167">
        <v>3</v>
      </c>
      <c r="Y25" s="167">
        <v>3</v>
      </c>
      <c r="Z25" s="167">
        <v>2.58E-2</v>
      </c>
      <c r="AA25" s="167"/>
      <c r="AB25" s="167"/>
      <c r="AC25" s="167">
        <v>0.23699999999999999</v>
      </c>
      <c r="AD25" s="152"/>
    </row>
    <row r="26" spans="1:30">
      <c r="A26" s="173">
        <v>3051400</v>
      </c>
      <c r="B26" s="191" t="s">
        <v>4418</v>
      </c>
      <c r="C26" s="196">
        <v>3051400</v>
      </c>
      <c r="D26" s="196">
        <v>107</v>
      </c>
      <c r="E26" s="196">
        <v>1</v>
      </c>
      <c r="F26" s="173">
        <v>10000</v>
      </c>
      <c r="J26" s="173">
        <v>4204</v>
      </c>
      <c r="K26" s="173">
        <v>4104</v>
      </c>
      <c r="L26" s="173">
        <v>374</v>
      </c>
      <c r="M26" s="173" t="s">
        <v>5315</v>
      </c>
      <c r="N26" s="173">
        <v>0</v>
      </c>
      <c r="O26" s="198" t="s">
        <v>5317</v>
      </c>
      <c r="R26" s="173">
        <v>121</v>
      </c>
      <c r="S26" s="173">
        <v>0</v>
      </c>
      <c r="T26" s="195" t="s">
        <v>4414</v>
      </c>
      <c r="U26" s="173">
        <v>0</v>
      </c>
      <c r="V26" s="173">
        <v>10000</v>
      </c>
      <c r="X26" s="167"/>
      <c r="Y26" s="167"/>
      <c r="Z26" s="167"/>
      <c r="AA26" s="167">
        <v>0.66</v>
      </c>
      <c r="AB26" s="167">
        <v>0.33</v>
      </c>
      <c r="AC26" s="167">
        <v>0.01</v>
      </c>
      <c r="AD26" s="152"/>
    </row>
    <row r="27" spans="1:30">
      <c r="A27" s="173">
        <v>3061400</v>
      </c>
      <c r="B27" s="191" t="s">
        <v>4419</v>
      </c>
      <c r="C27" s="173">
        <v>3061400</v>
      </c>
      <c r="D27" s="173">
        <v>107</v>
      </c>
      <c r="E27" s="173">
        <v>1</v>
      </c>
      <c r="F27" s="173">
        <v>10000</v>
      </c>
      <c r="R27" s="173">
        <v>122</v>
      </c>
      <c r="S27" s="173">
        <v>0</v>
      </c>
      <c r="T27" s="195" t="s">
        <v>4414</v>
      </c>
      <c r="U27" s="173">
        <v>1</v>
      </c>
      <c r="V27" s="173">
        <v>10000</v>
      </c>
      <c r="X27" s="167"/>
      <c r="Y27" s="167"/>
      <c r="Z27" s="167"/>
      <c r="AA27" s="167"/>
      <c r="AB27" s="167">
        <v>0.9</v>
      </c>
      <c r="AC27" s="167">
        <v>0.1</v>
      </c>
      <c r="AD27" s="152"/>
    </row>
    <row r="28" spans="1:30">
      <c r="A28" s="173">
        <v>2051400</v>
      </c>
      <c r="B28" s="191" t="s">
        <v>4416</v>
      </c>
      <c r="C28" s="173">
        <v>3051400</v>
      </c>
      <c r="D28" s="173">
        <v>107</v>
      </c>
      <c r="E28" s="173">
        <v>1</v>
      </c>
      <c r="F28" s="173">
        <v>1205</v>
      </c>
      <c r="O28" s="198"/>
      <c r="R28" s="173">
        <v>123</v>
      </c>
      <c r="S28" s="173">
        <v>0</v>
      </c>
      <c r="T28" s="195" t="s">
        <v>4414</v>
      </c>
      <c r="U28" s="173">
        <v>2</v>
      </c>
      <c r="V28" s="173">
        <v>10000</v>
      </c>
      <c r="X28" s="167"/>
      <c r="Y28" s="167"/>
      <c r="Z28" s="167"/>
      <c r="AA28" s="167"/>
      <c r="AB28" s="167"/>
      <c r="AC28" s="167">
        <v>1</v>
      </c>
      <c r="AD28" s="152"/>
    </row>
    <row r="29" spans="1:30">
      <c r="A29" s="173">
        <v>2061400</v>
      </c>
      <c r="B29" s="191" t="s">
        <v>4417</v>
      </c>
      <c r="C29" s="173">
        <v>3061400</v>
      </c>
      <c r="D29" s="173">
        <v>107</v>
      </c>
      <c r="E29" s="173">
        <v>1</v>
      </c>
      <c r="F29" s="173">
        <v>1205</v>
      </c>
      <c r="M29" s="200"/>
      <c r="O29" s="198"/>
      <c r="R29" s="173">
        <v>133</v>
      </c>
      <c r="S29" s="173">
        <v>0</v>
      </c>
      <c r="T29" s="195" t="s">
        <v>4176</v>
      </c>
      <c r="U29" s="173">
        <v>3</v>
      </c>
      <c r="V29" s="173">
        <v>2500</v>
      </c>
      <c r="W29" s="173">
        <v>8</v>
      </c>
      <c r="AA29" s="173">
        <v>1.6E-2</v>
      </c>
      <c r="AB29" s="173">
        <v>1.2E-2</v>
      </c>
      <c r="AC29" s="173">
        <v>8.9999999999999993E-3</v>
      </c>
      <c r="AD29" s="173">
        <v>4.0000000000000001E-3</v>
      </c>
    </row>
    <row r="30" spans="1:30">
      <c r="A30" s="173">
        <v>2051400</v>
      </c>
      <c r="B30" s="191" t="s">
        <v>4416</v>
      </c>
      <c r="C30" s="196">
        <v>3051300</v>
      </c>
      <c r="D30" s="196">
        <v>107</v>
      </c>
      <c r="E30" s="196">
        <v>1</v>
      </c>
      <c r="F30" s="173">
        <v>3141</v>
      </c>
      <c r="R30" s="173">
        <v>133</v>
      </c>
      <c r="S30" s="173">
        <v>0</v>
      </c>
      <c r="T30" s="195" t="s">
        <v>4167</v>
      </c>
      <c r="U30" s="173">
        <v>3</v>
      </c>
      <c r="V30" s="173">
        <v>2500</v>
      </c>
      <c r="W30" s="173">
        <v>8</v>
      </c>
      <c r="AB30" s="173">
        <v>1.2E-2</v>
      </c>
      <c r="AC30" s="173">
        <v>8.9999999999999993E-3</v>
      </c>
      <c r="AD30" s="173">
        <v>4.0000000000000001E-3</v>
      </c>
    </row>
    <row r="31" spans="1:30">
      <c r="A31" s="173">
        <v>2061400</v>
      </c>
      <c r="B31" s="191" t="s">
        <v>4417</v>
      </c>
      <c r="C31" s="173">
        <v>3061300</v>
      </c>
      <c r="D31" s="173">
        <v>107</v>
      </c>
      <c r="E31" s="173">
        <v>1</v>
      </c>
      <c r="F31" s="173">
        <v>3141</v>
      </c>
      <c r="P31" s="191"/>
      <c r="R31" s="173">
        <v>133</v>
      </c>
      <c r="S31" s="173">
        <v>0</v>
      </c>
      <c r="T31" s="195" t="s">
        <v>4414</v>
      </c>
      <c r="U31" s="173">
        <v>3</v>
      </c>
      <c r="V31" s="173">
        <v>5000</v>
      </c>
      <c r="AB31" s="173">
        <v>0.33</v>
      </c>
      <c r="AC31" s="173">
        <v>0.17</v>
      </c>
    </row>
    <row r="32" spans="1:30">
      <c r="A32" s="173">
        <v>2051400</v>
      </c>
      <c r="B32" s="191" t="s">
        <v>4416</v>
      </c>
      <c r="C32" s="173">
        <v>6004</v>
      </c>
      <c r="D32" s="173">
        <v>375</v>
      </c>
      <c r="E32" s="173">
        <v>16</v>
      </c>
      <c r="F32" s="173">
        <v>2827</v>
      </c>
      <c r="O32" s="198"/>
      <c r="P32" s="191"/>
      <c r="R32" s="153">
        <v>311</v>
      </c>
      <c r="S32" s="173">
        <v>0</v>
      </c>
      <c r="T32" s="195" t="s">
        <v>4167</v>
      </c>
      <c r="U32" s="173">
        <v>0</v>
      </c>
      <c r="V32" s="173">
        <v>10000</v>
      </c>
      <c r="W32" s="173">
        <v>1</v>
      </c>
      <c r="AA32" s="167"/>
      <c r="AB32" s="167">
        <f>AB36</f>
        <v>5.1999999999999998E-3</v>
      </c>
      <c r="AC32" s="167"/>
      <c r="AD32" s="152"/>
    </row>
    <row r="33" spans="1:30">
      <c r="A33" s="173">
        <v>2061400</v>
      </c>
      <c r="B33" s="191" t="s">
        <v>4417</v>
      </c>
      <c r="C33" s="173">
        <v>6004</v>
      </c>
      <c r="D33" s="173">
        <v>375</v>
      </c>
      <c r="E33" s="173">
        <v>16</v>
      </c>
      <c r="F33" s="173">
        <v>2827</v>
      </c>
      <c r="O33" s="198"/>
      <c r="P33" s="191"/>
      <c r="R33" s="153">
        <v>312</v>
      </c>
      <c r="S33" s="173">
        <v>0</v>
      </c>
      <c r="T33" s="195" t="s">
        <v>4167</v>
      </c>
      <c r="U33" s="173">
        <v>1</v>
      </c>
      <c r="V33" s="173">
        <v>10000</v>
      </c>
      <c r="W33" s="173">
        <v>2</v>
      </c>
      <c r="X33" s="195"/>
      <c r="AA33" s="167"/>
      <c r="AB33" s="167">
        <f>AB37</f>
        <v>0.02</v>
      </c>
      <c r="AC33" s="167"/>
      <c r="AD33" s="152"/>
    </row>
    <row r="34" spans="1:30">
      <c r="A34" s="173">
        <v>2051400</v>
      </c>
      <c r="B34" s="191" t="s">
        <v>4416</v>
      </c>
      <c r="C34" s="173">
        <v>6004</v>
      </c>
      <c r="D34" s="173">
        <v>375</v>
      </c>
      <c r="E34" s="173">
        <v>24</v>
      </c>
      <c r="F34" s="173">
        <v>2827</v>
      </c>
      <c r="P34" s="191"/>
      <c r="R34" s="153">
        <v>313</v>
      </c>
      <c r="S34" s="173">
        <v>0</v>
      </c>
      <c r="T34" s="195" t="s">
        <v>4167</v>
      </c>
      <c r="U34" s="173">
        <v>2</v>
      </c>
      <c r="V34" s="173">
        <v>10000</v>
      </c>
      <c r="W34" s="173">
        <v>4</v>
      </c>
      <c r="X34" s="195"/>
      <c r="AA34" s="167"/>
      <c r="AB34" s="167">
        <f>AB38</f>
        <v>0.05</v>
      </c>
      <c r="AC34" s="167">
        <f>AC38</f>
        <v>0.03</v>
      </c>
      <c r="AD34" s="152"/>
    </row>
    <row r="35" spans="1:30">
      <c r="A35" s="173">
        <v>2061400</v>
      </c>
      <c r="B35" s="191" t="s">
        <v>4417</v>
      </c>
      <c r="C35" s="196">
        <v>6004</v>
      </c>
      <c r="D35" s="196">
        <v>375</v>
      </c>
      <c r="E35" s="196">
        <v>24</v>
      </c>
      <c r="F35" s="173">
        <v>2827</v>
      </c>
      <c r="P35" s="191"/>
      <c r="R35" s="153">
        <v>314</v>
      </c>
      <c r="S35" s="173">
        <v>0</v>
      </c>
      <c r="T35" s="195" t="s">
        <v>4167</v>
      </c>
      <c r="U35" s="173">
        <v>3</v>
      </c>
      <c r="V35" s="173">
        <v>10000</v>
      </c>
      <c r="W35" s="173">
        <v>8</v>
      </c>
      <c r="X35" s="195"/>
      <c r="AA35" s="167"/>
      <c r="AB35" s="167">
        <f>AB39</f>
        <v>0.1</v>
      </c>
      <c r="AC35" s="167">
        <f>AC39</f>
        <v>0.06</v>
      </c>
      <c r="AD35" s="152"/>
    </row>
    <row r="36" spans="1:30">
      <c r="A36" s="173">
        <v>3050100</v>
      </c>
      <c r="B36" s="191" t="s">
        <v>4702</v>
      </c>
      <c r="C36" s="196">
        <v>3050100</v>
      </c>
      <c r="D36" s="196">
        <v>107</v>
      </c>
      <c r="E36" s="196">
        <v>1</v>
      </c>
      <c r="F36" s="173">
        <v>10000</v>
      </c>
      <c r="O36" s="198"/>
      <c r="P36" s="191"/>
      <c r="R36" s="153">
        <v>301</v>
      </c>
      <c r="S36" s="173">
        <v>0</v>
      </c>
      <c r="T36" s="195" t="s">
        <v>4176</v>
      </c>
      <c r="U36" s="173">
        <v>0</v>
      </c>
      <c r="V36" s="173">
        <v>10000</v>
      </c>
      <c r="W36" s="173">
        <v>1</v>
      </c>
      <c r="X36" s="195"/>
      <c r="AA36" s="167">
        <v>0.01</v>
      </c>
      <c r="AB36" s="167">
        <v>5.1999999999999998E-3</v>
      </c>
      <c r="AC36" s="167"/>
      <c r="AD36" s="152"/>
    </row>
    <row r="37" spans="1:30">
      <c r="A37" s="173">
        <v>3060100</v>
      </c>
      <c r="B37" s="191" t="s">
        <v>4703</v>
      </c>
      <c r="C37" s="173">
        <v>3060100</v>
      </c>
      <c r="D37" s="173">
        <v>107</v>
      </c>
      <c r="E37" s="173">
        <v>1</v>
      </c>
      <c r="F37" s="173">
        <v>10000</v>
      </c>
      <c r="P37" s="191"/>
      <c r="R37" s="153">
        <v>302</v>
      </c>
      <c r="S37" s="173">
        <v>0</v>
      </c>
      <c r="T37" s="195" t="s">
        <v>4176</v>
      </c>
      <c r="U37" s="173">
        <v>1</v>
      </c>
      <c r="V37" s="173">
        <v>10000</v>
      </c>
      <c r="W37" s="173">
        <v>2</v>
      </c>
      <c r="X37" s="195"/>
      <c r="AA37" s="167">
        <v>0.04</v>
      </c>
      <c r="AB37" s="167">
        <v>0.02</v>
      </c>
      <c r="AC37" s="167"/>
      <c r="AD37" s="152"/>
    </row>
    <row r="38" spans="1:30">
      <c r="A38" s="173">
        <v>2050100</v>
      </c>
      <c r="B38" s="191" t="s">
        <v>4704</v>
      </c>
      <c r="C38" s="196">
        <v>3050100</v>
      </c>
      <c r="D38" s="196">
        <v>107</v>
      </c>
      <c r="E38" s="196">
        <v>1</v>
      </c>
      <c r="F38" s="173">
        <v>162</v>
      </c>
      <c r="P38" s="191"/>
      <c r="R38" s="153">
        <v>303</v>
      </c>
      <c r="S38" s="173">
        <v>0</v>
      </c>
      <c r="T38" s="195" t="s">
        <v>4176</v>
      </c>
      <c r="U38" s="173">
        <v>2</v>
      </c>
      <c r="V38" s="173">
        <v>10000</v>
      </c>
      <c r="W38" s="173">
        <v>4</v>
      </c>
      <c r="AA38" s="167"/>
      <c r="AB38" s="167">
        <v>0.05</v>
      </c>
      <c r="AC38" s="167">
        <v>0.03</v>
      </c>
      <c r="AD38" s="152"/>
    </row>
    <row r="39" spans="1:30">
      <c r="A39" s="173">
        <v>2060100</v>
      </c>
      <c r="B39" s="191" t="s">
        <v>4705</v>
      </c>
      <c r="C39" s="173">
        <v>3060100</v>
      </c>
      <c r="D39" s="173">
        <v>107</v>
      </c>
      <c r="E39" s="173">
        <v>1</v>
      </c>
      <c r="F39" s="173">
        <v>162</v>
      </c>
      <c r="K39" s="201"/>
      <c r="M39" s="191"/>
      <c r="O39" s="191"/>
      <c r="P39" s="191"/>
      <c r="R39" s="153">
        <v>304</v>
      </c>
      <c r="S39" s="173">
        <v>0</v>
      </c>
      <c r="T39" s="195" t="s">
        <v>4176</v>
      </c>
      <c r="U39" s="173">
        <v>3</v>
      </c>
      <c r="V39" s="173">
        <v>10000</v>
      </c>
      <c r="W39" s="173">
        <v>8</v>
      </c>
      <c r="AA39" s="167"/>
      <c r="AB39" s="167">
        <v>0.1</v>
      </c>
      <c r="AC39" s="167">
        <v>0.06</v>
      </c>
      <c r="AD39" s="152"/>
    </row>
    <row r="40" spans="1:30">
      <c r="A40" s="173">
        <v>2050100</v>
      </c>
      <c r="B40" s="191" t="s">
        <v>4704</v>
      </c>
      <c r="C40" s="196">
        <v>3050200</v>
      </c>
      <c r="D40" s="196">
        <v>107</v>
      </c>
      <c r="E40" s="196">
        <v>1</v>
      </c>
      <c r="F40" s="173">
        <v>174</v>
      </c>
      <c r="J40" s="173">
        <v>23202</v>
      </c>
      <c r="K40" s="173" t="s">
        <v>4166</v>
      </c>
      <c r="L40" s="173">
        <v>380</v>
      </c>
      <c r="M40" s="173" t="s">
        <v>5295</v>
      </c>
      <c r="N40" s="173">
        <v>1</v>
      </c>
      <c r="O40" s="191" t="s">
        <v>4167</v>
      </c>
      <c r="P40" s="191"/>
      <c r="R40" s="153">
        <v>321</v>
      </c>
      <c r="S40" s="173">
        <v>0</v>
      </c>
      <c r="T40" s="195" t="s">
        <v>4414</v>
      </c>
      <c r="U40" s="173">
        <v>0</v>
      </c>
      <c r="V40" s="173">
        <v>10000</v>
      </c>
      <c r="AA40" s="167">
        <v>0.66659999999999997</v>
      </c>
      <c r="AB40" s="167">
        <v>0.33300000000000002</v>
      </c>
      <c r="AC40" s="167">
        <v>4.0000000000000002E-4</v>
      </c>
      <c r="AD40" s="152"/>
    </row>
    <row r="41" spans="1:30">
      <c r="A41" s="173">
        <v>2060100</v>
      </c>
      <c r="B41" s="191" t="s">
        <v>4705</v>
      </c>
      <c r="C41" s="196">
        <v>3060200</v>
      </c>
      <c r="D41" s="196">
        <v>107</v>
      </c>
      <c r="E41" s="196">
        <v>1</v>
      </c>
      <c r="F41" s="173">
        <v>174</v>
      </c>
      <c r="J41" s="173">
        <v>23203</v>
      </c>
      <c r="K41" s="173" t="s">
        <v>4168</v>
      </c>
      <c r="L41" s="173">
        <v>380</v>
      </c>
      <c r="M41" s="173" t="s">
        <v>5296</v>
      </c>
      <c r="N41" s="173">
        <v>2</v>
      </c>
      <c r="O41" s="191" t="s">
        <v>4167</v>
      </c>
      <c r="P41" s="191"/>
      <c r="R41" s="153">
        <v>322</v>
      </c>
      <c r="S41" s="173">
        <v>0</v>
      </c>
      <c r="T41" s="195" t="s">
        <v>4414</v>
      </c>
      <c r="U41" s="173">
        <v>1</v>
      </c>
      <c r="V41" s="173">
        <v>10000</v>
      </c>
      <c r="AA41" s="167"/>
      <c r="AB41" s="167">
        <v>0.999</v>
      </c>
      <c r="AC41" s="167">
        <v>1E-3</v>
      </c>
      <c r="AD41" s="152"/>
    </row>
    <row r="42" spans="1:30">
      <c r="A42" s="173">
        <v>2050100</v>
      </c>
      <c r="B42" s="191" t="s">
        <v>4704</v>
      </c>
      <c r="C42" s="173">
        <v>6005</v>
      </c>
      <c r="D42" s="173">
        <v>375</v>
      </c>
      <c r="E42" s="173">
        <v>2</v>
      </c>
      <c r="F42" s="173">
        <v>4832</v>
      </c>
      <c r="J42" s="173">
        <v>22202</v>
      </c>
      <c r="K42" s="173" t="s">
        <v>4169</v>
      </c>
      <c r="L42" s="173">
        <v>380</v>
      </c>
      <c r="M42" s="173" t="s">
        <v>5297</v>
      </c>
      <c r="N42" s="173">
        <v>1</v>
      </c>
      <c r="O42" s="191" t="s">
        <v>4167</v>
      </c>
      <c r="P42" s="191"/>
      <c r="R42" s="153">
        <v>323</v>
      </c>
      <c r="S42" s="173">
        <v>0</v>
      </c>
      <c r="T42" s="195" t="s">
        <v>4414</v>
      </c>
      <c r="U42" s="173">
        <v>2</v>
      </c>
      <c r="V42" s="173">
        <v>10000</v>
      </c>
      <c r="AA42" s="167"/>
      <c r="AB42" s="167"/>
      <c r="AC42" s="167">
        <v>1</v>
      </c>
      <c r="AD42" s="152"/>
    </row>
    <row r="43" spans="1:30">
      <c r="A43" s="173">
        <v>2060100</v>
      </c>
      <c r="B43" s="191" t="s">
        <v>4705</v>
      </c>
      <c r="C43" s="196">
        <v>6005</v>
      </c>
      <c r="D43" s="196">
        <v>375</v>
      </c>
      <c r="E43" s="196">
        <v>2</v>
      </c>
      <c r="F43" s="173">
        <v>4832</v>
      </c>
      <c r="J43" s="173">
        <v>22203</v>
      </c>
      <c r="K43" s="173" t="s">
        <v>4170</v>
      </c>
      <c r="L43" s="173">
        <v>380</v>
      </c>
      <c r="M43" s="173" t="s">
        <v>5298</v>
      </c>
      <c r="N43" s="173">
        <v>2</v>
      </c>
      <c r="O43" s="191" t="s">
        <v>4167</v>
      </c>
      <c r="P43" s="191"/>
      <c r="R43" s="173">
        <v>332</v>
      </c>
      <c r="S43" s="173">
        <v>0</v>
      </c>
      <c r="T43" s="195" t="s">
        <v>4176</v>
      </c>
      <c r="U43" s="173">
        <v>2</v>
      </c>
      <c r="V43" s="173">
        <v>2500</v>
      </c>
      <c r="W43" s="173">
        <v>4</v>
      </c>
      <c r="AA43" s="173">
        <v>8.0000000000000002E-3</v>
      </c>
      <c r="AB43" s="173">
        <v>6.0000000000000001E-3</v>
      </c>
      <c r="AC43" s="173">
        <v>5.0000000000000001E-3</v>
      </c>
    </row>
    <row r="44" spans="1:30">
      <c r="A44" s="173">
        <v>2050100</v>
      </c>
      <c r="B44" s="191" t="s">
        <v>4704</v>
      </c>
      <c r="C44" s="173">
        <v>6005</v>
      </c>
      <c r="D44" s="173">
        <v>375</v>
      </c>
      <c r="E44" s="173">
        <v>3</v>
      </c>
      <c r="F44" s="173">
        <v>4832</v>
      </c>
      <c r="J44" s="173" t="s">
        <v>4171</v>
      </c>
      <c r="K44" s="173" t="s">
        <v>4171</v>
      </c>
      <c r="L44" s="173">
        <v>373</v>
      </c>
      <c r="M44" s="173" t="s">
        <v>5299</v>
      </c>
      <c r="N44" s="173">
        <v>2</v>
      </c>
      <c r="O44" s="191" t="s">
        <v>4167</v>
      </c>
      <c r="P44" s="191"/>
      <c r="R44" s="173">
        <v>332</v>
      </c>
      <c r="S44" s="173">
        <v>0</v>
      </c>
      <c r="T44" s="195" t="s">
        <v>4167</v>
      </c>
      <c r="U44" s="173">
        <v>2</v>
      </c>
      <c r="V44" s="173">
        <v>2500</v>
      </c>
      <c r="W44" s="173">
        <v>4</v>
      </c>
      <c r="AB44" s="173">
        <v>6.0000000000000001E-3</v>
      </c>
      <c r="AC44" s="173">
        <v>5.0000000000000001E-3</v>
      </c>
    </row>
    <row r="45" spans="1:30">
      <c r="A45" s="173">
        <v>2060100</v>
      </c>
      <c r="B45" s="191" t="s">
        <v>4705</v>
      </c>
      <c r="C45" s="196">
        <v>6005</v>
      </c>
      <c r="D45" s="196">
        <v>375</v>
      </c>
      <c r="E45" s="196">
        <v>3</v>
      </c>
      <c r="F45" s="173">
        <v>4832</v>
      </c>
      <c r="J45" s="173">
        <v>11203</v>
      </c>
      <c r="K45" s="173">
        <v>11103</v>
      </c>
      <c r="L45" s="173">
        <v>373</v>
      </c>
      <c r="M45" s="173" t="s">
        <v>5303</v>
      </c>
      <c r="N45" s="173">
        <v>2</v>
      </c>
      <c r="O45" s="191" t="s">
        <v>4167</v>
      </c>
      <c r="P45" s="191"/>
      <c r="R45" s="173">
        <v>332</v>
      </c>
      <c r="S45" s="173">
        <v>0</v>
      </c>
      <c r="T45" s="195" t="s">
        <v>4414</v>
      </c>
      <c r="U45" s="173">
        <v>2</v>
      </c>
      <c r="V45" s="173">
        <v>5000</v>
      </c>
      <c r="AA45" s="173">
        <v>0.21</v>
      </c>
      <c r="AB45" s="173">
        <v>0.21</v>
      </c>
      <c r="AC45" s="173">
        <f>0.5-SUM(AA45:AB45)</f>
        <v>8.0000000000000016E-2</v>
      </c>
    </row>
    <row r="46" spans="1:30">
      <c r="A46" s="173">
        <v>3050200</v>
      </c>
      <c r="B46" s="191" t="s">
        <v>4706</v>
      </c>
      <c r="C46" s="173">
        <v>3050200</v>
      </c>
      <c r="D46" s="173">
        <v>107</v>
      </c>
      <c r="E46" s="173">
        <v>1</v>
      </c>
      <c r="F46" s="173">
        <v>10000</v>
      </c>
      <c r="J46" s="173">
        <v>11204</v>
      </c>
      <c r="K46" s="173">
        <v>11104</v>
      </c>
      <c r="L46" s="173">
        <v>373</v>
      </c>
      <c r="M46" s="173" t="s">
        <v>5304</v>
      </c>
      <c r="N46" s="173">
        <v>3</v>
      </c>
      <c r="O46" s="191" t="s">
        <v>4167</v>
      </c>
      <c r="P46" s="191"/>
    </row>
    <row r="47" spans="1:30">
      <c r="A47" s="173">
        <v>3060200</v>
      </c>
      <c r="B47" s="173" t="s">
        <v>4707</v>
      </c>
      <c r="C47" s="173">
        <v>3060200</v>
      </c>
      <c r="D47" s="173">
        <v>107</v>
      </c>
      <c r="E47" s="173">
        <v>1</v>
      </c>
      <c r="F47" s="173">
        <v>10000</v>
      </c>
      <c r="J47" s="173">
        <v>11205</v>
      </c>
      <c r="K47" s="173">
        <v>11105</v>
      </c>
      <c r="L47" s="173">
        <v>373</v>
      </c>
      <c r="M47" s="198" t="s">
        <v>5306</v>
      </c>
      <c r="N47" s="173">
        <v>3</v>
      </c>
      <c r="O47" s="191" t="s">
        <v>4167</v>
      </c>
      <c r="P47" s="191"/>
    </row>
    <row r="48" spans="1:30">
      <c r="A48" s="173">
        <v>2050200</v>
      </c>
      <c r="B48" s="173" t="s">
        <v>4420</v>
      </c>
      <c r="C48" s="173">
        <v>3050200</v>
      </c>
      <c r="D48" s="173">
        <v>107</v>
      </c>
      <c r="E48" s="173">
        <v>1</v>
      </c>
      <c r="F48" s="173">
        <v>198.00000000000003</v>
      </c>
      <c r="J48" s="173">
        <v>14203</v>
      </c>
      <c r="K48" s="173" t="s">
        <v>4172</v>
      </c>
      <c r="L48" s="173">
        <v>373</v>
      </c>
      <c r="M48" s="173" t="s">
        <v>5300</v>
      </c>
      <c r="N48" s="173">
        <v>2</v>
      </c>
      <c r="O48" s="191" t="s">
        <v>4167</v>
      </c>
      <c r="P48" s="191"/>
    </row>
    <row r="49" spans="1:16">
      <c r="A49" s="173">
        <v>2060200</v>
      </c>
      <c r="B49" s="173" t="s">
        <v>4421</v>
      </c>
      <c r="C49" s="173">
        <v>3060200</v>
      </c>
      <c r="D49" s="173">
        <v>107</v>
      </c>
      <c r="E49" s="173">
        <v>1</v>
      </c>
      <c r="F49" s="173">
        <v>198.00000000000003</v>
      </c>
      <c r="J49" s="173">
        <v>14204</v>
      </c>
      <c r="K49" s="173" t="s">
        <v>4173</v>
      </c>
      <c r="L49" s="173">
        <v>373</v>
      </c>
      <c r="M49" s="173" t="s">
        <v>5301</v>
      </c>
      <c r="N49" s="173">
        <v>3</v>
      </c>
      <c r="O49" s="191" t="s">
        <v>4167</v>
      </c>
      <c r="P49" s="191"/>
    </row>
    <row r="50" spans="1:16">
      <c r="A50" s="173">
        <v>2050200</v>
      </c>
      <c r="B50" s="173" t="s">
        <v>4420</v>
      </c>
      <c r="C50" s="173">
        <v>3050100</v>
      </c>
      <c r="D50" s="173">
        <v>107</v>
      </c>
      <c r="E50" s="173">
        <v>1</v>
      </c>
      <c r="F50" s="173">
        <v>1485</v>
      </c>
      <c r="J50" s="173">
        <v>14205</v>
      </c>
      <c r="K50" s="173" t="s">
        <v>4174</v>
      </c>
      <c r="L50" s="173">
        <v>373</v>
      </c>
      <c r="M50" s="173" t="s">
        <v>5302</v>
      </c>
      <c r="N50" s="173">
        <v>3</v>
      </c>
      <c r="O50" s="191" t="s">
        <v>4167</v>
      </c>
      <c r="P50" s="191"/>
    </row>
    <row r="51" spans="1:16">
      <c r="A51" s="173">
        <v>2060200</v>
      </c>
      <c r="B51" s="191" t="s">
        <v>4421</v>
      </c>
      <c r="C51" s="173">
        <v>3060100</v>
      </c>
      <c r="D51" s="173">
        <v>107</v>
      </c>
      <c r="E51" s="173">
        <v>1</v>
      </c>
      <c r="F51" s="173">
        <v>1485</v>
      </c>
      <c r="J51" s="173">
        <v>4201</v>
      </c>
      <c r="K51" s="173">
        <v>4101</v>
      </c>
      <c r="L51" s="173">
        <v>374</v>
      </c>
      <c r="M51" s="173" t="s">
        <v>4175</v>
      </c>
      <c r="N51" s="173">
        <v>0</v>
      </c>
      <c r="O51" s="191" t="s">
        <v>4176</v>
      </c>
      <c r="P51" s="191"/>
    </row>
    <row r="52" spans="1:16">
      <c r="A52" s="173">
        <v>2050200</v>
      </c>
      <c r="B52" s="191" t="s">
        <v>4420</v>
      </c>
      <c r="C52" s="196">
        <v>6005</v>
      </c>
      <c r="D52" s="196">
        <v>375</v>
      </c>
      <c r="E52" s="196">
        <v>4</v>
      </c>
      <c r="F52" s="173">
        <v>4158</v>
      </c>
      <c r="J52" s="173">
        <v>4203</v>
      </c>
      <c r="K52" s="173">
        <v>4103</v>
      </c>
      <c r="L52" s="173">
        <v>374</v>
      </c>
      <c r="M52" s="173" t="s">
        <v>4177</v>
      </c>
      <c r="N52" s="173">
        <v>2</v>
      </c>
      <c r="O52" s="191" t="s">
        <v>4176</v>
      </c>
      <c r="P52" s="191"/>
    </row>
    <row r="53" spans="1:16">
      <c r="A53" s="173">
        <v>2060200</v>
      </c>
      <c r="B53" s="191" t="s">
        <v>4421</v>
      </c>
      <c r="C53" s="173">
        <v>6005</v>
      </c>
      <c r="D53" s="173">
        <v>375</v>
      </c>
      <c r="E53" s="173">
        <v>4</v>
      </c>
      <c r="F53" s="173">
        <v>4158</v>
      </c>
      <c r="J53" s="173">
        <v>3201</v>
      </c>
      <c r="K53" s="201">
        <v>3101</v>
      </c>
      <c r="L53" s="173">
        <v>374</v>
      </c>
      <c r="M53" s="173" t="s">
        <v>4178</v>
      </c>
      <c r="N53" s="173">
        <v>0</v>
      </c>
      <c r="O53" s="191" t="s">
        <v>4176</v>
      </c>
      <c r="P53" s="191"/>
    </row>
    <row r="54" spans="1:16">
      <c r="A54" s="173">
        <v>2050200</v>
      </c>
      <c r="B54" s="173" t="s">
        <v>4420</v>
      </c>
      <c r="C54" s="173">
        <v>6005</v>
      </c>
      <c r="D54" s="173">
        <v>375</v>
      </c>
      <c r="E54" s="173">
        <v>6</v>
      </c>
      <c r="F54" s="173">
        <v>4159</v>
      </c>
      <c r="J54" s="173">
        <v>3203</v>
      </c>
      <c r="K54" s="201">
        <v>3103</v>
      </c>
      <c r="L54" s="173">
        <v>374</v>
      </c>
      <c r="M54" s="173" t="s">
        <v>4179</v>
      </c>
      <c r="N54" s="173">
        <v>2</v>
      </c>
      <c r="O54" s="191" t="s">
        <v>4176</v>
      </c>
      <c r="P54" s="191"/>
    </row>
    <row r="55" spans="1:16">
      <c r="A55" s="173">
        <v>2060200</v>
      </c>
      <c r="B55" s="173" t="s">
        <v>4421</v>
      </c>
      <c r="C55" s="173">
        <v>6005</v>
      </c>
      <c r="D55" s="173">
        <v>375</v>
      </c>
      <c r="E55" s="173">
        <v>6</v>
      </c>
      <c r="F55" s="173">
        <v>4159</v>
      </c>
      <c r="J55" s="173">
        <v>1201</v>
      </c>
      <c r="K55" s="201">
        <v>1101</v>
      </c>
      <c r="L55" s="173">
        <v>374</v>
      </c>
      <c r="M55" s="173" t="s">
        <v>4180</v>
      </c>
      <c r="N55" s="173">
        <v>0</v>
      </c>
      <c r="O55" s="191" t="s">
        <v>4176</v>
      </c>
      <c r="P55" s="191"/>
    </row>
    <row r="56" spans="1:16">
      <c r="A56" s="173">
        <v>3050300</v>
      </c>
      <c r="B56" s="173" t="s">
        <v>4424</v>
      </c>
      <c r="C56" s="173">
        <v>3050300</v>
      </c>
      <c r="D56" s="173">
        <v>107</v>
      </c>
      <c r="E56" s="173">
        <v>1</v>
      </c>
      <c r="F56" s="173">
        <v>10000</v>
      </c>
      <c r="J56" s="173">
        <v>1204</v>
      </c>
      <c r="K56" s="201">
        <v>1104</v>
      </c>
      <c r="L56" s="173">
        <v>374</v>
      </c>
      <c r="M56" s="173" t="s">
        <v>4181</v>
      </c>
      <c r="N56" s="173">
        <v>2</v>
      </c>
      <c r="O56" s="191" t="s">
        <v>4176</v>
      </c>
      <c r="P56" s="191"/>
    </row>
    <row r="57" spans="1:16">
      <c r="A57" s="173">
        <v>3060300</v>
      </c>
      <c r="B57" s="173" t="s">
        <v>4425</v>
      </c>
      <c r="C57" s="173">
        <v>3060300</v>
      </c>
      <c r="D57" s="173">
        <v>107</v>
      </c>
      <c r="E57" s="173">
        <v>1</v>
      </c>
      <c r="F57" s="173">
        <v>10000</v>
      </c>
      <c r="J57" s="173">
        <v>1205</v>
      </c>
      <c r="K57" s="201">
        <v>1105</v>
      </c>
      <c r="L57" s="173">
        <v>374</v>
      </c>
      <c r="M57" s="173" t="s">
        <v>4182</v>
      </c>
      <c r="N57" s="173">
        <v>3</v>
      </c>
      <c r="O57" s="191" t="s">
        <v>4176</v>
      </c>
      <c r="P57" s="191"/>
    </row>
    <row r="58" spans="1:16">
      <c r="A58" s="173">
        <v>2050300</v>
      </c>
      <c r="B58" s="173" t="s">
        <v>4422</v>
      </c>
      <c r="C58" s="173">
        <v>3050300</v>
      </c>
      <c r="D58" s="173">
        <v>107</v>
      </c>
      <c r="E58" s="173">
        <v>1</v>
      </c>
      <c r="F58" s="173">
        <v>198.00000000000003</v>
      </c>
      <c r="J58" s="173">
        <v>1206</v>
      </c>
      <c r="K58" s="201">
        <v>1106</v>
      </c>
      <c r="L58" s="173">
        <v>374</v>
      </c>
      <c r="M58" s="173" t="s">
        <v>4183</v>
      </c>
      <c r="N58" s="173">
        <v>3</v>
      </c>
      <c r="O58" s="191" t="s">
        <v>4176</v>
      </c>
      <c r="P58" s="191"/>
    </row>
    <row r="59" spans="1:16">
      <c r="A59" s="173">
        <v>2060300</v>
      </c>
      <c r="B59" s="173" t="s">
        <v>4423</v>
      </c>
      <c r="C59" s="173">
        <v>3060300</v>
      </c>
      <c r="D59" s="173">
        <v>107</v>
      </c>
      <c r="E59" s="173">
        <v>1</v>
      </c>
      <c r="F59" s="173">
        <v>198.00000000000003</v>
      </c>
      <c r="J59" s="173">
        <v>2201</v>
      </c>
      <c r="K59" s="201">
        <v>2101</v>
      </c>
      <c r="L59" s="173">
        <v>374</v>
      </c>
      <c r="M59" s="173" t="s">
        <v>4184</v>
      </c>
      <c r="N59" s="173">
        <v>0</v>
      </c>
      <c r="O59" s="191" t="s">
        <v>4176</v>
      </c>
      <c r="P59" s="191"/>
    </row>
    <row r="60" spans="1:16">
      <c r="A60" s="173">
        <v>2050300</v>
      </c>
      <c r="B60" s="173" t="s">
        <v>4422</v>
      </c>
      <c r="C60" s="173">
        <v>3050200</v>
      </c>
      <c r="D60" s="173">
        <v>107</v>
      </c>
      <c r="E60" s="173">
        <v>1</v>
      </c>
      <c r="F60" s="173">
        <v>2673</v>
      </c>
      <c r="J60" s="173">
        <v>2203</v>
      </c>
      <c r="K60" s="201">
        <v>2103</v>
      </c>
      <c r="L60" s="173">
        <v>374</v>
      </c>
      <c r="M60" s="173" t="s">
        <v>4185</v>
      </c>
      <c r="N60" s="173">
        <v>1</v>
      </c>
      <c r="O60" s="191" t="s">
        <v>4176</v>
      </c>
      <c r="P60" s="191"/>
    </row>
    <row r="61" spans="1:16">
      <c r="A61" s="173">
        <v>2060300</v>
      </c>
      <c r="B61" s="173" t="s">
        <v>4423</v>
      </c>
      <c r="C61" s="173">
        <v>3060200</v>
      </c>
      <c r="D61" s="173">
        <v>107</v>
      </c>
      <c r="E61" s="173">
        <v>1</v>
      </c>
      <c r="F61" s="173">
        <v>2673</v>
      </c>
      <c r="J61" s="173">
        <v>2206</v>
      </c>
      <c r="K61" s="201">
        <v>2106</v>
      </c>
      <c r="L61" s="173">
        <v>374</v>
      </c>
      <c r="M61" s="173" t="s">
        <v>4186</v>
      </c>
      <c r="N61" s="173">
        <v>1</v>
      </c>
      <c r="O61" s="191" t="s">
        <v>4176</v>
      </c>
      <c r="P61" s="191"/>
    </row>
    <row r="62" spans="1:16">
      <c r="A62" s="173">
        <v>2050300</v>
      </c>
      <c r="B62" s="173" t="s">
        <v>4422</v>
      </c>
      <c r="C62" s="173">
        <v>6005</v>
      </c>
      <c r="D62" s="173">
        <v>375</v>
      </c>
      <c r="E62" s="173">
        <v>8</v>
      </c>
      <c r="F62" s="173">
        <v>3564</v>
      </c>
      <c r="J62" s="173">
        <v>2207</v>
      </c>
      <c r="K62" s="201">
        <v>2107</v>
      </c>
      <c r="L62" s="173">
        <v>374</v>
      </c>
      <c r="M62" s="173" t="s">
        <v>4187</v>
      </c>
      <c r="N62" s="173">
        <v>1</v>
      </c>
      <c r="O62" s="191" t="s">
        <v>4176</v>
      </c>
      <c r="P62" s="191"/>
    </row>
    <row r="63" spans="1:16">
      <c r="A63" s="173">
        <v>2060300</v>
      </c>
      <c r="B63" s="173" t="s">
        <v>4423</v>
      </c>
      <c r="C63" s="173">
        <v>6005</v>
      </c>
      <c r="D63" s="173">
        <v>375</v>
      </c>
      <c r="E63" s="173">
        <v>8</v>
      </c>
      <c r="F63" s="173">
        <v>3564</v>
      </c>
      <c r="J63" s="173">
        <v>2209</v>
      </c>
      <c r="K63" s="201">
        <v>2109</v>
      </c>
      <c r="L63" s="173">
        <v>374</v>
      </c>
      <c r="M63" s="173" t="s">
        <v>4188</v>
      </c>
      <c r="N63" s="173">
        <v>1</v>
      </c>
      <c r="O63" s="191" t="s">
        <v>4176</v>
      </c>
      <c r="P63" s="191"/>
    </row>
    <row r="64" spans="1:16">
      <c r="A64" s="173">
        <v>2050300</v>
      </c>
      <c r="B64" s="173" t="s">
        <v>4422</v>
      </c>
      <c r="C64" s="173">
        <v>6005</v>
      </c>
      <c r="D64" s="173">
        <v>375</v>
      </c>
      <c r="E64" s="173">
        <v>12</v>
      </c>
      <c r="F64" s="173">
        <v>3565</v>
      </c>
      <c r="J64" s="173">
        <v>2211</v>
      </c>
      <c r="K64" s="201">
        <v>2111</v>
      </c>
      <c r="L64" s="173">
        <v>374</v>
      </c>
      <c r="M64" s="173" t="s">
        <v>4190</v>
      </c>
      <c r="N64" s="173">
        <v>2</v>
      </c>
      <c r="O64" s="191" t="s">
        <v>4176</v>
      </c>
      <c r="P64" s="191"/>
    </row>
    <row r="65" spans="1:20">
      <c r="A65" s="173">
        <v>2060300</v>
      </c>
      <c r="B65" s="173" t="s">
        <v>4423</v>
      </c>
      <c r="C65" s="173">
        <v>6005</v>
      </c>
      <c r="D65" s="173">
        <v>375</v>
      </c>
      <c r="E65" s="173">
        <v>12</v>
      </c>
      <c r="F65" s="173">
        <v>3565</v>
      </c>
      <c r="J65" s="173">
        <v>2212</v>
      </c>
      <c r="K65" s="201">
        <v>2112</v>
      </c>
      <c r="L65" s="173">
        <v>374</v>
      </c>
      <c r="M65" s="173" t="s">
        <v>4189</v>
      </c>
      <c r="N65" s="173">
        <v>2</v>
      </c>
      <c r="O65" s="191" t="s">
        <v>4176</v>
      </c>
      <c r="P65" s="191"/>
      <c r="T65" s="191"/>
    </row>
    <row r="66" spans="1:20">
      <c r="A66" s="173">
        <v>3050400</v>
      </c>
      <c r="B66" s="173" t="s">
        <v>4428</v>
      </c>
      <c r="C66" s="173">
        <v>3050400</v>
      </c>
      <c r="D66" s="173">
        <v>107</v>
      </c>
      <c r="E66" s="173">
        <v>1</v>
      </c>
      <c r="F66" s="173">
        <v>10000</v>
      </c>
      <c r="K66" s="201"/>
      <c r="M66" s="191"/>
      <c r="O66" s="191"/>
      <c r="P66" s="191"/>
      <c r="T66" s="191"/>
    </row>
    <row r="67" spans="1:20">
      <c r="A67" s="173">
        <v>3060400</v>
      </c>
      <c r="B67" s="173" t="s">
        <v>4429</v>
      </c>
      <c r="C67" s="173">
        <v>3060400</v>
      </c>
      <c r="D67" s="173">
        <v>107</v>
      </c>
      <c r="E67" s="173">
        <v>1</v>
      </c>
      <c r="F67" s="173">
        <v>10000</v>
      </c>
      <c r="K67" s="201"/>
      <c r="M67" s="191"/>
      <c r="O67" s="191"/>
      <c r="P67" s="191"/>
    </row>
    <row r="68" spans="1:20">
      <c r="A68" s="173">
        <v>2050400</v>
      </c>
      <c r="B68" s="173" t="s">
        <v>4426</v>
      </c>
      <c r="C68" s="173">
        <v>3050400</v>
      </c>
      <c r="D68" s="173">
        <v>107</v>
      </c>
      <c r="E68" s="173">
        <v>1</v>
      </c>
      <c r="F68" s="173">
        <v>1205</v>
      </c>
      <c r="P68" s="191"/>
    </row>
    <row r="69" spans="1:20">
      <c r="A69" s="173">
        <v>2060400</v>
      </c>
      <c r="B69" s="173" t="s">
        <v>4427</v>
      </c>
      <c r="C69" s="173">
        <v>3060400</v>
      </c>
      <c r="D69" s="173">
        <v>107</v>
      </c>
      <c r="E69" s="173">
        <v>1</v>
      </c>
      <c r="F69" s="173">
        <v>1205</v>
      </c>
      <c r="P69" s="191"/>
    </row>
    <row r="70" spans="1:20">
      <c r="A70" s="173">
        <v>2050400</v>
      </c>
      <c r="B70" s="173" t="s">
        <v>4426</v>
      </c>
      <c r="C70" s="173">
        <v>3050300</v>
      </c>
      <c r="D70" s="173">
        <v>107</v>
      </c>
      <c r="E70" s="173">
        <v>1</v>
      </c>
      <c r="F70" s="173">
        <v>3141</v>
      </c>
      <c r="P70" s="191"/>
    </row>
    <row r="71" spans="1:20">
      <c r="A71" s="173">
        <v>2060400</v>
      </c>
      <c r="B71" s="173" t="s">
        <v>4427</v>
      </c>
      <c r="C71" s="173">
        <v>3060300</v>
      </c>
      <c r="D71" s="173">
        <v>107</v>
      </c>
      <c r="E71" s="173">
        <v>1</v>
      </c>
      <c r="F71" s="173">
        <v>3141</v>
      </c>
      <c r="K71" s="201"/>
      <c r="M71" s="191"/>
      <c r="O71" s="191"/>
    </row>
    <row r="72" spans="1:20">
      <c r="A72" s="173">
        <v>2050400</v>
      </c>
      <c r="B72" s="173" t="s">
        <v>4426</v>
      </c>
      <c r="C72" s="173">
        <v>6005</v>
      </c>
      <c r="D72" s="173">
        <v>375</v>
      </c>
      <c r="E72" s="173">
        <v>16</v>
      </c>
      <c r="F72" s="173">
        <v>2827</v>
      </c>
      <c r="K72" s="201"/>
      <c r="M72" s="191"/>
      <c r="O72" s="191"/>
    </row>
    <row r="73" spans="1:20">
      <c r="A73" s="173">
        <v>2060400</v>
      </c>
      <c r="B73" s="173" t="s">
        <v>4427</v>
      </c>
      <c r="C73" s="173">
        <v>6005</v>
      </c>
      <c r="D73" s="173">
        <v>375</v>
      </c>
      <c r="E73" s="173">
        <v>16</v>
      </c>
      <c r="F73" s="173">
        <v>2827</v>
      </c>
      <c r="K73" s="201"/>
      <c r="M73" s="191"/>
      <c r="O73" s="191"/>
    </row>
    <row r="74" spans="1:20">
      <c r="A74" s="173">
        <v>2050400</v>
      </c>
      <c r="B74" s="173" t="s">
        <v>4426</v>
      </c>
      <c r="C74" s="173">
        <v>6005</v>
      </c>
      <c r="D74" s="173">
        <v>375</v>
      </c>
      <c r="E74" s="173">
        <v>24</v>
      </c>
      <c r="F74" s="173">
        <v>2827</v>
      </c>
      <c r="K74" s="201"/>
      <c r="M74" s="191"/>
      <c r="O74" s="191"/>
    </row>
    <row r="75" spans="1:20">
      <c r="A75" s="173">
        <v>2060400</v>
      </c>
      <c r="B75" s="173" t="s">
        <v>4427</v>
      </c>
      <c r="C75" s="173">
        <v>6005</v>
      </c>
      <c r="D75" s="173">
        <v>375</v>
      </c>
      <c r="E75" s="173">
        <v>24</v>
      </c>
      <c r="F75" s="173">
        <v>2827</v>
      </c>
      <c r="K75" s="201"/>
      <c r="M75" s="191"/>
      <c r="O75" s="191"/>
    </row>
    <row r="76" spans="1:20">
      <c r="A76" s="173">
        <v>2052100</v>
      </c>
      <c r="B76" s="173" t="s">
        <v>4714</v>
      </c>
      <c r="C76" s="173">
        <v>4101</v>
      </c>
      <c r="D76" s="173">
        <v>375</v>
      </c>
      <c r="E76" s="173">
        <v>1</v>
      </c>
      <c r="F76" s="173">
        <v>1100</v>
      </c>
      <c r="K76" s="201"/>
      <c r="M76" s="191"/>
      <c r="O76" s="191"/>
    </row>
    <row r="77" spans="1:20">
      <c r="A77" s="173">
        <v>2062100</v>
      </c>
      <c r="B77" s="173" t="s">
        <v>4715</v>
      </c>
      <c r="C77" s="173">
        <v>4201</v>
      </c>
      <c r="D77" s="173">
        <v>375</v>
      </c>
      <c r="E77" s="173">
        <v>1</v>
      </c>
      <c r="F77" s="173">
        <v>1100</v>
      </c>
      <c r="K77" s="201"/>
      <c r="M77" s="191"/>
      <c r="O77" s="191"/>
    </row>
    <row r="78" spans="1:20">
      <c r="A78" s="173">
        <v>2052100</v>
      </c>
      <c r="B78" s="173" t="s">
        <v>4714</v>
      </c>
      <c r="C78" s="173">
        <v>4102</v>
      </c>
      <c r="D78" s="173">
        <v>375</v>
      </c>
      <c r="E78" s="173">
        <v>1</v>
      </c>
      <c r="F78" s="173">
        <v>1100</v>
      </c>
      <c r="M78" s="202"/>
      <c r="O78" s="191"/>
    </row>
    <row r="79" spans="1:20">
      <c r="A79" s="173">
        <v>2062100</v>
      </c>
      <c r="B79" s="173" t="s">
        <v>4715</v>
      </c>
      <c r="C79" s="173">
        <v>4202</v>
      </c>
      <c r="D79" s="173">
        <v>375</v>
      </c>
      <c r="E79" s="173">
        <v>1</v>
      </c>
      <c r="F79" s="173">
        <v>1100</v>
      </c>
      <c r="M79" s="202"/>
      <c r="O79" s="191"/>
    </row>
    <row r="80" spans="1:20">
      <c r="A80" s="173">
        <v>2052100</v>
      </c>
      <c r="B80" s="173" t="s">
        <v>4714</v>
      </c>
      <c r="C80" s="173">
        <v>4103</v>
      </c>
      <c r="D80" s="173">
        <v>375</v>
      </c>
      <c r="E80" s="173">
        <v>1</v>
      </c>
      <c r="F80" s="173">
        <v>550</v>
      </c>
      <c r="M80" s="202"/>
      <c r="O80" s="191"/>
    </row>
    <row r="81" spans="1:15">
      <c r="A81" s="173">
        <v>2062100</v>
      </c>
      <c r="B81" s="173" t="s">
        <v>4715</v>
      </c>
      <c r="C81" s="173">
        <v>4203</v>
      </c>
      <c r="D81" s="173">
        <v>375</v>
      </c>
      <c r="E81" s="173">
        <v>1</v>
      </c>
      <c r="F81" s="173">
        <v>550</v>
      </c>
      <c r="M81" s="202"/>
      <c r="O81" s="191"/>
    </row>
    <row r="82" spans="1:15">
      <c r="A82" s="173">
        <v>2052100</v>
      </c>
      <c r="B82" s="173" t="s">
        <v>4714</v>
      </c>
      <c r="C82" s="173">
        <v>4104</v>
      </c>
      <c r="D82" s="173">
        <v>375</v>
      </c>
      <c r="E82" s="173">
        <v>1</v>
      </c>
      <c r="F82" s="173">
        <v>550</v>
      </c>
    </row>
    <row r="83" spans="1:15">
      <c r="A83" s="173">
        <v>2062100</v>
      </c>
      <c r="B83" s="173" t="s">
        <v>4715</v>
      </c>
      <c r="C83" s="173">
        <v>4204</v>
      </c>
      <c r="D83" s="173">
        <v>375</v>
      </c>
      <c r="E83" s="173">
        <v>1</v>
      </c>
      <c r="F83" s="173">
        <v>550</v>
      </c>
    </row>
    <row r="84" spans="1:15">
      <c r="A84" s="173">
        <v>2052100</v>
      </c>
      <c r="B84" s="173" t="s">
        <v>4714</v>
      </c>
      <c r="C84" s="173">
        <v>4105</v>
      </c>
      <c r="D84" s="173">
        <v>375</v>
      </c>
      <c r="E84" s="173">
        <v>1</v>
      </c>
      <c r="F84" s="173">
        <v>50</v>
      </c>
    </row>
    <row r="85" spans="1:15">
      <c r="A85" s="173">
        <v>2062100</v>
      </c>
      <c r="B85" s="173" t="s">
        <v>4715</v>
      </c>
      <c r="C85" s="173">
        <v>4205</v>
      </c>
      <c r="D85" s="173">
        <v>375</v>
      </c>
      <c r="E85" s="173">
        <v>1</v>
      </c>
      <c r="F85" s="173">
        <v>50</v>
      </c>
    </row>
    <row r="86" spans="1:15">
      <c r="A86" s="173">
        <v>2052100</v>
      </c>
      <c r="B86" s="173" t="s">
        <v>4714</v>
      </c>
      <c r="C86" s="173">
        <v>1101</v>
      </c>
      <c r="D86" s="173">
        <v>375</v>
      </c>
      <c r="E86" s="173">
        <v>1</v>
      </c>
      <c r="F86" s="173">
        <v>1100</v>
      </c>
    </row>
    <row r="87" spans="1:15">
      <c r="A87" s="173">
        <v>2062100</v>
      </c>
      <c r="B87" s="173" t="s">
        <v>4715</v>
      </c>
      <c r="C87" s="173">
        <v>1201</v>
      </c>
      <c r="D87" s="173">
        <v>375</v>
      </c>
      <c r="E87" s="173">
        <v>1</v>
      </c>
      <c r="F87" s="173">
        <v>1100</v>
      </c>
    </row>
    <row r="88" spans="1:15">
      <c r="A88" s="173">
        <v>2052100</v>
      </c>
      <c r="B88" s="173" t="s">
        <v>4714</v>
      </c>
      <c r="C88" s="173">
        <v>1102</v>
      </c>
      <c r="D88" s="173">
        <v>375</v>
      </c>
      <c r="E88" s="173">
        <v>1</v>
      </c>
      <c r="F88" s="173">
        <v>1100</v>
      </c>
    </row>
    <row r="89" spans="1:15">
      <c r="A89" s="173">
        <v>2062100</v>
      </c>
      <c r="B89" s="173" t="s">
        <v>4715</v>
      </c>
      <c r="C89" s="173">
        <v>1202</v>
      </c>
      <c r="D89" s="173">
        <v>375</v>
      </c>
      <c r="E89" s="173">
        <v>1</v>
      </c>
      <c r="F89" s="173">
        <v>1100</v>
      </c>
    </row>
    <row r="90" spans="1:15">
      <c r="A90" s="173">
        <v>2052100</v>
      </c>
      <c r="B90" s="173" t="s">
        <v>4714</v>
      </c>
      <c r="C90" s="173">
        <v>1103</v>
      </c>
      <c r="D90" s="173">
        <v>375</v>
      </c>
      <c r="E90" s="173">
        <v>1</v>
      </c>
      <c r="F90" s="173">
        <v>550</v>
      </c>
    </row>
    <row r="91" spans="1:15">
      <c r="A91" s="173">
        <v>2062100</v>
      </c>
      <c r="B91" s="173" t="s">
        <v>4715</v>
      </c>
      <c r="C91" s="173">
        <v>1203</v>
      </c>
      <c r="D91" s="173">
        <v>375</v>
      </c>
      <c r="E91" s="173">
        <v>1</v>
      </c>
      <c r="F91" s="173">
        <v>550</v>
      </c>
    </row>
    <row r="92" spans="1:15">
      <c r="A92" s="173">
        <v>2052100</v>
      </c>
      <c r="B92" s="173" t="s">
        <v>4714</v>
      </c>
      <c r="C92" s="173">
        <v>1104</v>
      </c>
      <c r="D92" s="173">
        <v>375</v>
      </c>
      <c r="E92" s="173">
        <v>1</v>
      </c>
      <c r="F92" s="173">
        <v>550</v>
      </c>
    </row>
    <row r="93" spans="1:15">
      <c r="A93" s="173">
        <v>2062100</v>
      </c>
      <c r="B93" s="173" t="s">
        <v>4715</v>
      </c>
      <c r="C93" s="173">
        <v>1204</v>
      </c>
      <c r="D93" s="173">
        <v>375</v>
      </c>
      <c r="E93" s="173">
        <v>1</v>
      </c>
      <c r="F93" s="173">
        <v>550</v>
      </c>
    </row>
    <row r="94" spans="1:15">
      <c r="A94" s="173">
        <v>2052100</v>
      </c>
      <c r="B94" s="191" t="s">
        <v>4714</v>
      </c>
      <c r="C94" s="173">
        <v>1105</v>
      </c>
      <c r="D94" s="173">
        <v>375</v>
      </c>
      <c r="E94" s="173">
        <v>1</v>
      </c>
      <c r="F94" s="173">
        <v>50</v>
      </c>
    </row>
    <row r="95" spans="1:15">
      <c r="A95" s="173">
        <v>2062100</v>
      </c>
      <c r="B95" s="191" t="s">
        <v>4715</v>
      </c>
      <c r="C95" s="173">
        <v>1205</v>
      </c>
      <c r="D95" s="173">
        <v>375</v>
      </c>
      <c r="E95" s="173">
        <v>1</v>
      </c>
      <c r="F95" s="173">
        <v>50</v>
      </c>
    </row>
    <row r="96" spans="1:15">
      <c r="A96" s="173">
        <v>2052100</v>
      </c>
      <c r="B96" s="191" t="s">
        <v>4714</v>
      </c>
      <c r="C96" s="196">
        <v>3101</v>
      </c>
      <c r="D96" s="196">
        <v>375</v>
      </c>
      <c r="E96" s="196">
        <v>1</v>
      </c>
      <c r="F96" s="173">
        <v>1100</v>
      </c>
    </row>
    <row r="97" spans="1:6">
      <c r="A97" s="173">
        <v>2062100</v>
      </c>
      <c r="B97" s="191" t="s">
        <v>4715</v>
      </c>
      <c r="C97" s="173">
        <v>3201</v>
      </c>
      <c r="D97" s="173">
        <v>375</v>
      </c>
      <c r="E97" s="173">
        <v>1</v>
      </c>
      <c r="F97" s="173">
        <v>1100</v>
      </c>
    </row>
    <row r="98" spans="1:6">
      <c r="A98" s="173">
        <v>2052100</v>
      </c>
      <c r="B98" s="191" t="s">
        <v>4714</v>
      </c>
      <c r="C98" s="173">
        <v>3104</v>
      </c>
      <c r="D98" s="173">
        <v>375</v>
      </c>
      <c r="E98" s="173">
        <v>1</v>
      </c>
      <c r="F98" s="173">
        <v>550</v>
      </c>
    </row>
    <row r="99" spans="1:6">
      <c r="A99" s="173">
        <v>2062100</v>
      </c>
      <c r="B99" s="191" t="s">
        <v>4715</v>
      </c>
      <c r="C99" s="173">
        <v>3204</v>
      </c>
      <c r="D99" s="173">
        <v>375</v>
      </c>
      <c r="E99" s="173">
        <v>1</v>
      </c>
      <c r="F99" s="173">
        <v>550</v>
      </c>
    </row>
    <row r="100" spans="1:6">
      <c r="A100" s="173">
        <v>2052100</v>
      </c>
      <c r="B100" s="191" t="s">
        <v>4714</v>
      </c>
      <c r="C100" s="173">
        <v>2101</v>
      </c>
      <c r="D100" s="173">
        <v>375</v>
      </c>
      <c r="E100" s="173">
        <v>1</v>
      </c>
      <c r="F100" s="173">
        <v>1100</v>
      </c>
    </row>
    <row r="101" spans="1:6">
      <c r="A101" s="173">
        <v>2062100</v>
      </c>
      <c r="B101" s="191" t="s">
        <v>4715</v>
      </c>
      <c r="C101" s="173">
        <v>2201</v>
      </c>
      <c r="D101" s="173">
        <v>375</v>
      </c>
      <c r="E101" s="173">
        <v>1</v>
      </c>
      <c r="F101" s="173">
        <v>1100</v>
      </c>
    </row>
    <row r="102" spans="1:6">
      <c r="A102" s="173">
        <v>2052100</v>
      </c>
      <c r="B102" s="191" t="s">
        <v>4714</v>
      </c>
      <c r="C102" s="173">
        <v>2104</v>
      </c>
      <c r="D102" s="173">
        <v>375</v>
      </c>
      <c r="E102" s="173">
        <v>1</v>
      </c>
      <c r="F102" s="173">
        <v>550</v>
      </c>
    </row>
    <row r="103" spans="1:6">
      <c r="A103" s="173">
        <v>2062100</v>
      </c>
      <c r="B103" s="191" t="s">
        <v>4715</v>
      </c>
      <c r="C103" s="196">
        <v>2204</v>
      </c>
      <c r="D103" s="196">
        <v>375</v>
      </c>
      <c r="E103" s="196">
        <v>1</v>
      </c>
      <c r="F103" s="173">
        <v>550</v>
      </c>
    </row>
    <row r="104" spans="1:6">
      <c r="A104" s="173">
        <v>2052200</v>
      </c>
      <c r="B104" s="191" t="s">
        <v>4708</v>
      </c>
      <c r="C104" s="196">
        <v>4103</v>
      </c>
      <c r="D104" s="196">
        <v>375</v>
      </c>
      <c r="E104" s="196">
        <v>1</v>
      </c>
      <c r="F104" s="173">
        <v>1500</v>
      </c>
    </row>
    <row r="105" spans="1:6">
      <c r="A105" s="173">
        <v>2062200</v>
      </c>
      <c r="B105" s="191" t="s">
        <v>4709</v>
      </c>
      <c r="C105" s="173">
        <v>4203</v>
      </c>
      <c r="D105" s="173">
        <v>375</v>
      </c>
      <c r="E105" s="173">
        <v>1</v>
      </c>
      <c r="F105" s="173">
        <v>1500</v>
      </c>
    </row>
    <row r="106" spans="1:6">
      <c r="A106" s="173">
        <v>2052200</v>
      </c>
      <c r="B106" s="191" t="s">
        <v>4708</v>
      </c>
      <c r="C106" s="196">
        <v>4104</v>
      </c>
      <c r="D106" s="196">
        <v>375</v>
      </c>
      <c r="E106" s="196">
        <v>1</v>
      </c>
      <c r="F106" s="173">
        <v>1500</v>
      </c>
    </row>
    <row r="107" spans="1:6">
      <c r="A107" s="173">
        <v>2062200</v>
      </c>
      <c r="B107" s="191" t="s">
        <v>4709</v>
      </c>
      <c r="C107" s="173">
        <v>4204</v>
      </c>
      <c r="D107" s="173">
        <v>375</v>
      </c>
      <c r="E107" s="173">
        <v>1</v>
      </c>
      <c r="F107" s="173">
        <v>1500</v>
      </c>
    </row>
    <row r="108" spans="1:6">
      <c r="A108" s="173">
        <v>2052200</v>
      </c>
      <c r="B108" s="191" t="s">
        <v>4708</v>
      </c>
      <c r="C108" s="173">
        <v>4105</v>
      </c>
      <c r="D108" s="173">
        <v>375</v>
      </c>
      <c r="E108" s="173">
        <v>1</v>
      </c>
      <c r="F108" s="173">
        <v>500</v>
      </c>
    </row>
    <row r="109" spans="1:6">
      <c r="A109" s="173">
        <v>2062200</v>
      </c>
      <c r="B109" s="191" t="s">
        <v>4709</v>
      </c>
      <c r="C109" s="173">
        <v>4205</v>
      </c>
      <c r="D109" s="173">
        <v>375</v>
      </c>
      <c r="E109" s="173">
        <v>1</v>
      </c>
      <c r="F109" s="173">
        <v>500</v>
      </c>
    </row>
    <row r="110" spans="1:6">
      <c r="A110" s="173">
        <v>2052200</v>
      </c>
      <c r="B110" s="191" t="s">
        <v>4708</v>
      </c>
      <c r="C110" s="173">
        <v>1103</v>
      </c>
      <c r="D110" s="173">
        <v>375</v>
      </c>
      <c r="E110" s="173">
        <v>1</v>
      </c>
      <c r="F110" s="173">
        <v>1500</v>
      </c>
    </row>
    <row r="111" spans="1:6">
      <c r="A111" s="173">
        <v>2062200</v>
      </c>
      <c r="B111" s="191" t="s">
        <v>4709</v>
      </c>
      <c r="C111" s="196">
        <v>1203</v>
      </c>
      <c r="D111" s="196">
        <v>375</v>
      </c>
      <c r="E111" s="196">
        <v>1</v>
      </c>
      <c r="F111" s="173">
        <v>1500</v>
      </c>
    </row>
    <row r="112" spans="1:6">
      <c r="A112" s="173">
        <v>2052200</v>
      </c>
      <c r="B112" s="191" t="s">
        <v>4708</v>
      </c>
      <c r="C112" s="196">
        <v>1104</v>
      </c>
      <c r="D112" s="196">
        <v>375</v>
      </c>
      <c r="E112" s="196">
        <v>1</v>
      </c>
      <c r="F112" s="173">
        <v>1500</v>
      </c>
    </row>
    <row r="113" spans="1:6">
      <c r="A113" s="173">
        <v>2062200</v>
      </c>
      <c r="B113" s="191" t="s">
        <v>4709</v>
      </c>
      <c r="C113" s="173">
        <v>1204</v>
      </c>
      <c r="D113" s="173">
        <v>375</v>
      </c>
      <c r="E113" s="173">
        <v>1</v>
      </c>
      <c r="F113" s="173">
        <v>1500</v>
      </c>
    </row>
    <row r="114" spans="1:6">
      <c r="A114" s="173">
        <v>2052200</v>
      </c>
      <c r="B114" s="191" t="s">
        <v>4708</v>
      </c>
      <c r="C114" s="173">
        <v>1105</v>
      </c>
      <c r="D114" s="173">
        <v>375</v>
      </c>
      <c r="E114" s="173">
        <v>1</v>
      </c>
      <c r="F114" s="173">
        <v>500</v>
      </c>
    </row>
    <row r="115" spans="1:6">
      <c r="A115" s="173">
        <v>2062200</v>
      </c>
      <c r="B115" s="191" t="s">
        <v>4709</v>
      </c>
      <c r="C115" s="196">
        <v>1205</v>
      </c>
      <c r="D115" s="196">
        <v>375</v>
      </c>
      <c r="E115" s="196">
        <v>1</v>
      </c>
      <c r="F115" s="173">
        <v>500</v>
      </c>
    </row>
    <row r="116" spans="1:6">
      <c r="A116" s="173">
        <v>2052200</v>
      </c>
      <c r="B116" s="191" t="s">
        <v>4708</v>
      </c>
      <c r="C116" s="173">
        <v>3104</v>
      </c>
      <c r="D116" s="173">
        <v>375</v>
      </c>
      <c r="E116" s="173">
        <v>1</v>
      </c>
      <c r="F116" s="173">
        <v>1500</v>
      </c>
    </row>
    <row r="117" spans="1:6">
      <c r="A117" s="173">
        <v>2062200</v>
      </c>
      <c r="B117" s="191" t="s">
        <v>4709</v>
      </c>
      <c r="C117" s="173">
        <v>3204</v>
      </c>
      <c r="D117" s="173">
        <v>375</v>
      </c>
      <c r="E117" s="173">
        <v>1</v>
      </c>
      <c r="F117" s="173">
        <v>1500</v>
      </c>
    </row>
    <row r="118" spans="1:6">
      <c r="A118" s="173">
        <v>2052200</v>
      </c>
      <c r="B118" s="191" t="s">
        <v>4708</v>
      </c>
      <c r="C118" s="173">
        <v>2104</v>
      </c>
      <c r="D118" s="173">
        <v>375</v>
      </c>
      <c r="E118" s="173">
        <v>1</v>
      </c>
      <c r="F118" s="173">
        <v>1500</v>
      </c>
    </row>
    <row r="119" spans="1:6">
      <c r="A119" s="173">
        <v>2062200</v>
      </c>
      <c r="B119" s="191" t="s">
        <v>4709</v>
      </c>
      <c r="C119" s="196">
        <v>2204</v>
      </c>
      <c r="D119" s="196">
        <v>375</v>
      </c>
      <c r="E119" s="196">
        <v>1</v>
      </c>
      <c r="F119" s="173">
        <v>1500</v>
      </c>
    </row>
    <row r="120" spans="1:6">
      <c r="A120" s="173">
        <v>2052300</v>
      </c>
      <c r="B120" s="196" t="s">
        <v>4430</v>
      </c>
      <c r="C120" s="196">
        <v>4105</v>
      </c>
      <c r="D120" s="196">
        <v>375</v>
      </c>
      <c r="E120" s="196">
        <v>1</v>
      </c>
      <c r="F120" s="173">
        <v>5000</v>
      </c>
    </row>
    <row r="121" spans="1:6">
      <c r="A121" s="173">
        <v>2062300</v>
      </c>
      <c r="B121" s="191" t="s">
        <v>4431</v>
      </c>
      <c r="C121" s="196">
        <v>4205</v>
      </c>
      <c r="D121" s="196">
        <v>375</v>
      </c>
      <c r="E121" s="196">
        <v>1</v>
      </c>
      <c r="F121" s="173">
        <v>5000</v>
      </c>
    </row>
    <row r="122" spans="1:6">
      <c r="A122" s="173">
        <v>2052300</v>
      </c>
      <c r="B122" s="191" t="s">
        <v>4430</v>
      </c>
      <c r="C122" s="173">
        <v>1105</v>
      </c>
      <c r="D122" s="173">
        <v>375</v>
      </c>
      <c r="E122" s="173">
        <v>1</v>
      </c>
      <c r="F122" s="173">
        <v>5000</v>
      </c>
    </row>
    <row r="123" spans="1:6">
      <c r="A123" s="173">
        <v>2062300</v>
      </c>
      <c r="B123" s="191" t="s">
        <v>4431</v>
      </c>
      <c r="C123" s="173">
        <v>1205</v>
      </c>
      <c r="D123" s="173">
        <v>375</v>
      </c>
      <c r="E123" s="173">
        <v>1</v>
      </c>
      <c r="F123" s="173">
        <v>5000</v>
      </c>
    </row>
    <row r="124" spans="1:6">
      <c r="A124" s="173">
        <v>2053300</v>
      </c>
      <c r="B124" s="191" t="s">
        <v>4691</v>
      </c>
      <c r="C124" s="196">
        <v>3106</v>
      </c>
      <c r="D124" s="196">
        <v>374</v>
      </c>
      <c r="E124" s="196">
        <v>1</v>
      </c>
      <c r="F124" s="173">
        <v>40</v>
      </c>
    </row>
    <row r="125" spans="1:6">
      <c r="A125" s="173">
        <v>2063300</v>
      </c>
      <c r="B125" s="191" t="s">
        <v>4692</v>
      </c>
      <c r="C125" s="196">
        <v>3206</v>
      </c>
      <c r="D125" s="196">
        <v>374</v>
      </c>
      <c r="E125" s="196">
        <v>1</v>
      </c>
      <c r="F125" s="173">
        <v>40</v>
      </c>
    </row>
    <row r="126" spans="1:6">
      <c r="A126" s="173">
        <v>2053300</v>
      </c>
      <c r="B126" s="191" t="s">
        <v>4691</v>
      </c>
      <c r="C126" s="173">
        <v>1109</v>
      </c>
      <c r="D126" s="173">
        <v>374</v>
      </c>
      <c r="E126" s="173">
        <v>1</v>
      </c>
      <c r="F126" s="173">
        <v>45</v>
      </c>
    </row>
    <row r="127" spans="1:6">
      <c r="A127" s="173">
        <v>2063300</v>
      </c>
      <c r="B127" s="191" t="s">
        <v>4692</v>
      </c>
      <c r="C127" s="196">
        <v>1209</v>
      </c>
      <c r="D127" s="196">
        <v>374</v>
      </c>
      <c r="E127" s="196">
        <v>1</v>
      </c>
      <c r="F127" s="173">
        <v>45</v>
      </c>
    </row>
    <row r="128" spans="1:6">
      <c r="A128" s="173">
        <v>2053300</v>
      </c>
      <c r="B128" s="191" t="s">
        <v>4691</v>
      </c>
      <c r="C128" s="173">
        <v>1111</v>
      </c>
      <c r="D128" s="173">
        <v>374</v>
      </c>
      <c r="E128" s="173">
        <v>1</v>
      </c>
      <c r="F128" s="173">
        <v>45</v>
      </c>
    </row>
    <row r="129" spans="1:6">
      <c r="A129" s="173">
        <v>2063300</v>
      </c>
      <c r="B129" s="191" t="s">
        <v>4692</v>
      </c>
      <c r="C129" s="173">
        <v>1211</v>
      </c>
      <c r="D129" s="173">
        <v>374</v>
      </c>
      <c r="E129" s="173">
        <v>1</v>
      </c>
      <c r="F129" s="173">
        <v>45</v>
      </c>
    </row>
    <row r="130" spans="1:6">
      <c r="A130" s="173">
        <v>2053300</v>
      </c>
      <c r="B130" s="191" t="s">
        <v>4691</v>
      </c>
      <c r="C130" s="173">
        <v>2122</v>
      </c>
      <c r="D130" s="173">
        <v>374</v>
      </c>
      <c r="E130" s="173">
        <v>1</v>
      </c>
      <c r="F130" s="173">
        <v>60</v>
      </c>
    </row>
    <row r="131" spans="1:6">
      <c r="A131" s="173">
        <v>2063300</v>
      </c>
      <c r="B131" s="191" t="s">
        <v>4692</v>
      </c>
      <c r="C131" s="173">
        <v>2222</v>
      </c>
      <c r="D131" s="173">
        <v>374</v>
      </c>
      <c r="E131" s="173">
        <v>1</v>
      </c>
      <c r="F131" s="173">
        <v>60</v>
      </c>
    </row>
    <row r="132" spans="1:6">
      <c r="A132" s="173">
        <v>2053300</v>
      </c>
      <c r="B132" s="191" t="s">
        <v>4691</v>
      </c>
      <c r="C132" s="173">
        <v>2124</v>
      </c>
      <c r="D132" s="173">
        <v>374</v>
      </c>
      <c r="E132" s="173">
        <v>1</v>
      </c>
      <c r="F132" s="173">
        <v>60</v>
      </c>
    </row>
    <row r="133" spans="1:6">
      <c r="A133" s="173">
        <v>2063300</v>
      </c>
      <c r="B133" s="191" t="s">
        <v>4692</v>
      </c>
      <c r="C133" s="173">
        <v>2224</v>
      </c>
      <c r="D133" s="173">
        <v>374</v>
      </c>
      <c r="E133" s="173">
        <v>1</v>
      </c>
      <c r="F133" s="173">
        <v>60</v>
      </c>
    </row>
    <row r="134" spans="1:6">
      <c r="A134" s="173">
        <v>2053300</v>
      </c>
      <c r="B134" s="191" t="s">
        <v>4691</v>
      </c>
      <c r="C134" s="173">
        <v>4104</v>
      </c>
      <c r="D134" s="173">
        <v>374</v>
      </c>
      <c r="E134" s="173">
        <v>1</v>
      </c>
      <c r="F134" s="173">
        <v>160</v>
      </c>
    </row>
    <row r="135" spans="1:6">
      <c r="A135" s="173">
        <v>2063300</v>
      </c>
      <c r="B135" s="191" t="s">
        <v>4692</v>
      </c>
      <c r="C135" s="173">
        <v>4204</v>
      </c>
      <c r="D135" s="173">
        <v>374</v>
      </c>
      <c r="E135" s="173">
        <v>1</v>
      </c>
      <c r="F135" s="173">
        <v>160</v>
      </c>
    </row>
    <row r="136" spans="1:6">
      <c r="A136" s="173">
        <v>2053300</v>
      </c>
      <c r="B136" s="191" t="s">
        <v>4691</v>
      </c>
      <c r="C136" s="173">
        <v>6005</v>
      </c>
      <c r="D136" s="173">
        <v>375</v>
      </c>
      <c r="E136" s="173">
        <v>8</v>
      </c>
      <c r="F136" s="173">
        <v>1045</v>
      </c>
    </row>
    <row r="137" spans="1:6">
      <c r="A137" s="173">
        <v>2063300</v>
      </c>
      <c r="B137" s="191" t="s">
        <v>4692</v>
      </c>
      <c r="C137" s="173">
        <v>6005</v>
      </c>
      <c r="D137" s="173">
        <v>375</v>
      </c>
      <c r="E137" s="173">
        <v>8</v>
      </c>
      <c r="F137" s="173">
        <v>1045</v>
      </c>
    </row>
    <row r="138" spans="1:6">
      <c r="A138" s="173">
        <v>2053300</v>
      </c>
      <c r="B138" s="173" t="s">
        <v>4691</v>
      </c>
      <c r="C138" s="173">
        <v>6005</v>
      </c>
      <c r="D138" s="173">
        <v>375</v>
      </c>
      <c r="E138" s="173">
        <v>12</v>
      </c>
      <c r="F138" s="173">
        <v>1045</v>
      </c>
    </row>
    <row r="139" spans="1:6">
      <c r="A139" s="173">
        <v>2063300</v>
      </c>
      <c r="B139" s="173" t="s">
        <v>4692</v>
      </c>
      <c r="C139" s="173">
        <v>6005</v>
      </c>
      <c r="D139" s="173">
        <v>375</v>
      </c>
      <c r="E139" s="173">
        <v>12</v>
      </c>
      <c r="F139" s="173">
        <v>1045</v>
      </c>
    </row>
    <row r="140" spans="1:6">
      <c r="A140" s="173">
        <v>2053300</v>
      </c>
      <c r="B140" s="173" t="s">
        <v>4691</v>
      </c>
      <c r="C140" s="173">
        <v>14106</v>
      </c>
      <c r="D140" s="173">
        <v>373</v>
      </c>
      <c r="E140" s="173">
        <v>1</v>
      </c>
      <c r="F140" s="173">
        <v>40</v>
      </c>
    </row>
    <row r="141" spans="1:6">
      <c r="A141" s="173">
        <v>2063300</v>
      </c>
      <c r="B141" s="173" t="s">
        <v>4692</v>
      </c>
      <c r="C141" s="173">
        <v>14206</v>
      </c>
      <c r="D141" s="173">
        <v>373</v>
      </c>
      <c r="E141" s="173">
        <v>1</v>
      </c>
      <c r="F141" s="173">
        <v>40</v>
      </c>
    </row>
    <row r="142" spans="1:6">
      <c r="A142" s="173">
        <v>2053300</v>
      </c>
      <c r="B142" s="173" t="s">
        <v>4691</v>
      </c>
      <c r="C142" s="173">
        <v>11106</v>
      </c>
      <c r="D142" s="173">
        <v>373</v>
      </c>
      <c r="E142" s="173">
        <v>1</v>
      </c>
      <c r="F142" s="173">
        <v>45</v>
      </c>
    </row>
    <row r="143" spans="1:6">
      <c r="A143" s="173">
        <v>2063300</v>
      </c>
      <c r="B143" s="191" t="s">
        <v>4692</v>
      </c>
      <c r="C143" s="173">
        <v>11206</v>
      </c>
      <c r="D143" s="173">
        <v>373</v>
      </c>
      <c r="E143" s="173">
        <v>1</v>
      </c>
      <c r="F143" s="173">
        <v>45</v>
      </c>
    </row>
    <row r="144" spans="1:6">
      <c r="A144" s="173">
        <v>2053300</v>
      </c>
      <c r="B144" s="191" t="s">
        <v>4691</v>
      </c>
      <c r="C144" s="173">
        <v>15304</v>
      </c>
      <c r="D144" s="173">
        <v>373</v>
      </c>
      <c r="E144" s="173">
        <v>1</v>
      </c>
      <c r="F144" s="173">
        <v>45</v>
      </c>
    </row>
    <row r="145" spans="1:6">
      <c r="A145" s="173">
        <v>2063300</v>
      </c>
      <c r="B145" s="191" t="s">
        <v>4692</v>
      </c>
      <c r="C145" s="173">
        <v>15304</v>
      </c>
      <c r="D145" s="173">
        <v>373</v>
      </c>
      <c r="E145" s="173">
        <v>1</v>
      </c>
      <c r="F145" s="173">
        <v>45</v>
      </c>
    </row>
    <row r="146" spans="1:6">
      <c r="A146" s="173">
        <v>2053300</v>
      </c>
      <c r="B146" s="173" t="s">
        <v>4691</v>
      </c>
      <c r="C146" s="173">
        <v>22105</v>
      </c>
      <c r="D146" s="173">
        <v>380</v>
      </c>
      <c r="E146" s="173">
        <v>1</v>
      </c>
      <c r="F146" s="173">
        <v>60</v>
      </c>
    </row>
    <row r="147" spans="1:6">
      <c r="A147" s="173">
        <v>2063300</v>
      </c>
      <c r="B147" s="173" t="s">
        <v>4692</v>
      </c>
      <c r="C147" s="173">
        <v>22205</v>
      </c>
      <c r="D147" s="173">
        <v>380</v>
      </c>
      <c r="E147" s="173">
        <v>1</v>
      </c>
      <c r="F147" s="173">
        <v>60</v>
      </c>
    </row>
    <row r="148" spans="1:6">
      <c r="A148" s="173">
        <v>2053300</v>
      </c>
      <c r="B148" s="173" t="s">
        <v>4691</v>
      </c>
      <c r="C148" s="173">
        <v>23104</v>
      </c>
      <c r="D148" s="173">
        <v>380</v>
      </c>
      <c r="E148" s="173">
        <v>1</v>
      </c>
      <c r="F148" s="173">
        <v>60</v>
      </c>
    </row>
    <row r="149" spans="1:6">
      <c r="A149" s="173">
        <v>2063300</v>
      </c>
      <c r="B149" s="173" t="s">
        <v>4692</v>
      </c>
      <c r="C149" s="173">
        <v>23204</v>
      </c>
      <c r="D149" s="173">
        <v>380</v>
      </c>
      <c r="E149" s="173">
        <v>1</v>
      </c>
      <c r="F149" s="173">
        <v>60</v>
      </c>
    </row>
    <row r="150" spans="1:6">
      <c r="A150" s="173">
        <v>2053300</v>
      </c>
      <c r="B150" s="173" t="s">
        <v>4691</v>
      </c>
      <c r="C150" s="173">
        <v>6004</v>
      </c>
      <c r="D150" s="173">
        <v>375</v>
      </c>
      <c r="E150" s="173">
        <v>8</v>
      </c>
      <c r="F150" s="173">
        <v>1125</v>
      </c>
    </row>
    <row r="151" spans="1:6">
      <c r="A151" s="173">
        <v>2063300</v>
      </c>
      <c r="B151" s="173" t="s">
        <v>4692</v>
      </c>
      <c r="C151" s="173">
        <v>6004</v>
      </c>
      <c r="D151" s="173">
        <v>375</v>
      </c>
      <c r="E151" s="173">
        <v>8</v>
      </c>
      <c r="F151" s="173">
        <v>1125</v>
      </c>
    </row>
    <row r="152" spans="1:6">
      <c r="A152" s="173">
        <v>2053300</v>
      </c>
      <c r="B152" s="173" t="s">
        <v>4691</v>
      </c>
      <c r="C152" s="173">
        <v>6004</v>
      </c>
      <c r="D152" s="173">
        <v>375</v>
      </c>
      <c r="E152" s="173">
        <v>12</v>
      </c>
      <c r="F152" s="173">
        <v>1125</v>
      </c>
    </row>
    <row r="153" spans="1:6">
      <c r="A153" s="173">
        <v>2063300</v>
      </c>
      <c r="B153" s="173" t="s">
        <v>4692</v>
      </c>
      <c r="C153" s="173">
        <v>6004</v>
      </c>
      <c r="D153" s="173">
        <v>375</v>
      </c>
      <c r="E153" s="173">
        <v>12</v>
      </c>
      <c r="F153" s="173">
        <v>1125</v>
      </c>
    </row>
    <row r="154" spans="1:6">
      <c r="A154" s="173">
        <v>2053300</v>
      </c>
      <c r="B154" s="173" t="s">
        <v>4691</v>
      </c>
      <c r="C154" s="173">
        <v>4103</v>
      </c>
      <c r="D154" s="173">
        <v>375</v>
      </c>
      <c r="E154" s="173">
        <v>1</v>
      </c>
      <c r="F154" s="173">
        <v>550</v>
      </c>
    </row>
    <row r="155" spans="1:6">
      <c r="A155" s="173">
        <v>2063300</v>
      </c>
      <c r="B155" s="173" t="s">
        <v>4692</v>
      </c>
      <c r="C155" s="173">
        <v>4203</v>
      </c>
      <c r="D155" s="173">
        <v>375</v>
      </c>
      <c r="E155" s="173">
        <v>1</v>
      </c>
      <c r="F155" s="173">
        <v>550</v>
      </c>
    </row>
    <row r="156" spans="1:6">
      <c r="A156" s="173">
        <v>2053300</v>
      </c>
      <c r="B156" s="173" t="s">
        <v>4691</v>
      </c>
      <c r="C156" s="173">
        <v>4104</v>
      </c>
      <c r="D156" s="173">
        <v>375</v>
      </c>
      <c r="E156" s="173">
        <v>1</v>
      </c>
      <c r="F156" s="173">
        <v>550</v>
      </c>
    </row>
    <row r="157" spans="1:6">
      <c r="A157" s="173">
        <v>2063300</v>
      </c>
      <c r="B157" s="173" t="s">
        <v>4692</v>
      </c>
      <c r="C157" s="173">
        <v>4204</v>
      </c>
      <c r="D157" s="173">
        <v>375</v>
      </c>
      <c r="E157" s="173">
        <v>1</v>
      </c>
      <c r="F157" s="173">
        <v>550</v>
      </c>
    </row>
    <row r="158" spans="1:6">
      <c r="A158" s="173">
        <v>2053300</v>
      </c>
      <c r="B158" s="173" t="s">
        <v>4691</v>
      </c>
      <c r="C158" s="173">
        <v>4105</v>
      </c>
      <c r="D158" s="173">
        <v>375</v>
      </c>
      <c r="E158" s="173">
        <v>1</v>
      </c>
      <c r="F158" s="173">
        <v>850</v>
      </c>
    </row>
    <row r="159" spans="1:6">
      <c r="A159" s="173">
        <v>2063300</v>
      </c>
      <c r="B159" s="173" t="s">
        <v>4692</v>
      </c>
      <c r="C159" s="173">
        <v>4205</v>
      </c>
      <c r="D159" s="173">
        <v>375</v>
      </c>
      <c r="E159" s="173">
        <v>1</v>
      </c>
      <c r="F159" s="173">
        <v>850</v>
      </c>
    </row>
    <row r="160" spans="1:6">
      <c r="A160" s="173">
        <v>2053300</v>
      </c>
      <c r="B160" s="173" t="s">
        <v>4691</v>
      </c>
      <c r="C160" s="173">
        <v>1103</v>
      </c>
      <c r="D160" s="173">
        <v>375</v>
      </c>
      <c r="E160" s="173">
        <v>1</v>
      </c>
      <c r="F160" s="173">
        <v>550</v>
      </c>
    </row>
    <row r="161" spans="1:6">
      <c r="A161" s="173">
        <v>2063300</v>
      </c>
      <c r="B161" s="173" t="s">
        <v>4692</v>
      </c>
      <c r="C161" s="173">
        <v>1203</v>
      </c>
      <c r="D161" s="173">
        <v>375</v>
      </c>
      <c r="E161" s="173">
        <v>1</v>
      </c>
      <c r="F161" s="173">
        <v>550</v>
      </c>
    </row>
    <row r="162" spans="1:6">
      <c r="A162" s="173">
        <v>2053300</v>
      </c>
      <c r="B162" s="173" t="s">
        <v>4691</v>
      </c>
      <c r="C162" s="173">
        <v>1104</v>
      </c>
      <c r="D162" s="173">
        <v>375</v>
      </c>
      <c r="E162" s="173">
        <v>1</v>
      </c>
      <c r="F162" s="173">
        <v>550</v>
      </c>
    </row>
    <row r="163" spans="1:6">
      <c r="A163" s="173">
        <v>2063300</v>
      </c>
      <c r="B163" s="173" t="s">
        <v>4692</v>
      </c>
      <c r="C163" s="173">
        <v>1204</v>
      </c>
      <c r="D163" s="173">
        <v>375</v>
      </c>
      <c r="E163" s="173">
        <v>1</v>
      </c>
      <c r="F163" s="173">
        <v>550</v>
      </c>
    </row>
    <row r="164" spans="1:6">
      <c r="A164" s="173">
        <v>2053300</v>
      </c>
      <c r="B164" s="173" t="s">
        <v>4691</v>
      </c>
      <c r="C164" s="173">
        <v>1105</v>
      </c>
      <c r="D164" s="173">
        <v>375</v>
      </c>
      <c r="E164" s="173">
        <v>1</v>
      </c>
      <c r="F164" s="173">
        <v>850</v>
      </c>
    </row>
    <row r="165" spans="1:6">
      <c r="A165" s="173">
        <v>2063300</v>
      </c>
      <c r="B165" s="173" t="s">
        <v>4692</v>
      </c>
      <c r="C165" s="173">
        <v>1205</v>
      </c>
      <c r="D165" s="173">
        <v>375</v>
      </c>
      <c r="E165" s="173">
        <v>1</v>
      </c>
      <c r="F165" s="173">
        <v>850</v>
      </c>
    </row>
    <row r="166" spans="1:6">
      <c r="A166" s="173">
        <v>2053300</v>
      </c>
      <c r="B166" s="173" t="s">
        <v>4691</v>
      </c>
      <c r="C166" s="173">
        <v>3104</v>
      </c>
      <c r="D166" s="173">
        <v>375</v>
      </c>
      <c r="E166" s="173">
        <v>1</v>
      </c>
      <c r="F166" s="173">
        <v>550</v>
      </c>
    </row>
    <row r="167" spans="1:6">
      <c r="A167" s="173">
        <v>2063300</v>
      </c>
      <c r="B167" s="173" t="s">
        <v>4692</v>
      </c>
      <c r="C167" s="173">
        <v>3204</v>
      </c>
      <c r="D167" s="173">
        <v>375</v>
      </c>
      <c r="E167" s="173">
        <v>1</v>
      </c>
      <c r="F167" s="173">
        <v>550</v>
      </c>
    </row>
    <row r="168" spans="1:6">
      <c r="A168" s="173">
        <v>2053300</v>
      </c>
      <c r="B168" s="173" t="s">
        <v>4691</v>
      </c>
      <c r="C168" s="173">
        <v>2104</v>
      </c>
      <c r="D168" s="173">
        <v>375</v>
      </c>
      <c r="E168" s="173">
        <v>1</v>
      </c>
      <c r="F168" s="173">
        <v>550</v>
      </c>
    </row>
    <row r="169" spans="1:6">
      <c r="A169" s="173">
        <v>2063300</v>
      </c>
      <c r="B169" s="173" t="s">
        <v>4692</v>
      </c>
      <c r="C169" s="173">
        <v>2204</v>
      </c>
      <c r="D169" s="173">
        <v>375</v>
      </c>
      <c r="E169" s="173">
        <v>1</v>
      </c>
      <c r="F169" s="173">
        <v>550</v>
      </c>
    </row>
    <row r="446" spans="2:2">
      <c r="B446" s="191"/>
    </row>
    <row r="447" spans="2:2">
      <c r="B447" s="191"/>
    </row>
    <row r="448" spans="2:2">
      <c r="B448" s="191"/>
    </row>
    <row r="449" spans="2:5">
      <c r="B449" s="191"/>
    </row>
    <row r="450" spans="2:5">
      <c r="B450" s="191"/>
    </row>
    <row r="451" spans="2:5">
      <c r="B451" s="191"/>
      <c r="C451" s="196"/>
      <c r="D451" s="196"/>
      <c r="E451" s="196"/>
    </row>
    <row r="452" spans="2:5">
      <c r="B452" s="191"/>
      <c r="C452" s="196"/>
      <c r="D452" s="196"/>
      <c r="E452" s="196"/>
    </row>
    <row r="453" spans="2:5">
      <c r="B453" s="191"/>
    </row>
    <row r="454" spans="2:5">
      <c r="B454" s="191"/>
    </row>
    <row r="455" spans="2:5">
      <c r="B455" s="191"/>
      <c r="C455" s="196"/>
      <c r="D455" s="196"/>
      <c r="E455" s="196"/>
    </row>
    <row r="456" spans="2:5">
      <c r="B456" s="191"/>
    </row>
    <row r="457" spans="2:5">
      <c r="B457" s="191"/>
    </row>
    <row r="458" spans="2:5">
      <c r="B458" s="191"/>
    </row>
    <row r="459" spans="2:5">
      <c r="B459" s="191"/>
    </row>
  </sheetData>
  <autoFilter ref="A1:AD489" xr:uid="{00000000-0001-0000-1200-000000000000}"/>
  <sortState xmlns:xlrd2="http://schemas.microsoft.com/office/spreadsheetml/2017/richdata2" ref="A2:F459">
    <sortCondition ref="A2:A459"/>
    <sortCondition ref="C2:C459"/>
    <sortCondition ref="E2:E459"/>
  </sortState>
  <phoneticPr fontId="7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宠物扭蛋_奖励更新">
                <anchor moveWithCells="1" sizeWithCells="1">
                  <from>
                    <xdr:col>1</xdr:col>
                    <xdr:colOff>476250</xdr:colOff>
                    <xdr:row>0</xdr:row>
                    <xdr:rowOff>57150</xdr:rowOff>
                  </from>
                  <to>
                    <xdr:col>1</xdr:col>
                    <xdr:colOff>1200150</xdr:colOff>
                    <xdr:row>0</xdr:row>
                    <xdr:rowOff>428625</xdr:rowOff>
                  </to>
                </anchor>
              </controlPr>
            </control>
          </mc:Choice>
        </mc:AlternateContent>
        <mc:AlternateContent xmlns:mc="http://schemas.openxmlformats.org/markup-compatibility/2006">
          <mc:Choice Requires="x14">
            <control shapeId="165892" r:id="rId5" name="Button 4">
              <controlPr defaultSize="0" print="0" autoFill="0" autoPict="0" macro="[0]!宠物扭蛋_奖励生成">
                <anchor moveWithCells="1" sizeWithCells="1">
                  <from>
                    <xdr:col>12</xdr:col>
                    <xdr:colOff>104775</xdr:colOff>
                    <xdr:row>0</xdr:row>
                    <xdr:rowOff>47625</xdr:rowOff>
                  </from>
                  <to>
                    <xdr:col>12</xdr:col>
                    <xdr:colOff>819150</xdr:colOff>
                    <xdr:row>0</xdr:row>
                    <xdr:rowOff>352425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AL103"/>
  <sheetViews>
    <sheetView workbookViewId="0">
      <selection activeCell="C10" sqref="C10"/>
    </sheetView>
  </sheetViews>
  <sheetFormatPr defaultRowHeight="16.5"/>
  <cols>
    <col min="1" max="1" width="11.875" bestFit="1" customWidth="1"/>
    <col min="2" max="2" width="29.375" style="252" bestFit="1" customWidth="1"/>
    <col min="3" max="3" width="23" style="252" bestFit="1" customWidth="1"/>
    <col min="4" max="4" width="29.375" bestFit="1" customWidth="1"/>
    <col min="5" max="5" width="3.375" style="75" customWidth="1"/>
    <col min="6" max="6" width="4.75" bestFit="1" customWidth="1"/>
    <col min="7" max="7" width="8" bestFit="1" customWidth="1"/>
    <col min="8" max="8" width="4.75" bestFit="1" customWidth="1"/>
    <col min="9" max="9" width="6.375" bestFit="1" customWidth="1"/>
    <col min="10" max="11" width="8" bestFit="1" customWidth="1"/>
    <col min="12" max="12" width="4.75" bestFit="1" customWidth="1"/>
    <col min="13" max="14" width="8" bestFit="1" customWidth="1"/>
    <col min="15" max="18" width="7.5" bestFit="1" customWidth="1"/>
    <col min="19" max="19" width="4.75" bestFit="1" customWidth="1"/>
    <col min="20" max="20" width="3.375" style="75" customWidth="1"/>
    <col min="21" max="21" width="11.375" bestFit="1" customWidth="1"/>
    <col min="22" max="22" width="5.125" bestFit="1" customWidth="1"/>
    <col min="23" max="23" width="4.75" bestFit="1" customWidth="1"/>
    <col min="24" max="24" width="6.375" bestFit="1" customWidth="1"/>
    <col min="25" max="25" width="7.25" bestFit="1" customWidth="1"/>
    <col min="26" max="26" width="10" bestFit="1" customWidth="1"/>
    <col min="27" max="27" width="4.75" bestFit="1" customWidth="1"/>
    <col min="28" max="28" width="8" bestFit="1" customWidth="1"/>
    <col min="29" max="29" width="13.125" bestFit="1" customWidth="1"/>
    <col min="30" max="30" width="15.875" bestFit="1" customWidth="1"/>
    <col min="31" max="31" width="8" bestFit="1" customWidth="1"/>
    <col min="32" max="32" width="3.375" style="75" customWidth="1"/>
    <col min="33" max="33" width="6.375" bestFit="1" customWidth="1"/>
    <col min="34" max="34" width="4.75" bestFit="1" customWidth="1"/>
    <col min="35" max="35" width="5.5" bestFit="1" customWidth="1"/>
    <col min="36" max="36" width="8" bestFit="1" customWidth="1"/>
    <col min="37" max="38" width="4.75" bestFit="1" customWidth="1"/>
  </cols>
  <sheetData>
    <row r="1" spans="1:38">
      <c r="A1" s="254" t="s">
        <v>6822</v>
      </c>
      <c r="B1" s="255" t="s">
        <v>6823</v>
      </c>
      <c r="C1" s="255" t="s">
        <v>6824</v>
      </c>
      <c r="D1" s="255" t="s">
        <v>6238</v>
      </c>
      <c r="E1" s="256"/>
      <c r="F1" s="257" t="s">
        <v>6825</v>
      </c>
      <c r="G1" s="258" t="s">
        <v>6250</v>
      </c>
      <c r="H1" s="258" t="s">
        <v>4164</v>
      </c>
      <c r="I1" s="259" t="s">
        <v>6826</v>
      </c>
      <c r="J1" s="259" t="s">
        <v>6827</v>
      </c>
      <c r="K1" s="259" t="s">
        <v>6828</v>
      </c>
      <c r="L1" s="260" t="s">
        <v>6249</v>
      </c>
      <c r="M1" s="259" t="s">
        <v>6829</v>
      </c>
      <c r="N1" s="259" t="s">
        <v>6830</v>
      </c>
      <c r="O1" s="259" t="s">
        <v>6832</v>
      </c>
      <c r="P1" s="259" t="s">
        <v>6833</v>
      </c>
      <c r="Q1" s="259" t="s">
        <v>6834</v>
      </c>
      <c r="R1" s="259" t="s">
        <v>6835</v>
      </c>
      <c r="S1" s="259" t="s">
        <v>6836</v>
      </c>
      <c r="U1" s="258" t="s">
        <v>4163</v>
      </c>
      <c r="V1" s="258" t="s">
        <v>4162</v>
      </c>
      <c r="W1" s="258" t="s">
        <v>4164</v>
      </c>
      <c r="X1" s="258" t="s">
        <v>4407</v>
      </c>
      <c r="Y1" s="258" t="s">
        <v>4406</v>
      </c>
      <c r="Z1" s="261" t="s">
        <v>6837</v>
      </c>
      <c r="AA1" s="257" t="s">
        <v>6838</v>
      </c>
      <c r="AB1" s="257" t="s">
        <v>6839</v>
      </c>
      <c r="AC1" s="257" t="s">
        <v>6840</v>
      </c>
      <c r="AD1" s="257" t="s">
        <v>6841</v>
      </c>
      <c r="AE1" s="257" t="s">
        <v>6842</v>
      </c>
      <c r="AG1" t="s">
        <v>6843</v>
      </c>
      <c r="AH1" t="s">
        <v>400</v>
      </c>
      <c r="AI1" s="254" t="s">
        <v>6844</v>
      </c>
      <c r="AJ1" s="254" t="s">
        <v>6845</v>
      </c>
      <c r="AK1" s="254" t="s">
        <v>6846</v>
      </c>
      <c r="AL1" s="254" t="s">
        <v>6847</v>
      </c>
    </row>
    <row r="2" spans="1:38">
      <c r="A2" s="262" t="s">
        <v>6848</v>
      </c>
      <c r="B2" s="263">
        <v>1</v>
      </c>
      <c r="C2" s="263">
        <v>1</v>
      </c>
      <c r="D2" s="263"/>
      <c r="E2" s="264"/>
      <c r="F2" s="255" t="s">
        <v>6824</v>
      </c>
      <c r="G2" s="265" t="s">
        <v>5316</v>
      </c>
      <c r="H2">
        <v>0</v>
      </c>
      <c r="I2" s="265">
        <v>1841.0000000000002</v>
      </c>
      <c r="J2" s="265">
        <v>1841.0000000000002</v>
      </c>
      <c r="K2" s="265"/>
      <c r="L2" s="266">
        <v>0</v>
      </c>
      <c r="M2" s="265"/>
      <c r="N2" s="265"/>
      <c r="O2" s="265"/>
      <c r="P2" s="265">
        <v>5.1999999999999998E-3</v>
      </c>
      <c r="Q2" s="265"/>
      <c r="R2" s="265"/>
      <c r="S2" s="265">
        <v>1</v>
      </c>
      <c r="U2" t="s">
        <v>6849</v>
      </c>
      <c r="V2" s="254" t="s">
        <v>4192</v>
      </c>
      <c r="W2">
        <v>0</v>
      </c>
      <c r="X2">
        <v>1101</v>
      </c>
      <c r="Y2">
        <v>1201</v>
      </c>
      <c r="Z2" s="254" t="s">
        <v>6850</v>
      </c>
      <c r="AG2" s="254" t="s">
        <v>6851</v>
      </c>
      <c r="AH2">
        <v>0</v>
      </c>
      <c r="AI2">
        <v>500</v>
      </c>
      <c r="AJ2">
        <v>2400</v>
      </c>
      <c r="AK2">
        <v>35</v>
      </c>
      <c r="AL2">
        <v>5</v>
      </c>
    </row>
    <row r="3" spans="1:38">
      <c r="A3" s="254" t="s">
        <v>6225</v>
      </c>
      <c r="B3" s="252">
        <v>1</v>
      </c>
      <c r="C3" s="252">
        <v>3</v>
      </c>
      <c r="D3" s="252">
        <v>5</v>
      </c>
      <c r="E3" s="267"/>
      <c r="F3" s="255" t="s">
        <v>6824</v>
      </c>
      <c r="G3" s="265" t="s">
        <v>5316</v>
      </c>
      <c r="H3">
        <v>1</v>
      </c>
      <c r="I3" s="265">
        <v>171</v>
      </c>
      <c r="J3" s="265">
        <v>171</v>
      </c>
      <c r="K3" s="265">
        <v>48</v>
      </c>
      <c r="L3" s="266">
        <v>0</v>
      </c>
      <c r="M3" s="265"/>
      <c r="N3" s="265"/>
      <c r="O3" s="265"/>
      <c r="P3" s="265">
        <v>0.02</v>
      </c>
      <c r="Q3" s="265"/>
      <c r="R3" s="265"/>
      <c r="S3" s="265">
        <v>2</v>
      </c>
      <c r="U3" t="s">
        <v>6852</v>
      </c>
      <c r="V3" s="254" t="s">
        <v>4192</v>
      </c>
      <c r="W3">
        <v>0</v>
      </c>
      <c r="X3">
        <v>1102</v>
      </c>
      <c r="Y3">
        <v>1202</v>
      </c>
      <c r="Z3" s="254" t="s">
        <v>6850</v>
      </c>
      <c r="AG3" s="254" t="s">
        <v>6851</v>
      </c>
      <c r="AH3">
        <v>1</v>
      </c>
      <c r="AI3">
        <v>700</v>
      </c>
      <c r="AJ3">
        <v>2100</v>
      </c>
      <c r="AK3">
        <v>70</v>
      </c>
      <c r="AL3">
        <v>10</v>
      </c>
    </row>
    <row r="4" spans="1:38">
      <c r="A4" s="254" t="s">
        <v>6226</v>
      </c>
      <c r="B4" s="252">
        <v>2</v>
      </c>
      <c r="C4" s="252">
        <v>4</v>
      </c>
      <c r="D4" s="252">
        <v>6</v>
      </c>
      <c r="E4" s="267"/>
      <c r="F4" s="255" t="s">
        <v>6824</v>
      </c>
      <c r="G4" s="265" t="s">
        <v>5316</v>
      </c>
      <c r="H4">
        <v>2</v>
      </c>
      <c r="I4" s="265">
        <v>560</v>
      </c>
      <c r="J4" s="265">
        <v>0</v>
      </c>
      <c r="K4" s="265">
        <v>82</v>
      </c>
      <c r="L4" s="266">
        <v>0</v>
      </c>
      <c r="M4" s="265"/>
      <c r="N4" s="265"/>
      <c r="O4" s="265"/>
      <c r="P4" s="265">
        <v>0.05</v>
      </c>
      <c r="Q4" s="265">
        <v>0.03</v>
      </c>
      <c r="R4" s="265"/>
      <c r="S4" s="265">
        <v>4</v>
      </c>
      <c r="U4" t="s">
        <v>6853</v>
      </c>
      <c r="V4" s="254" t="s">
        <v>4192</v>
      </c>
      <c r="W4">
        <v>1</v>
      </c>
      <c r="X4">
        <v>1103</v>
      </c>
      <c r="Y4">
        <v>1203</v>
      </c>
      <c r="Z4" s="254" t="s">
        <v>6854</v>
      </c>
      <c r="AG4" s="254" t="s">
        <v>6851</v>
      </c>
      <c r="AH4">
        <v>2</v>
      </c>
      <c r="AI4">
        <v>1100</v>
      </c>
      <c r="AJ4">
        <v>1800</v>
      </c>
      <c r="AK4">
        <v>140</v>
      </c>
      <c r="AL4">
        <v>20</v>
      </c>
    </row>
    <row r="5" spans="1:38">
      <c r="A5" s="254" t="s">
        <v>6227</v>
      </c>
      <c r="B5" s="268" t="s">
        <v>6228</v>
      </c>
      <c r="C5" s="268" t="s">
        <v>6855</v>
      </c>
      <c r="D5" s="268" t="s">
        <v>6228</v>
      </c>
      <c r="E5" s="269"/>
      <c r="F5" s="268" t="s">
        <v>6824</v>
      </c>
      <c r="G5" s="265" t="s">
        <v>5316</v>
      </c>
      <c r="H5">
        <v>3</v>
      </c>
      <c r="I5" s="265">
        <v>0</v>
      </c>
      <c r="J5" s="265">
        <v>0</v>
      </c>
      <c r="K5" s="265"/>
      <c r="L5" s="266">
        <v>0</v>
      </c>
      <c r="M5" s="265"/>
      <c r="N5" s="265"/>
      <c r="O5" s="265"/>
      <c r="P5" s="265">
        <v>0.1</v>
      </c>
      <c r="Q5" s="265">
        <v>0.06</v>
      </c>
      <c r="R5" s="265"/>
      <c r="S5" s="265">
        <v>8</v>
      </c>
      <c r="U5" t="s">
        <v>6856</v>
      </c>
      <c r="V5" s="254" t="s">
        <v>4192</v>
      </c>
      <c r="W5">
        <v>1</v>
      </c>
      <c r="X5">
        <v>1104</v>
      </c>
      <c r="Y5">
        <v>1204</v>
      </c>
      <c r="Z5" s="254" t="s">
        <v>6854</v>
      </c>
      <c r="AG5" s="254" t="s">
        <v>6851</v>
      </c>
      <c r="AH5">
        <v>3</v>
      </c>
      <c r="AI5">
        <v>1700</v>
      </c>
      <c r="AJ5">
        <v>1500</v>
      </c>
      <c r="AK5">
        <v>280</v>
      </c>
      <c r="AL5">
        <v>40</v>
      </c>
    </row>
    <row r="6" spans="1:38">
      <c r="A6" s="254" t="s">
        <v>6229</v>
      </c>
      <c r="B6" s="270" t="s">
        <v>6230</v>
      </c>
      <c r="C6" s="270" t="s">
        <v>6857</v>
      </c>
      <c r="D6" s="270" t="s">
        <v>6230</v>
      </c>
      <c r="E6" s="271"/>
      <c r="F6" s="272" t="s">
        <v>6824</v>
      </c>
      <c r="G6" s="265" t="s">
        <v>5317</v>
      </c>
      <c r="H6">
        <v>0</v>
      </c>
      <c r="I6" s="265">
        <v>1457</v>
      </c>
      <c r="J6" s="265">
        <v>1457</v>
      </c>
      <c r="K6" s="265">
        <v>26</v>
      </c>
      <c r="L6" s="266">
        <v>0</v>
      </c>
      <c r="M6" s="265"/>
      <c r="N6" s="265"/>
      <c r="O6" s="265">
        <v>0.01</v>
      </c>
      <c r="P6" s="265">
        <v>5.1999999999999998E-3</v>
      </c>
      <c r="Q6" s="265"/>
      <c r="R6" s="265"/>
      <c r="S6" s="265">
        <v>1</v>
      </c>
      <c r="U6" t="s">
        <v>6858</v>
      </c>
      <c r="V6" s="254" t="s">
        <v>4192</v>
      </c>
      <c r="W6">
        <v>2</v>
      </c>
      <c r="X6">
        <v>1105</v>
      </c>
      <c r="Y6">
        <v>1205</v>
      </c>
      <c r="Z6" s="254" t="s">
        <v>6854</v>
      </c>
      <c r="AG6" s="254" t="s">
        <v>6859</v>
      </c>
      <c r="AH6">
        <v>0</v>
      </c>
      <c r="AI6">
        <v>700</v>
      </c>
      <c r="AJ6">
        <v>4800</v>
      </c>
      <c r="AK6">
        <v>40</v>
      </c>
      <c r="AL6">
        <v>5</v>
      </c>
    </row>
    <row r="7" spans="1:38">
      <c r="A7" s="254" t="s">
        <v>6231</v>
      </c>
      <c r="B7" s="255" t="s">
        <v>6239</v>
      </c>
      <c r="C7" s="255" t="s">
        <v>6860</v>
      </c>
      <c r="D7" s="255" t="s">
        <v>6239</v>
      </c>
      <c r="E7" s="264"/>
      <c r="F7" s="255" t="s">
        <v>6824</v>
      </c>
      <c r="G7" s="265" t="s">
        <v>5317</v>
      </c>
      <c r="H7">
        <v>1</v>
      </c>
      <c r="I7" s="265">
        <v>126</v>
      </c>
      <c r="J7" s="265">
        <v>126</v>
      </c>
      <c r="K7" s="265">
        <v>42</v>
      </c>
      <c r="L7" s="266">
        <v>0</v>
      </c>
      <c r="M7" s="265"/>
      <c r="N7" s="265"/>
      <c r="O7" s="265">
        <v>0.04</v>
      </c>
      <c r="P7" s="265">
        <v>0.02</v>
      </c>
      <c r="Q7" s="265"/>
      <c r="R7" s="265"/>
      <c r="S7" s="265">
        <v>2</v>
      </c>
      <c r="U7" t="s">
        <v>6861</v>
      </c>
      <c r="V7" s="254" t="s">
        <v>4192</v>
      </c>
      <c r="W7">
        <v>0</v>
      </c>
      <c r="X7">
        <v>2101</v>
      </c>
      <c r="Y7">
        <v>2201</v>
      </c>
      <c r="Z7" s="254" t="s">
        <v>6850</v>
      </c>
      <c r="AG7" s="254" t="s">
        <v>6859</v>
      </c>
      <c r="AH7">
        <v>1</v>
      </c>
      <c r="AI7">
        <v>1000</v>
      </c>
      <c r="AJ7">
        <v>4200</v>
      </c>
      <c r="AK7">
        <v>75</v>
      </c>
      <c r="AL7">
        <v>10</v>
      </c>
    </row>
    <row r="8" spans="1:38">
      <c r="A8" s="254" t="s">
        <v>6232</v>
      </c>
      <c r="B8" s="255" t="s">
        <v>6233</v>
      </c>
      <c r="C8" s="255" t="s">
        <v>6233</v>
      </c>
      <c r="D8" s="255" t="s">
        <v>6233</v>
      </c>
      <c r="E8" s="264"/>
      <c r="F8" s="255" t="s">
        <v>6824</v>
      </c>
      <c r="G8" s="265" t="s">
        <v>5317</v>
      </c>
      <c r="H8">
        <v>2</v>
      </c>
      <c r="I8" s="265">
        <v>260</v>
      </c>
      <c r="J8" s="265">
        <v>0</v>
      </c>
      <c r="K8" s="265">
        <v>72</v>
      </c>
      <c r="L8" s="266">
        <v>0</v>
      </c>
      <c r="M8" s="265"/>
      <c r="N8" s="265"/>
      <c r="O8" s="265"/>
      <c r="P8" s="265">
        <v>0.05</v>
      </c>
      <c r="Q8" s="265">
        <v>0.03</v>
      </c>
      <c r="R8" s="265"/>
      <c r="S8" s="265">
        <v>4</v>
      </c>
      <c r="U8" t="s">
        <v>6862</v>
      </c>
      <c r="V8" s="254" t="s">
        <v>4192</v>
      </c>
      <c r="W8">
        <v>1</v>
      </c>
      <c r="X8">
        <v>2104</v>
      </c>
      <c r="Y8">
        <v>2204</v>
      </c>
      <c r="Z8" s="254" t="s">
        <v>6854</v>
      </c>
      <c r="AG8" s="254" t="s">
        <v>6859</v>
      </c>
      <c r="AH8">
        <v>2</v>
      </c>
      <c r="AI8">
        <v>1500</v>
      </c>
      <c r="AJ8">
        <v>3600</v>
      </c>
      <c r="AK8">
        <v>150</v>
      </c>
      <c r="AL8">
        <v>20</v>
      </c>
    </row>
    <row r="9" spans="1:38">
      <c r="A9" s="254" t="s">
        <v>6234</v>
      </c>
      <c r="B9" s="268" t="s">
        <v>6863</v>
      </c>
      <c r="C9" s="268" t="s">
        <v>6863</v>
      </c>
      <c r="D9" s="268" t="s">
        <v>6236</v>
      </c>
      <c r="E9" s="269"/>
      <c r="F9" s="268" t="s">
        <v>6824</v>
      </c>
      <c r="G9" s="265" t="s">
        <v>5317</v>
      </c>
      <c r="H9">
        <v>3</v>
      </c>
      <c r="I9" s="265">
        <v>0</v>
      </c>
      <c r="J9" s="265">
        <v>0</v>
      </c>
      <c r="K9" s="265"/>
      <c r="L9" s="266">
        <v>0</v>
      </c>
      <c r="M9" s="265"/>
      <c r="N9" s="265"/>
      <c r="O9" s="265"/>
      <c r="P9" s="265">
        <v>0.1</v>
      </c>
      <c r="Q9" s="265">
        <v>0.06</v>
      </c>
      <c r="R9" s="265"/>
      <c r="S9" s="265">
        <v>8</v>
      </c>
      <c r="U9" t="s">
        <v>6864</v>
      </c>
      <c r="V9" s="254" t="s">
        <v>4192</v>
      </c>
      <c r="W9">
        <v>0</v>
      </c>
      <c r="X9">
        <v>3101</v>
      </c>
      <c r="Y9">
        <v>3201</v>
      </c>
      <c r="Z9" s="254" t="s">
        <v>6850</v>
      </c>
      <c r="AG9" s="254" t="s">
        <v>6859</v>
      </c>
      <c r="AH9">
        <v>3</v>
      </c>
      <c r="AI9">
        <v>2300</v>
      </c>
      <c r="AJ9">
        <v>3000</v>
      </c>
      <c r="AK9">
        <v>285</v>
      </c>
      <c r="AL9">
        <v>40</v>
      </c>
    </row>
    <row r="10" spans="1:38">
      <c r="A10" s="254" t="s">
        <v>6235</v>
      </c>
      <c r="B10" s="268" t="s">
        <v>6865</v>
      </c>
      <c r="C10" s="268" t="s">
        <v>6865</v>
      </c>
      <c r="D10" s="268" t="s">
        <v>6237</v>
      </c>
      <c r="E10" s="269"/>
      <c r="F10" s="268" t="s">
        <v>6824</v>
      </c>
      <c r="G10" s="265" t="s">
        <v>4192</v>
      </c>
      <c r="H10">
        <v>0</v>
      </c>
      <c r="I10" s="265">
        <v>4585</v>
      </c>
      <c r="J10" s="265">
        <v>5405</v>
      </c>
      <c r="K10" s="265"/>
      <c r="L10" s="266">
        <v>0</v>
      </c>
      <c r="M10" s="265"/>
      <c r="N10" s="265"/>
      <c r="O10" s="265">
        <v>0.66659999999999997</v>
      </c>
      <c r="P10" s="265">
        <v>0.33300000000000002</v>
      </c>
      <c r="Q10" s="265">
        <v>4.0000000000000002E-4</v>
      </c>
      <c r="R10" s="265"/>
      <c r="S10" s="265"/>
      <c r="U10" t="s">
        <v>6866</v>
      </c>
      <c r="V10" s="254" t="s">
        <v>4192</v>
      </c>
      <c r="W10">
        <v>1</v>
      </c>
      <c r="X10">
        <v>3104</v>
      </c>
      <c r="Y10">
        <v>3204</v>
      </c>
      <c r="Z10" s="254" t="s">
        <v>6854</v>
      </c>
      <c r="AG10" s="254" t="s">
        <v>6867</v>
      </c>
      <c r="AH10">
        <v>0</v>
      </c>
      <c r="AK10">
        <v>35</v>
      </c>
      <c r="AL10">
        <v>5</v>
      </c>
    </row>
    <row r="11" spans="1:38">
      <c r="A11" s="254" t="s">
        <v>6240</v>
      </c>
      <c r="B11" s="252">
        <v>10</v>
      </c>
      <c r="C11" s="252">
        <v>10</v>
      </c>
      <c r="D11" s="252">
        <v>10</v>
      </c>
      <c r="E11" s="267"/>
      <c r="F11" s="255" t="s">
        <v>6824</v>
      </c>
      <c r="G11" s="265" t="s">
        <v>4192</v>
      </c>
      <c r="H11">
        <v>1</v>
      </c>
      <c r="I11" s="265">
        <v>1000</v>
      </c>
      <c r="J11" s="265">
        <v>1000</v>
      </c>
      <c r="K11" s="265"/>
      <c r="L11" s="266">
        <v>0</v>
      </c>
      <c r="M11" s="265"/>
      <c r="N11" s="265"/>
      <c r="O11" s="265"/>
      <c r="P11" s="265">
        <v>0.999</v>
      </c>
      <c r="Q11" s="265">
        <v>1E-3</v>
      </c>
      <c r="R11" s="265"/>
      <c r="S11" s="265"/>
      <c r="U11" t="s">
        <v>6868</v>
      </c>
      <c r="V11" s="254" t="s">
        <v>4192</v>
      </c>
      <c r="W11">
        <v>0</v>
      </c>
      <c r="X11">
        <v>4101</v>
      </c>
      <c r="Y11">
        <v>4201</v>
      </c>
      <c r="Z11" s="254" t="s">
        <v>6850</v>
      </c>
      <c r="AG11" s="254" t="s">
        <v>6867</v>
      </c>
      <c r="AH11">
        <v>1</v>
      </c>
      <c r="AK11">
        <v>70</v>
      </c>
      <c r="AL11">
        <v>10</v>
      </c>
    </row>
    <row r="12" spans="1:38">
      <c r="A12" s="254" t="s">
        <v>6241</v>
      </c>
      <c r="B12" s="252">
        <v>1</v>
      </c>
      <c r="C12" s="252">
        <v>1</v>
      </c>
      <c r="D12" s="252">
        <v>1</v>
      </c>
      <c r="E12" s="267"/>
      <c r="F12" s="255" t="s">
        <v>6824</v>
      </c>
      <c r="G12" s="265" t="s">
        <v>4192</v>
      </c>
      <c r="H12">
        <v>2</v>
      </c>
      <c r="I12" s="265">
        <v>0</v>
      </c>
      <c r="J12" s="265">
        <v>0</v>
      </c>
      <c r="K12" s="265"/>
      <c r="L12" s="266">
        <v>0</v>
      </c>
      <c r="M12" s="265"/>
      <c r="N12" s="265"/>
      <c r="O12" s="265"/>
      <c r="P12" s="265"/>
      <c r="Q12" s="265">
        <v>1</v>
      </c>
      <c r="R12" s="265"/>
      <c r="S12" s="265"/>
      <c r="U12" t="s">
        <v>6869</v>
      </c>
      <c r="V12" s="254" t="s">
        <v>4192</v>
      </c>
      <c r="W12">
        <v>0</v>
      </c>
      <c r="X12">
        <v>4102</v>
      </c>
      <c r="Y12">
        <v>4202</v>
      </c>
      <c r="Z12" s="254" t="s">
        <v>6850</v>
      </c>
      <c r="AG12" s="254" t="s">
        <v>6867</v>
      </c>
      <c r="AH12">
        <v>2</v>
      </c>
      <c r="AK12">
        <v>140</v>
      </c>
      <c r="AL12">
        <v>20</v>
      </c>
    </row>
    <row r="13" spans="1:38">
      <c r="A13" s="254" t="s">
        <v>6243</v>
      </c>
      <c r="B13" s="268" t="s">
        <v>6242</v>
      </c>
      <c r="C13" s="268" t="s">
        <v>6870</v>
      </c>
      <c r="D13" s="268" t="s">
        <v>6242</v>
      </c>
      <c r="E13" s="269"/>
      <c r="F13" s="268" t="s">
        <v>6824</v>
      </c>
      <c r="G13" s="254" t="s">
        <v>6871</v>
      </c>
      <c r="H13">
        <v>1</v>
      </c>
      <c r="L13" s="122">
        <v>0</v>
      </c>
      <c r="P13">
        <v>6.0000000000000001E-3</v>
      </c>
      <c r="Q13">
        <v>5.0000000000000001E-3</v>
      </c>
      <c r="S13">
        <v>4</v>
      </c>
      <c r="U13" t="s">
        <v>6872</v>
      </c>
      <c r="V13" s="254" t="s">
        <v>4192</v>
      </c>
      <c r="W13">
        <v>1</v>
      </c>
      <c r="X13">
        <v>4103</v>
      </c>
      <c r="Y13">
        <v>4203</v>
      </c>
      <c r="Z13" s="254" t="s">
        <v>6854</v>
      </c>
      <c r="AG13" s="254" t="s">
        <v>6873</v>
      </c>
      <c r="AH13">
        <v>0</v>
      </c>
      <c r="AJ13">
        <v>2</v>
      </c>
      <c r="AK13">
        <v>30</v>
      </c>
      <c r="AL13">
        <v>5</v>
      </c>
    </row>
    <row r="14" spans="1:38">
      <c r="A14" s="254" t="s">
        <v>6244</v>
      </c>
      <c r="B14" s="268" t="s">
        <v>6245</v>
      </c>
      <c r="C14" s="268" t="s">
        <v>6874</v>
      </c>
      <c r="D14" s="268" t="s">
        <v>6245</v>
      </c>
      <c r="E14" s="269"/>
      <c r="F14" s="268" t="s">
        <v>6824</v>
      </c>
      <c r="G14" s="254" t="s">
        <v>6875</v>
      </c>
      <c r="H14">
        <v>1</v>
      </c>
      <c r="L14" s="122">
        <v>0</v>
      </c>
      <c r="O14">
        <v>8.0000000000000002E-3</v>
      </c>
      <c r="P14">
        <v>6.0000000000000001E-3</v>
      </c>
      <c r="Q14">
        <v>5.0000000000000001E-3</v>
      </c>
      <c r="S14">
        <v>4</v>
      </c>
      <c r="U14" t="s">
        <v>6876</v>
      </c>
      <c r="V14" s="254" t="s">
        <v>4192</v>
      </c>
      <c r="W14">
        <v>1</v>
      </c>
      <c r="X14">
        <v>4104</v>
      </c>
      <c r="Y14">
        <v>4204</v>
      </c>
      <c r="Z14" s="254" t="s">
        <v>6854</v>
      </c>
      <c r="AG14" s="254" t="s">
        <v>6873</v>
      </c>
      <c r="AH14">
        <v>1</v>
      </c>
      <c r="AJ14">
        <v>3</v>
      </c>
      <c r="AK14">
        <v>60</v>
      </c>
      <c r="AL14">
        <v>10</v>
      </c>
    </row>
    <row r="15" spans="1:38">
      <c r="A15" s="254" t="s">
        <v>6246</v>
      </c>
      <c r="B15" s="252">
        <v>2</v>
      </c>
      <c r="C15" s="252">
        <v>1</v>
      </c>
      <c r="D15" s="252">
        <v>3</v>
      </c>
      <c r="E15" s="267"/>
      <c r="F15" s="268" t="s">
        <v>6824</v>
      </c>
      <c r="G15" s="254" t="s">
        <v>6877</v>
      </c>
      <c r="H15">
        <v>1</v>
      </c>
      <c r="L15" s="122">
        <v>0</v>
      </c>
      <c r="O15">
        <v>0.21</v>
      </c>
      <c r="P15">
        <v>0.21</v>
      </c>
      <c r="Q15">
        <v>8.0000000000000016E-2</v>
      </c>
      <c r="U15" t="s">
        <v>6878</v>
      </c>
      <c r="V15" s="254" t="s">
        <v>4192</v>
      </c>
      <c r="W15">
        <v>2</v>
      </c>
      <c r="X15">
        <v>4105</v>
      </c>
      <c r="Y15">
        <v>4205</v>
      </c>
      <c r="Z15" s="254" t="s">
        <v>6854</v>
      </c>
      <c r="AG15" s="254" t="s">
        <v>6873</v>
      </c>
      <c r="AH15">
        <v>2</v>
      </c>
      <c r="AJ15">
        <v>4</v>
      </c>
      <c r="AK15">
        <v>120</v>
      </c>
      <c r="AL15">
        <v>20</v>
      </c>
    </row>
    <row r="16" spans="1:38">
      <c r="A16" s="254" t="s">
        <v>6247</v>
      </c>
      <c r="B16" s="268" t="s">
        <v>6248</v>
      </c>
      <c r="C16" s="268" t="s">
        <v>6248</v>
      </c>
      <c r="D16" s="268" t="s">
        <v>6248</v>
      </c>
      <c r="E16" s="269"/>
      <c r="F16" s="268" t="s">
        <v>6823</v>
      </c>
      <c r="G16" s="265" t="s">
        <v>5316</v>
      </c>
      <c r="H16">
        <v>0</v>
      </c>
      <c r="I16">
        <v>1380.0000000000002</v>
      </c>
      <c r="J16">
        <v>1380.0000000000002</v>
      </c>
      <c r="L16" s="122">
        <v>1</v>
      </c>
      <c r="P16">
        <v>0.01</v>
      </c>
      <c r="S16">
        <v>2</v>
      </c>
      <c r="U16" s="254" t="s">
        <v>4180</v>
      </c>
      <c r="V16" s="254" t="s">
        <v>5317</v>
      </c>
      <c r="X16">
        <v>1101</v>
      </c>
      <c r="Y16">
        <v>1201</v>
      </c>
      <c r="Z16" s="254" t="s">
        <v>6879</v>
      </c>
      <c r="AG16" s="254" t="s">
        <v>6880</v>
      </c>
      <c r="AH16">
        <v>0</v>
      </c>
      <c r="AK16">
        <v>30</v>
      </c>
      <c r="AL16">
        <v>5</v>
      </c>
    </row>
    <row r="17" spans="1:38">
      <c r="A17" s="254" t="s">
        <v>6251</v>
      </c>
      <c r="B17" s="255" t="s">
        <v>6881</v>
      </c>
      <c r="C17" s="255" t="s">
        <v>6881</v>
      </c>
      <c r="D17" s="255" t="s">
        <v>6882</v>
      </c>
      <c r="E17" s="264"/>
      <c r="F17" s="255" t="s">
        <v>6823</v>
      </c>
      <c r="G17" s="265" t="s">
        <v>5316</v>
      </c>
      <c r="H17">
        <v>1</v>
      </c>
      <c r="I17">
        <v>461</v>
      </c>
      <c r="J17">
        <v>461</v>
      </c>
      <c r="K17">
        <v>30</v>
      </c>
      <c r="L17" s="122">
        <v>1</v>
      </c>
      <c r="M17" s="265" t="s">
        <v>6883</v>
      </c>
      <c r="N17">
        <v>9</v>
      </c>
      <c r="P17">
        <v>2.1399999999999999E-2</v>
      </c>
      <c r="S17">
        <v>4</v>
      </c>
      <c r="U17" t="s">
        <v>6884</v>
      </c>
      <c r="V17" s="254" t="s">
        <v>5317</v>
      </c>
      <c r="X17">
        <v>1103</v>
      </c>
      <c r="Y17">
        <v>1203</v>
      </c>
      <c r="Z17" s="254"/>
      <c r="AA17">
        <v>1</v>
      </c>
      <c r="AG17" s="254" t="s">
        <v>6880</v>
      </c>
      <c r="AH17">
        <v>1</v>
      </c>
      <c r="AK17">
        <v>60</v>
      </c>
      <c r="AL17">
        <v>10</v>
      </c>
    </row>
    <row r="18" spans="1:38">
      <c r="A18" s="254" t="s">
        <v>5335</v>
      </c>
      <c r="B18" s="252">
        <v>1</v>
      </c>
      <c r="C18" s="252">
        <v>0</v>
      </c>
      <c r="D18" s="252">
        <v>1</v>
      </c>
      <c r="F18" s="268" t="s">
        <v>6823</v>
      </c>
      <c r="G18" s="265" t="s">
        <v>5316</v>
      </c>
      <c r="H18">
        <v>2</v>
      </c>
      <c r="I18">
        <v>171</v>
      </c>
      <c r="J18">
        <v>171</v>
      </c>
      <c r="K18">
        <v>48</v>
      </c>
      <c r="L18" s="122">
        <v>1</v>
      </c>
      <c r="M18" s="265" t="s">
        <v>6885</v>
      </c>
      <c r="N18">
        <v>4</v>
      </c>
      <c r="P18">
        <v>0.16039999999999999</v>
      </c>
      <c r="Q18">
        <v>2.4400000000000002E-2</v>
      </c>
      <c r="S18">
        <v>8</v>
      </c>
      <c r="U18" t="s">
        <v>4181</v>
      </c>
      <c r="V18" s="254" t="s">
        <v>5317</v>
      </c>
      <c r="X18">
        <v>1104</v>
      </c>
      <c r="Y18">
        <v>1204</v>
      </c>
      <c r="Z18" s="254" t="s">
        <v>6879</v>
      </c>
      <c r="AG18" s="254" t="s">
        <v>6880</v>
      </c>
      <c r="AH18">
        <v>2</v>
      </c>
      <c r="AK18">
        <v>120</v>
      </c>
      <c r="AL18">
        <v>20</v>
      </c>
    </row>
    <row r="19" spans="1:38">
      <c r="F19" s="255" t="s">
        <v>6823</v>
      </c>
      <c r="G19" s="265" t="s">
        <v>5316</v>
      </c>
      <c r="H19">
        <v>3</v>
      </c>
      <c r="I19">
        <v>560</v>
      </c>
      <c r="J19">
        <v>0</v>
      </c>
      <c r="K19">
        <v>82</v>
      </c>
      <c r="L19" s="122">
        <v>1</v>
      </c>
      <c r="M19" s="265" t="s">
        <v>6886</v>
      </c>
      <c r="N19">
        <v>3</v>
      </c>
      <c r="Q19">
        <v>0.23699999999999999</v>
      </c>
      <c r="R19">
        <v>2.58E-2</v>
      </c>
      <c r="S19">
        <v>16</v>
      </c>
      <c r="U19" s="254" t="s">
        <v>4182</v>
      </c>
      <c r="V19" s="254" t="s">
        <v>5317</v>
      </c>
      <c r="X19">
        <v>1105</v>
      </c>
      <c r="Y19">
        <v>1205</v>
      </c>
      <c r="Z19" s="254" t="s">
        <v>6887</v>
      </c>
      <c r="AG19" s="254" t="s">
        <v>6888</v>
      </c>
      <c r="AH19">
        <v>0</v>
      </c>
      <c r="AI19">
        <v>330</v>
      </c>
      <c r="AJ19">
        <v>1</v>
      </c>
      <c r="AK19">
        <v>30</v>
      </c>
      <c r="AL19">
        <v>5</v>
      </c>
    </row>
    <row r="20" spans="1:38">
      <c r="F20" s="254" t="s">
        <v>6823</v>
      </c>
      <c r="G20" s="265" t="s">
        <v>5317</v>
      </c>
      <c r="H20">
        <v>0</v>
      </c>
      <c r="I20">
        <v>1056</v>
      </c>
      <c r="J20">
        <v>1056</v>
      </c>
      <c r="K20">
        <v>18</v>
      </c>
      <c r="L20" s="122">
        <v>1</v>
      </c>
      <c r="M20" s="265" t="s">
        <v>6831</v>
      </c>
      <c r="N20">
        <v>13</v>
      </c>
      <c r="O20">
        <v>1.7600000000000001E-2</v>
      </c>
      <c r="P20">
        <v>1.0800000000000001E-2</v>
      </c>
      <c r="S20">
        <v>2</v>
      </c>
      <c r="U20" t="s">
        <v>4183</v>
      </c>
      <c r="V20" s="254" t="s">
        <v>5317</v>
      </c>
      <c r="X20">
        <v>1106</v>
      </c>
      <c r="Y20">
        <v>1206</v>
      </c>
      <c r="Z20" s="254" t="s">
        <v>6887</v>
      </c>
      <c r="AG20" s="254" t="s">
        <v>6888</v>
      </c>
      <c r="AH20">
        <v>1</v>
      </c>
      <c r="AI20">
        <v>460</v>
      </c>
      <c r="AJ20">
        <v>2</v>
      </c>
      <c r="AK20">
        <v>60</v>
      </c>
      <c r="AL20">
        <v>10</v>
      </c>
    </row>
    <row r="21" spans="1:38">
      <c r="F21" s="254" t="s">
        <v>6823</v>
      </c>
      <c r="G21" s="265" t="s">
        <v>5317</v>
      </c>
      <c r="H21">
        <v>1</v>
      </c>
      <c r="I21">
        <v>400.99999999999994</v>
      </c>
      <c r="J21">
        <v>400.99999999999994</v>
      </c>
      <c r="K21">
        <v>26</v>
      </c>
      <c r="L21" s="122">
        <v>1</v>
      </c>
      <c r="M21" s="265" t="s">
        <v>6883</v>
      </c>
      <c r="N21">
        <v>9</v>
      </c>
      <c r="O21">
        <v>9.9000000000000005E-2</v>
      </c>
      <c r="P21">
        <v>2.1399999999999999E-2</v>
      </c>
      <c r="S21">
        <v>4</v>
      </c>
      <c r="U21" t="s">
        <v>5311</v>
      </c>
      <c r="V21" s="254" t="s">
        <v>5317</v>
      </c>
      <c r="X21">
        <v>1109</v>
      </c>
      <c r="Y21">
        <v>1209</v>
      </c>
      <c r="Z21" s="254" t="s">
        <v>6889</v>
      </c>
      <c r="AG21" s="254" t="s">
        <v>6888</v>
      </c>
      <c r="AH21">
        <v>2</v>
      </c>
      <c r="AI21">
        <v>710</v>
      </c>
      <c r="AJ21">
        <v>3</v>
      </c>
      <c r="AK21">
        <v>120</v>
      </c>
      <c r="AL21">
        <v>20</v>
      </c>
    </row>
    <row r="22" spans="1:38">
      <c r="A22" s="252"/>
      <c r="F22" s="254" t="s">
        <v>6823</v>
      </c>
      <c r="G22" s="265" t="s">
        <v>5317</v>
      </c>
      <c r="H22">
        <v>2</v>
      </c>
      <c r="I22">
        <v>126</v>
      </c>
      <c r="J22">
        <v>126</v>
      </c>
      <c r="K22">
        <v>42</v>
      </c>
      <c r="L22" s="122">
        <v>1</v>
      </c>
      <c r="M22" s="265" t="s">
        <v>6885</v>
      </c>
      <c r="N22">
        <v>4</v>
      </c>
      <c r="P22">
        <v>0.16039999999999999</v>
      </c>
      <c r="Q22">
        <v>2.4400000000000002E-2</v>
      </c>
      <c r="S22">
        <v>8</v>
      </c>
      <c r="U22" t="s">
        <v>6890</v>
      </c>
      <c r="V22" s="254" t="s">
        <v>5317</v>
      </c>
      <c r="X22">
        <v>1111</v>
      </c>
      <c r="Y22">
        <v>1211</v>
      </c>
      <c r="Z22" s="254" t="s">
        <v>6889</v>
      </c>
      <c r="AG22" s="254" t="s">
        <v>6888</v>
      </c>
      <c r="AH22">
        <v>3</v>
      </c>
      <c r="AI22">
        <v>1100</v>
      </c>
      <c r="AJ22">
        <v>4</v>
      </c>
      <c r="AK22">
        <v>240</v>
      </c>
      <c r="AL22">
        <v>40</v>
      </c>
    </row>
    <row r="23" spans="1:38">
      <c r="A23" s="252"/>
      <c r="F23" s="254" t="s">
        <v>6823</v>
      </c>
      <c r="G23" s="265" t="s">
        <v>5317</v>
      </c>
      <c r="H23">
        <v>3</v>
      </c>
      <c r="I23">
        <v>260</v>
      </c>
      <c r="J23">
        <v>0</v>
      </c>
      <c r="K23">
        <v>72</v>
      </c>
      <c r="L23" s="122">
        <v>1</v>
      </c>
      <c r="M23" s="265" t="s">
        <v>6886</v>
      </c>
      <c r="N23">
        <v>3</v>
      </c>
      <c r="Q23">
        <v>0.23699999999999999</v>
      </c>
      <c r="R23">
        <v>2.58E-2</v>
      </c>
      <c r="S23">
        <v>16</v>
      </c>
      <c r="U23" t="s">
        <v>6891</v>
      </c>
      <c r="V23" s="254" t="s">
        <v>5317</v>
      </c>
      <c r="X23">
        <v>1112</v>
      </c>
      <c r="Y23">
        <v>1212</v>
      </c>
      <c r="Z23" s="254" t="s">
        <v>6879</v>
      </c>
      <c r="AG23" s="254" t="s">
        <v>6892</v>
      </c>
      <c r="AH23">
        <v>0</v>
      </c>
      <c r="AI23">
        <v>340</v>
      </c>
      <c r="AJ23">
        <v>1</v>
      </c>
      <c r="AK23">
        <v>35</v>
      </c>
      <c r="AL23">
        <v>5</v>
      </c>
    </row>
    <row r="24" spans="1:38">
      <c r="A24" s="252"/>
      <c r="F24" s="254" t="s">
        <v>6823</v>
      </c>
      <c r="G24" s="265" t="s">
        <v>4192</v>
      </c>
      <c r="H24">
        <v>0</v>
      </c>
      <c r="I24">
        <v>0</v>
      </c>
      <c r="J24">
        <v>0</v>
      </c>
      <c r="L24" s="122">
        <v>0</v>
      </c>
      <c r="O24">
        <v>0.66</v>
      </c>
      <c r="P24">
        <v>0.33</v>
      </c>
      <c r="Q24">
        <v>0.01</v>
      </c>
      <c r="U24" t="s">
        <v>6893</v>
      </c>
      <c r="V24" s="254" t="s">
        <v>5317</v>
      </c>
      <c r="X24">
        <v>1113</v>
      </c>
      <c r="Y24">
        <v>1213</v>
      </c>
      <c r="Z24" s="254" t="s">
        <v>6887</v>
      </c>
      <c r="AB24">
        <v>99081</v>
      </c>
      <c r="AC24" s="273" t="s">
        <v>6894</v>
      </c>
      <c r="AD24" s="273" t="s">
        <v>6895</v>
      </c>
      <c r="AE24" s="273">
        <v>12321</v>
      </c>
      <c r="AG24" s="254" t="s">
        <v>6892</v>
      </c>
      <c r="AH24">
        <v>1</v>
      </c>
      <c r="AI24">
        <v>480</v>
      </c>
      <c r="AJ24">
        <v>2</v>
      </c>
      <c r="AK24">
        <v>65</v>
      </c>
      <c r="AL24">
        <v>10</v>
      </c>
    </row>
    <row r="25" spans="1:38">
      <c r="A25" s="252"/>
      <c r="F25" s="254" t="s">
        <v>6823</v>
      </c>
      <c r="G25" s="265" t="s">
        <v>4192</v>
      </c>
      <c r="H25">
        <v>1</v>
      </c>
      <c r="I25">
        <v>2000</v>
      </c>
      <c r="J25">
        <v>2000</v>
      </c>
      <c r="L25" s="122">
        <v>0</v>
      </c>
      <c r="P25">
        <v>0.9</v>
      </c>
      <c r="Q25">
        <v>0.1</v>
      </c>
      <c r="U25" s="3" t="s">
        <v>6896</v>
      </c>
      <c r="V25" s="254" t="s">
        <v>5317</v>
      </c>
      <c r="X25">
        <v>1114</v>
      </c>
      <c r="Y25">
        <v>1214</v>
      </c>
      <c r="Z25" s="254"/>
      <c r="AA25">
        <v>1</v>
      </c>
      <c r="AG25" s="254" t="s">
        <v>6892</v>
      </c>
      <c r="AH25">
        <v>2</v>
      </c>
      <c r="AI25">
        <v>750</v>
      </c>
      <c r="AJ25">
        <v>3</v>
      </c>
      <c r="AK25">
        <v>130</v>
      </c>
      <c r="AL25">
        <v>20</v>
      </c>
    </row>
    <row r="26" spans="1:38">
      <c r="A26" s="252"/>
      <c r="F26" s="254" t="s">
        <v>6823</v>
      </c>
      <c r="G26" s="265" t="s">
        <v>4192</v>
      </c>
      <c r="H26">
        <v>2</v>
      </c>
      <c r="I26">
        <v>3585</v>
      </c>
      <c r="J26">
        <v>4405</v>
      </c>
      <c r="L26" s="122">
        <v>0</v>
      </c>
      <c r="Q26">
        <v>1</v>
      </c>
      <c r="U26" t="s">
        <v>6897</v>
      </c>
      <c r="V26" s="254" t="s">
        <v>5317</v>
      </c>
      <c r="X26">
        <v>1115</v>
      </c>
      <c r="Y26">
        <v>1215</v>
      </c>
      <c r="Z26" s="254" t="s">
        <v>6879</v>
      </c>
      <c r="AG26" s="254" t="s">
        <v>6892</v>
      </c>
      <c r="AH26">
        <v>3</v>
      </c>
      <c r="AI26">
        <v>1150</v>
      </c>
      <c r="AJ26">
        <v>4</v>
      </c>
      <c r="AK26">
        <v>260</v>
      </c>
      <c r="AL26">
        <v>40</v>
      </c>
    </row>
    <row r="27" spans="1:38">
      <c r="A27" s="252"/>
      <c r="F27" s="254" t="s">
        <v>6823</v>
      </c>
      <c r="G27" s="254" t="s">
        <v>6871</v>
      </c>
      <c r="H27">
        <v>2</v>
      </c>
      <c r="L27" s="122">
        <v>0</v>
      </c>
      <c r="P27">
        <v>1.2E-2</v>
      </c>
      <c r="Q27">
        <v>8.9999999999999993E-3</v>
      </c>
      <c r="R27">
        <v>4.0000000000000001E-3</v>
      </c>
      <c r="S27">
        <v>8</v>
      </c>
      <c r="U27" t="s">
        <v>6898</v>
      </c>
      <c r="V27" s="254" t="s">
        <v>5317</v>
      </c>
      <c r="X27">
        <v>1116</v>
      </c>
      <c r="Y27">
        <v>1216</v>
      </c>
      <c r="Z27" s="254"/>
      <c r="AA27">
        <v>1</v>
      </c>
      <c r="AG27" s="254" t="s">
        <v>6899</v>
      </c>
      <c r="AH27">
        <v>0</v>
      </c>
      <c r="AI27">
        <v>360</v>
      </c>
      <c r="AJ27">
        <v>1</v>
      </c>
      <c r="AK27">
        <v>40</v>
      </c>
      <c r="AL27">
        <v>5</v>
      </c>
    </row>
    <row r="28" spans="1:38">
      <c r="A28" s="252"/>
      <c r="F28" s="254" t="s">
        <v>6823</v>
      </c>
      <c r="G28" s="254" t="s">
        <v>6875</v>
      </c>
      <c r="H28">
        <v>2</v>
      </c>
      <c r="L28" s="122">
        <v>0</v>
      </c>
      <c r="O28">
        <v>1.6E-2</v>
      </c>
      <c r="P28">
        <v>1.2E-2</v>
      </c>
      <c r="Q28">
        <v>8.9999999999999993E-3</v>
      </c>
      <c r="R28">
        <v>4.0000000000000001E-3</v>
      </c>
      <c r="S28">
        <v>8</v>
      </c>
      <c r="U28" t="s">
        <v>6900</v>
      </c>
      <c r="V28" s="254" t="s">
        <v>5317</v>
      </c>
      <c r="X28">
        <v>1117</v>
      </c>
      <c r="Y28">
        <v>1217</v>
      </c>
      <c r="Z28" s="254" t="s">
        <v>6879</v>
      </c>
      <c r="AG28" s="254" t="s">
        <v>6899</v>
      </c>
      <c r="AH28">
        <v>1</v>
      </c>
      <c r="AI28">
        <v>500</v>
      </c>
      <c r="AJ28">
        <v>2</v>
      </c>
      <c r="AK28">
        <v>70</v>
      </c>
      <c r="AL28">
        <v>10</v>
      </c>
    </row>
    <row r="29" spans="1:38">
      <c r="A29" s="252"/>
      <c r="F29" s="254" t="s">
        <v>6823</v>
      </c>
      <c r="G29" s="254" t="s">
        <v>6877</v>
      </c>
      <c r="H29">
        <v>2</v>
      </c>
      <c r="L29" s="122">
        <v>0</v>
      </c>
      <c r="P29">
        <v>0.33</v>
      </c>
      <c r="Q29">
        <v>0.17</v>
      </c>
      <c r="U29" t="s">
        <v>6901</v>
      </c>
      <c r="V29" s="254" t="s">
        <v>5317</v>
      </c>
      <c r="X29">
        <v>2101</v>
      </c>
      <c r="Y29">
        <v>2201</v>
      </c>
      <c r="Z29" s="254" t="s">
        <v>6879</v>
      </c>
      <c r="AG29" s="254" t="s">
        <v>6899</v>
      </c>
      <c r="AH29">
        <v>2</v>
      </c>
      <c r="AI29">
        <v>780</v>
      </c>
      <c r="AJ29">
        <v>3</v>
      </c>
      <c r="AK29">
        <v>140</v>
      </c>
      <c r="AL29">
        <v>20</v>
      </c>
    </row>
    <row r="30" spans="1:38">
      <c r="A30" s="252"/>
      <c r="F30" s="254" t="s">
        <v>6238</v>
      </c>
      <c r="G30" s="265" t="s">
        <v>5316</v>
      </c>
      <c r="H30">
        <v>0</v>
      </c>
      <c r="I30">
        <v>1380.0000000000002</v>
      </c>
      <c r="J30">
        <v>1380.0000000000002</v>
      </c>
      <c r="L30" s="122">
        <v>1</v>
      </c>
      <c r="P30">
        <v>1.4999999999999999E-2</v>
      </c>
      <c r="S30">
        <v>2</v>
      </c>
      <c r="U30" t="s">
        <v>4185</v>
      </c>
      <c r="V30" s="254" t="s">
        <v>5317</v>
      </c>
      <c r="X30">
        <v>2103</v>
      </c>
      <c r="Y30">
        <v>2203</v>
      </c>
      <c r="Z30" s="254" t="s">
        <v>6879</v>
      </c>
      <c r="AG30" s="254" t="s">
        <v>6899</v>
      </c>
      <c r="AH30">
        <v>3</v>
      </c>
      <c r="AI30">
        <v>1210</v>
      </c>
      <c r="AJ30">
        <v>4</v>
      </c>
      <c r="AK30">
        <v>280</v>
      </c>
      <c r="AL30">
        <v>40</v>
      </c>
    </row>
    <row r="31" spans="1:38">
      <c r="A31" s="252"/>
      <c r="F31" s="254" t="s">
        <v>6238</v>
      </c>
      <c r="G31" s="265" t="s">
        <v>5316</v>
      </c>
      <c r="H31">
        <v>1</v>
      </c>
      <c r="I31">
        <v>461</v>
      </c>
      <c r="J31">
        <v>461</v>
      </c>
      <c r="K31">
        <v>30</v>
      </c>
      <c r="L31" s="122">
        <v>1</v>
      </c>
      <c r="M31" s="265" t="s">
        <v>6883</v>
      </c>
      <c r="N31">
        <v>2</v>
      </c>
      <c r="P31">
        <v>1.9800000000000002E-2</v>
      </c>
      <c r="S31">
        <v>4</v>
      </c>
      <c r="U31" t="s">
        <v>6902</v>
      </c>
      <c r="V31" s="254" t="s">
        <v>5317</v>
      </c>
      <c r="X31">
        <v>2104</v>
      </c>
      <c r="Y31">
        <v>2204</v>
      </c>
      <c r="Z31" s="254"/>
      <c r="AA31">
        <v>1</v>
      </c>
      <c r="AG31" s="254" t="s">
        <v>6903</v>
      </c>
      <c r="AH31">
        <v>0</v>
      </c>
      <c r="AI31">
        <v>380</v>
      </c>
      <c r="AJ31">
        <v>1</v>
      </c>
      <c r="AK31">
        <v>45</v>
      </c>
      <c r="AL31">
        <v>5</v>
      </c>
    </row>
    <row r="32" spans="1:38">
      <c r="A32" s="252"/>
      <c r="F32" s="254" t="s">
        <v>6238</v>
      </c>
      <c r="G32" s="265" t="s">
        <v>5316</v>
      </c>
      <c r="H32">
        <v>2</v>
      </c>
      <c r="I32">
        <v>171</v>
      </c>
      <c r="J32">
        <v>171</v>
      </c>
      <c r="K32">
        <v>48</v>
      </c>
      <c r="L32" s="122">
        <v>1</v>
      </c>
      <c r="M32" s="265" t="s">
        <v>6885</v>
      </c>
      <c r="N32">
        <v>2</v>
      </c>
      <c r="P32">
        <v>0.26729999999999998</v>
      </c>
      <c r="Q32">
        <v>1.9800000000000002E-2</v>
      </c>
      <c r="S32">
        <v>8</v>
      </c>
      <c r="U32" t="s">
        <v>4186</v>
      </c>
      <c r="V32" s="254" t="s">
        <v>5317</v>
      </c>
      <c r="X32">
        <v>2105</v>
      </c>
      <c r="Y32">
        <v>2205</v>
      </c>
      <c r="Z32" s="254"/>
      <c r="AA32">
        <v>1</v>
      </c>
      <c r="AG32" s="254" t="s">
        <v>6903</v>
      </c>
      <c r="AH32">
        <v>1</v>
      </c>
      <c r="AI32">
        <v>520</v>
      </c>
      <c r="AJ32">
        <v>2</v>
      </c>
      <c r="AK32">
        <v>75</v>
      </c>
      <c r="AL32">
        <v>10</v>
      </c>
    </row>
    <row r="33" spans="1:38">
      <c r="A33" s="252"/>
      <c r="F33" s="254" t="s">
        <v>6238</v>
      </c>
      <c r="G33" s="265" t="s">
        <v>5316</v>
      </c>
      <c r="H33">
        <v>3</v>
      </c>
      <c r="I33">
        <v>560</v>
      </c>
      <c r="J33">
        <v>0</v>
      </c>
      <c r="K33">
        <v>82</v>
      </c>
      <c r="L33" s="122">
        <v>1</v>
      </c>
      <c r="M33" s="265" t="s">
        <v>6886</v>
      </c>
      <c r="N33">
        <v>3</v>
      </c>
      <c r="Q33">
        <v>0.31409999999999999</v>
      </c>
      <c r="R33">
        <v>0.1205</v>
      </c>
      <c r="S33">
        <v>16</v>
      </c>
      <c r="U33" t="s">
        <v>6904</v>
      </c>
      <c r="V33" s="254" t="s">
        <v>5317</v>
      </c>
      <c r="X33">
        <v>2106</v>
      </c>
      <c r="Y33">
        <v>2206</v>
      </c>
      <c r="Z33" s="254" t="s">
        <v>6879</v>
      </c>
      <c r="AG33" s="254" t="s">
        <v>6903</v>
      </c>
      <c r="AH33">
        <v>2</v>
      </c>
      <c r="AI33">
        <v>820</v>
      </c>
      <c r="AJ33">
        <v>3</v>
      </c>
      <c r="AK33">
        <v>150</v>
      </c>
      <c r="AL33">
        <v>20</v>
      </c>
    </row>
    <row r="34" spans="1:38">
      <c r="A34" s="252"/>
      <c r="F34" s="254" t="s">
        <v>6238</v>
      </c>
      <c r="G34" s="265" t="s">
        <v>5317</v>
      </c>
      <c r="H34">
        <v>0</v>
      </c>
      <c r="I34">
        <v>1056</v>
      </c>
      <c r="J34">
        <v>1056</v>
      </c>
      <c r="K34">
        <v>18</v>
      </c>
      <c r="L34" s="122">
        <v>1</v>
      </c>
      <c r="M34" s="265" t="s">
        <v>6831</v>
      </c>
      <c r="N34">
        <v>6</v>
      </c>
      <c r="O34">
        <v>1.6199999999999999E-2</v>
      </c>
      <c r="P34">
        <v>1.7399999999999999E-2</v>
      </c>
      <c r="S34">
        <v>2</v>
      </c>
      <c r="U34" t="s">
        <v>4187</v>
      </c>
      <c r="V34" s="254" t="s">
        <v>5317</v>
      </c>
      <c r="X34">
        <v>2107</v>
      </c>
      <c r="Y34">
        <v>2207</v>
      </c>
      <c r="Z34" s="254" t="s">
        <v>6879</v>
      </c>
      <c r="AG34" s="254" t="s">
        <v>6903</v>
      </c>
      <c r="AH34">
        <v>3</v>
      </c>
      <c r="AI34">
        <v>1260</v>
      </c>
      <c r="AJ34">
        <v>4</v>
      </c>
      <c r="AK34">
        <v>300</v>
      </c>
      <c r="AL34">
        <v>40</v>
      </c>
    </row>
    <row r="35" spans="1:38">
      <c r="A35" s="252"/>
      <c r="F35" s="254" t="s">
        <v>6238</v>
      </c>
      <c r="G35" s="265" t="s">
        <v>5317</v>
      </c>
      <c r="H35">
        <v>1</v>
      </c>
      <c r="I35">
        <v>400.99999999999994</v>
      </c>
      <c r="J35">
        <v>400.99999999999994</v>
      </c>
      <c r="K35">
        <v>26</v>
      </c>
      <c r="L35" s="122">
        <v>1</v>
      </c>
      <c r="M35" s="265" t="s">
        <v>6883</v>
      </c>
      <c r="N35">
        <v>2</v>
      </c>
      <c r="O35">
        <v>0.14849999999999999</v>
      </c>
      <c r="P35">
        <v>1.9800000000000002E-2</v>
      </c>
      <c r="S35">
        <v>4</v>
      </c>
      <c r="U35" t="s">
        <v>6905</v>
      </c>
      <c r="V35" s="254" t="s">
        <v>5317</v>
      </c>
      <c r="X35">
        <v>2108</v>
      </c>
      <c r="Y35">
        <v>2208</v>
      </c>
      <c r="Z35" s="254"/>
      <c r="AA35">
        <v>1</v>
      </c>
    </row>
    <row r="36" spans="1:38">
      <c r="A36" s="252"/>
      <c r="F36" s="254" t="s">
        <v>6238</v>
      </c>
      <c r="G36" s="265" t="s">
        <v>5317</v>
      </c>
      <c r="H36">
        <v>2</v>
      </c>
      <c r="I36">
        <v>126</v>
      </c>
      <c r="J36">
        <v>126</v>
      </c>
      <c r="K36">
        <v>42</v>
      </c>
      <c r="L36" s="122">
        <v>1</v>
      </c>
      <c r="M36" s="265" t="s">
        <v>6885</v>
      </c>
      <c r="N36">
        <v>2</v>
      </c>
      <c r="P36">
        <v>0.26729999999999998</v>
      </c>
      <c r="Q36">
        <v>1.9800000000000002E-2</v>
      </c>
      <c r="S36">
        <v>8</v>
      </c>
      <c r="U36" t="s">
        <v>6906</v>
      </c>
      <c r="V36" s="254" t="s">
        <v>5317</v>
      </c>
      <c r="X36">
        <v>2109</v>
      </c>
      <c r="Y36">
        <v>2209</v>
      </c>
      <c r="Z36" s="254" t="s">
        <v>6879</v>
      </c>
    </row>
    <row r="37" spans="1:38">
      <c r="A37" s="252"/>
      <c r="F37" s="254" t="s">
        <v>6238</v>
      </c>
      <c r="G37" s="265" t="s">
        <v>5317</v>
      </c>
      <c r="H37">
        <v>3</v>
      </c>
      <c r="I37">
        <v>260</v>
      </c>
      <c r="J37">
        <v>0</v>
      </c>
      <c r="K37">
        <v>72</v>
      </c>
      <c r="L37" s="122">
        <v>1</v>
      </c>
      <c r="M37" s="265" t="s">
        <v>6886</v>
      </c>
      <c r="N37">
        <v>3</v>
      </c>
      <c r="Q37">
        <v>0.31409999999999999</v>
      </c>
      <c r="R37">
        <v>0.1205</v>
      </c>
      <c r="S37">
        <v>16</v>
      </c>
      <c r="U37" t="s">
        <v>6907</v>
      </c>
      <c r="V37" s="254" t="s">
        <v>5317</v>
      </c>
      <c r="X37">
        <v>2110</v>
      </c>
      <c r="Y37">
        <v>2210</v>
      </c>
      <c r="Z37" s="254"/>
      <c r="AA37">
        <v>1</v>
      </c>
    </row>
    <row r="38" spans="1:38">
      <c r="F38" s="254" t="s">
        <v>6238</v>
      </c>
      <c r="G38" s="265" t="s">
        <v>4192</v>
      </c>
      <c r="H38">
        <v>0</v>
      </c>
      <c r="I38">
        <v>0</v>
      </c>
      <c r="J38">
        <v>0</v>
      </c>
      <c r="L38" s="122">
        <v>0</v>
      </c>
      <c r="O38">
        <v>0.66</v>
      </c>
      <c r="P38">
        <v>0.33</v>
      </c>
      <c r="Q38">
        <v>0.01</v>
      </c>
      <c r="U38" t="s">
        <v>4190</v>
      </c>
      <c r="V38" s="254" t="s">
        <v>5317</v>
      </c>
      <c r="X38">
        <v>2111</v>
      </c>
      <c r="Y38">
        <v>2211</v>
      </c>
      <c r="Z38" s="254" t="s">
        <v>6879</v>
      </c>
    </row>
    <row r="39" spans="1:38">
      <c r="F39" s="254" t="s">
        <v>6238</v>
      </c>
      <c r="G39" s="265" t="s">
        <v>4192</v>
      </c>
      <c r="H39">
        <v>1</v>
      </c>
      <c r="I39">
        <v>2000</v>
      </c>
      <c r="J39">
        <v>2000</v>
      </c>
      <c r="L39" s="122">
        <v>0</v>
      </c>
      <c r="P39">
        <v>0.9</v>
      </c>
      <c r="Q39">
        <v>0.1</v>
      </c>
      <c r="U39" t="s">
        <v>4189</v>
      </c>
      <c r="V39" s="254" t="s">
        <v>5317</v>
      </c>
      <c r="X39">
        <v>2112</v>
      </c>
      <c r="Y39">
        <v>2212</v>
      </c>
      <c r="Z39" s="254" t="s">
        <v>6879</v>
      </c>
    </row>
    <row r="40" spans="1:38">
      <c r="F40" s="254" t="s">
        <v>6238</v>
      </c>
      <c r="G40" s="265" t="s">
        <v>4192</v>
      </c>
      <c r="H40">
        <v>2</v>
      </c>
      <c r="I40">
        <v>3585</v>
      </c>
      <c r="J40">
        <v>4405</v>
      </c>
      <c r="L40" s="122">
        <v>0</v>
      </c>
      <c r="Q40">
        <v>1</v>
      </c>
      <c r="U40" t="s">
        <v>6908</v>
      </c>
      <c r="V40" s="254" t="s">
        <v>5317</v>
      </c>
      <c r="X40">
        <v>2122</v>
      </c>
      <c r="Y40">
        <v>2222</v>
      </c>
      <c r="Z40" s="254" t="s">
        <v>6889</v>
      </c>
    </row>
    <row r="41" spans="1:38">
      <c r="F41" s="254" t="s">
        <v>6238</v>
      </c>
      <c r="G41" s="254" t="s">
        <v>6871</v>
      </c>
      <c r="H41">
        <v>2</v>
      </c>
      <c r="L41" s="122">
        <v>0</v>
      </c>
      <c r="P41">
        <v>1.2E-2</v>
      </c>
      <c r="Q41">
        <v>8.9999999999999993E-3</v>
      </c>
      <c r="R41">
        <v>4.0000000000000001E-3</v>
      </c>
      <c r="S41">
        <v>8</v>
      </c>
      <c r="U41" t="s">
        <v>6909</v>
      </c>
      <c r="V41" s="254" t="s">
        <v>5317</v>
      </c>
      <c r="X41">
        <v>2124</v>
      </c>
      <c r="Y41">
        <v>2224</v>
      </c>
      <c r="Z41" s="254" t="s">
        <v>6889</v>
      </c>
    </row>
    <row r="42" spans="1:38">
      <c r="F42" s="254" t="s">
        <v>6238</v>
      </c>
      <c r="G42" s="254" t="s">
        <v>6875</v>
      </c>
      <c r="H42">
        <v>2</v>
      </c>
      <c r="L42" s="122">
        <v>0</v>
      </c>
      <c r="O42">
        <v>1.6E-2</v>
      </c>
      <c r="P42">
        <v>1.2E-2</v>
      </c>
      <c r="Q42">
        <v>8.9999999999999993E-3</v>
      </c>
      <c r="R42">
        <v>4.0000000000000001E-3</v>
      </c>
      <c r="S42">
        <v>8</v>
      </c>
      <c r="U42" t="s">
        <v>6910</v>
      </c>
      <c r="V42" s="254" t="s">
        <v>5317</v>
      </c>
      <c r="X42">
        <v>2125</v>
      </c>
      <c r="Y42">
        <v>2225</v>
      </c>
      <c r="Z42" s="254" t="s">
        <v>6879</v>
      </c>
    </row>
    <row r="43" spans="1:38">
      <c r="F43" s="254" t="s">
        <v>6238</v>
      </c>
      <c r="G43" s="254" t="s">
        <v>6877</v>
      </c>
      <c r="H43">
        <v>2</v>
      </c>
      <c r="L43" s="122">
        <v>0</v>
      </c>
      <c r="P43">
        <v>0.33</v>
      </c>
      <c r="Q43">
        <v>0.17</v>
      </c>
      <c r="U43" t="s">
        <v>6911</v>
      </c>
      <c r="V43" s="254" t="s">
        <v>5317</v>
      </c>
      <c r="X43">
        <v>2126</v>
      </c>
      <c r="Y43">
        <v>2226</v>
      </c>
      <c r="Z43" s="254" t="s">
        <v>6887</v>
      </c>
      <c r="AB43">
        <v>99111</v>
      </c>
      <c r="AC43" s="273" t="s">
        <v>6912</v>
      </c>
      <c r="AD43" s="273" t="s">
        <v>6913</v>
      </c>
      <c r="AE43" s="273">
        <v>12351</v>
      </c>
    </row>
    <row r="44" spans="1:38">
      <c r="U44" t="s">
        <v>6914</v>
      </c>
      <c r="V44" s="254" t="s">
        <v>5317</v>
      </c>
      <c r="X44">
        <v>2127</v>
      </c>
      <c r="Y44">
        <v>2227</v>
      </c>
      <c r="Z44" s="254"/>
      <c r="AA44">
        <v>1</v>
      </c>
    </row>
    <row r="45" spans="1:38">
      <c r="U45" t="s">
        <v>6915</v>
      </c>
      <c r="V45" s="254" t="s">
        <v>5317</v>
      </c>
      <c r="X45">
        <v>2128</v>
      </c>
      <c r="Y45">
        <v>2228</v>
      </c>
      <c r="Z45" s="254" t="s">
        <v>6879</v>
      </c>
    </row>
    <row r="46" spans="1:38">
      <c r="U46" t="s">
        <v>6916</v>
      </c>
      <c r="V46" s="254" t="s">
        <v>5317</v>
      </c>
      <c r="X46">
        <v>2129</v>
      </c>
      <c r="Y46">
        <v>2229</v>
      </c>
      <c r="Z46" s="254"/>
      <c r="AA46">
        <v>1</v>
      </c>
    </row>
    <row r="47" spans="1:38">
      <c r="U47" t="s">
        <v>6917</v>
      </c>
      <c r="V47" s="254" t="s">
        <v>5317</v>
      </c>
      <c r="X47">
        <v>2130</v>
      </c>
      <c r="Y47">
        <v>2230</v>
      </c>
      <c r="Z47" s="254" t="s">
        <v>6879</v>
      </c>
    </row>
    <row r="48" spans="1:38">
      <c r="U48" t="s">
        <v>6918</v>
      </c>
      <c r="V48" s="254" t="s">
        <v>5317</v>
      </c>
      <c r="X48">
        <v>2131</v>
      </c>
      <c r="Y48">
        <v>2231</v>
      </c>
      <c r="Z48" s="254"/>
      <c r="AA48">
        <v>1</v>
      </c>
    </row>
    <row r="49" spans="21:27">
      <c r="U49" t="s">
        <v>6919</v>
      </c>
      <c r="V49" s="254" t="s">
        <v>5317</v>
      </c>
      <c r="X49">
        <v>2132</v>
      </c>
      <c r="Y49">
        <v>2232</v>
      </c>
      <c r="Z49" s="254" t="s">
        <v>6879</v>
      </c>
    </row>
    <row r="50" spans="21:27">
      <c r="U50" t="s">
        <v>6920</v>
      </c>
      <c r="V50" s="254" t="s">
        <v>5317</v>
      </c>
      <c r="X50">
        <v>2133</v>
      </c>
      <c r="Y50">
        <v>2233</v>
      </c>
      <c r="Z50" s="254" t="s">
        <v>6879</v>
      </c>
    </row>
    <row r="51" spans="21:27">
      <c r="U51" t="s">
        <v>6921</v>
      </c>
      <c r="V51" s="254" t="s">
        <v>5317</v>
      </c>
      <c r="X51">
        <v>2134</v>
      </c>
      <c r="Y51">
        <v>2234</v>
      </c>
      <c r="Z51" s="254"/>
      <c r="AA51">
        <v>1</v>
      </c>
    </row>
    <row r="52" spans="21:27">
      <c r="U52" t="s">
        <v>4178</v>
      </c>
      <c r="V52" s="254" t="s">
        <v>5317</v>
      </c>
      <c r="X52">
        <v>3101</v>
      </c>
      <c r="Y52">
        <v>3201</v>
      </c>
      <c r="Z52" s="254" t="s">
        <v>6879</v>
      </c>
    </row>
    <row r="53" spans="21:27">
      <c r="U53" t="s">
        <v>6922</v>
      </c>
      <c r="V53" s="254" t="s">
        <v>5317</v>
      </c>
      <c r="X53">
        <v>3102</v>
      </c>
      <c r="Y53">
        <v>3202</v>
      </c>
      <c r="Z53" s="254"/>
      <c r="AA53">
        <v>1</v>
      </c>
    </row>
    <row r="54" spans="21:27">
      <c r="U54" t="s">
        <v>4179</v>
      </c>
      <c r="V54" s="254" t="s">
        <v>5317</v>
      </c>
      <c r="X54">
        <v>3103</v>
      </c>
      <c r="Y54">
        <v>3203</v>
      </c>
      <c r="Z54" s="254" t="s">
        <v>6879</v>
      </c>
    </row>
    <row r="55" spans="21:27">
      <c r="U55" t="s">
        <v>6923</v>
      </c>
      <c r="V55" s="254" t="s">
        <v>5317</v>
      </c>
      <c r="X55">
        <v>3106</v>
      </c>
      <c r="Y55">
        <v>3206</v>
      </c>
      <c r="Z55" s="254" t="s">
        <v>6889</v>
      </c>
    </row>
    <row r="56" spans="21:27">
      <c r="U56" t="s">
        <v>6924</v>
      </c>
      <c r="V56" s="254" t="s">
        <v>5317</v>
      </c>
      <c r="X56">
        <v>3107</v>
      </c>
      <c r="Y56">
        <v>3207</v>
      </c>
      <c r="Z56" s="254" t="s">
        <v>6879</v>
      </c>
    </row>
    <row r="57" spans="21:27">
      <c r="U57" t="s">
        <v>6925</v>
      </c>
      <c r="V57" s="254" t="s">
        <v>5317</v>
      </c>
      <c r="X57">
        <v>3108</v>
      </c>
      <c r="Y57">
        <v>3208</v>
      </c>
      <c r="Z57" s="254" t="s">
        <v>6879</v>
      </c>
    </row>
    <row r="58" spans="21:27">
      <c r="U58" t="s">
        <v>6926</v>
      </c>
      <c r="V58" s="254" t="s">
        <v>5317</v>
      </c>
      <c r="X58">
        <v>3109</v>
      </c>
      <c r="Y58">
        <v>3209</v>
      </c>
      <c r="Z58" s="254"/>
      <c r="AA58">
        <v>1</v>
      </c>
    </row>
    <row r="59" spans="21:27">
      <c r="U59" t="s">
        <v>4175</v>
      </c>
      <c r="V59" s="254" t="s">
        <v>5317</v>
      </c>
      <c r="X59">
        <v>4101</v>
      </c>
      <c r="Y59">
        <v>4201</v>
      </c>
      <c r="Z59" s="254" t="s">
        <v>6879</v>
      </c>
    </row>
    <row r="60" spans="21:27">
      <c r="U60" t="s">
        <v>6927</v>
      </c>
      <c r="V60" s="254" t="s">
        <v>5317</v>
      </c>
      <c r="X60">
        <v>4102</v>
      </c>
      <c r="Y60">
        <v>4202</v>
      </c>
      <c r="Z60" s="254"/>
      <c r="AA60">
        <v>1</v>
      </c>
    </row>
    <row r="61" spans="21:27">
      <c r="U61" t="s">
        <v>4177</v>
      </c>
      <c r="V61" s="254" t="s">
        <v>5317</v>
      </c>
      <c r="X61">
        <v>4103</v>
      </c>
      <c r="Y61">
        <v>4203</v>
      </c>
      <c r="Z61" s="254" t="s">
        <v>6879</v>
      </c>
    </row>
    <row r="62" spans="21:27">
      <c r="U62" t="s">
        <v>6928</v>
      </c>
      <c r="V62" s="254" t="s">
        <v>5317</v>
      </c>
      <c r="X62">
        <v>4104</v>
      </c>
      <c r="Y62">
        <v>4204</v>
      </c>
      <c r="Z62" s="254" t="s">
        <v>6889</v>
      </c>
    </row>
    <row r="63" spans="21:27">
      <c r="U63" t="s">
        <v>6929</v>
      </c>
      <c r="V63" s="254" t="s">
        <v>5317</v>
      </c>
      <c r="X63">
        <v>4105</v>
      </c>
      <c r="Y63">
        <v>4205</v>
      </c>
      <c r="Z63" s="254" t="s">
        <v>6879</v>
      </c>
    </row>
    <row r="64" spans="21:27">
      <c r="U64" t="s">
        <v>6930</v>
      </c>
      <c r="V64" s="254" t="s">
        <v>5317</v>
      </c>
      <c r="X64">
        <v>4106</v>
      </c>
      <c r="Y64">
        <v>4206</v>
      </c>
      <c r="Z64" s="254"/>
      <c r="AA64">
        <v>1</v>
      </c>
    </row>
    <row r="65" spans="21:31">
      <c r="U65" t="s">
        <v>6931</v>
      </c>
      <c r="V65" s="254" t="s">
        <v>5317</v>
      </c>
      <c r="X65">
        <v>4107</v>
      </c>
      <c r="Y65">
        <v>4207</v>
      </c>
      <c r="Z65" s="254" t="s">
        <v>6879</v>
      </c>
    </row>
    <row r="66" spans="21:31">
      <c r="U66" t="s">
        <v>6932</v>
      </c>
      <c r="V66" s="254" t="s">
        <v>5316</v>
      </c>
      <c r="X66">
        <v>11102</v>
      </c>
      <c r="Y66">
        <v>11202</v>
      </c>
      <c r="AA66">
        <v>1</v>
      </c>
    </row>
    <row r="67" spans="21:31">
      <c r="U67" t="s">
        <v>5303</v>
      </c>
      <c r="V67" s="254" t="s">
        <v>5316</v>
      </c>
      <c r="X67">
        <v>11103</v>
      </c>
      <c r="Y67">
        <v>11203</v>
      </c>
      <c r="Z67" s="254" t="s">
        <v>6879</v>
      </c>
    </row>
    <row r="68" spans="21:31">
      <c r="U68" t="s">
        <v>5304</v>
      </c>
      <c r="V68" s="254" t="s">
        <v>5316</v>
      </c>
      <c r="X68">
        <v>11104</v>
      </c>
      <c r="Y68">
        <v>11204</v>
      </c>
      <c r="Z68" s="254" t="s">
        <v>6887</v>
      </c>
    </row>
    <row r="69" spans="21:31">
      <c r="U69" t="s">
        <v>6933</v>
      </c>
      <c r="V69" s="254" t="s">
        <v>5316</v>
      </c>
      <c r="X69">
        <v>11105</v>
      </c>
      <c r="Y69">
        <v>11205</v>
      </c>
      <c r="Z69" s="254" t="s">
        <v>6887</v>
      </c>
    </row>
    <row r="70" spans="21:31">
      <c r="U70" t="s">
        <v>6934</v>
      </c>
      <c r="V70" s="254" t="s">
        <v>5316</v>
      </c>
      <c r="X70">
        <v>11106</v>
      </c>
      <c r="Y70">
        <v>11206</v>
      </c>
      <c r="Z70" s="254" t="s">
        <v>6889</v>
      </c>
    </row>
    <row r="71" spans="21:31">
      <c r="U71" t="s">
        <v>6935</v>
      </c>
      <c r="V71" s="254" t="s">
        <v>5316</v>
      </c>
      <c r="X71">
        <v>11108</v>
      </c>
      <c r="Y71">
        <v>11208</v>
      </c>
      <c r="Z71" s="254" t="s">
        <v>6879</v>
      </c>
    </row>
    <row r="72" spans="21:31">
      <c r="U72" t="s">
        <v>6936</v>
      </c>
      <c r="V72" s="254" t="s">
        <v>5316</v>
      </c>
      <c r="X72">
        <v>11109</v>
      </c>
      <c r="Y72">
        <v>11209</v>
      </c>
      <c r="AA72">
        <v>1</v>
      </c>
    </row>
    <row r="73" spans="21:31">
      <c r="U73" t="s">
        <v>6937</v>
      </c>
      <c r="V73" s="254" t="s">
        <v>5316</v>
      </c>
      <c r="X73">
        <v>11110</v>
      </c>
      <c r="Y73">
        <v>11210</v>
      </c>
      <c r="Z73" s="254" t="s">
        <v>6879</v>
      </c>
    </row>
    <row r="74" spans="21:31">
      <c r="U74" t="s">
        <v>6938</v>
      </c>
      <c r="V74" s="254" t="s">
        <v>5316</v>
      </c>
      <c r="X74">
        <v>11111</v>
      </c>
      <c r="Y74">
        <v>11211</v>
      </c>
      <c r="Z74" s="254" t="s">
        <v>6887</v>
      </c>
      <c r="AB74">
        <v>99061</v>
      </c>
      <c r="AC74" s="273" t="s">
        <v>6272</v>
      </c>
      <c r="AD74" s="273" t="s">
        <v>6939</v>
      </c>
      <c r="AE74" s="273">
        <v>12301</v>
      </c>
    </row>
    <row r="75" spans="21:31">
      <c r="U75" t="s">
        <v>6940</v>
      </c>
      <c r="V75" s="254" t="s">
        <v>5316</v>
      </c>
      <c r="X75">
        <v>11112</v>
      </c>
      <c r="Y75">
        <v>11212</v>
      </c>
      <c r="Z75" s="254" t="s">
        <v>6887</v>
      </c>
      <c r="AB75">
        <v>99101</v>
      </c>
      <c r="AC75" s="273" t="s">
        <v>6941</v>
      </c>
      <c r="AD75" s="273" t="s">
        <v>6942</v>
      </c>
      <c r="AE75" s="273">
        <v>12341</v>
      </c>
    </row>
    <row r="76" spans="21:31">
      <c r="U76" t="s">
        <v>6943</v>
      </c>
      <c r="V76" s="254" t="s">
        <v>5316</v>
      </c>
      <c r="X76">
        <v>14102</v>
      </c>
      <c r="Y76">
        <v>14202</v>
      </c>
      <c r="AA76">
        <v>1</v>
      </c>
    </row>
    <row r="77" spans="21:31">
      <c r="U77" t="s">
        <v>5300</v>
      </c>
      <c r="V77" s="254" t="s">
        <v>5316</v>
      </c>
      <c r="X77">
        <v>14103</v>
      </c>
      <c r="Y77">
        <v>14203</v>
      </c>
      <c r="Z77" s="254" t="s">
        <v>6879</v>
      </c>
    </row>
    <row r="78" spans="21:31">
      <c r="U78" t="s">
        <v>5301</v>
      </c>
      <c r="V78" s="254" t="s">
        <v>5316</v>
      </c>
      <c r="X78">
        <v>14104</v>
      </c>
      <c r="Y78">
        <v>14204</v>
      </c>
      <c r="Z78" s="254" t="s">
        <v>6887</v>
      </c>
    </row>
    <row r="79" spans="21:31">
      <c r="U79" t="s">
        <v>5302</v>
      </c>
      <c r="V79" s="254" t="s">
        <v>5316</v>
      </c>
      <c r="X79">
        <v>14105</v>
      </c>
      <c r="Y79">
        <v>14205</v>
      </c>
      <c r="Z79" s="254" t="s">
        <v>6887</v>
      </c>
    </row>
    <row r="80" spans="21:31">
      <c r="U80" t="s">
        <v>6944</v>
      </c>
      <c r="V80" s="254" t="s">
        <v>5316</v>
      </c>
      <c r="X80">
        <v>14106</v>
      </c>
      <c r="Y80">
        <v>14206</v>
      </c>
      <c r="Z80" s="254" t="s">
        <v>6889</v>
      </c>
    </row>
    <row r="81" spans="21:31">
      <c r="U81" t="s">
        <v>6945</v>
      </c>
      <c r="V81" s="254" t="s">
        <v>5316</v>
      </c>
      <c r="X81">
        <v>14108</v>
      </c>
      <c r="Y81">
        <v>14208</v>
      </c>
      <c r="Z81" s="254" t="s">
        <v>6879</v>
      </c>
    </row>
    <row r="82" spans="21:31">
      <c r="U82" t="s">
        <v>6946</v>
      </c>
      <c r="V82" s="254" t="s">
        <v>5316</v>
      </c>
      <c r="X82">
        <v>14109</v>
      </c>
      <c r="Y82">
        <v>14209</v>
      </c>
      <c r="AA82">
        <v>1</v>
      </c>
    </row>
    <row r="83" spans="21:31">
      <c r="U83" t="s">
        <v>6947</v>
      </c>
      <c r="V83" s="254" t="s">
        <v>5316</v>
      </c>
      <c r="X83">
        <v>14110</v>
      </c>
      <c r="Y83">
        <v>14210</v>
      </c>
      <c r="Z83" s="254" t="s">
        <v>6879</v>
      </c>
    </row>
    <row r="84" spans="21:31">
      <c r="U84" t="s">
        <v>6948</v>
      </c>
      <c r="V84" s="254" t="s">
        <v>5316</v>
      </c>
      <c r="X84">
        <v>14111</v>
      </c>
      <c r="Y84">
        <v>14211</v>
      </c>
      <c r="Z84" s="254" t="s">
        <v>6887</v>
      </c>
      <c r="AB84">
        <v>99071</v>
      </c>
      <c r="AC84" s="273" t="s">
        <v>6274</v>
      </c>
      <c r="AD84" s="273" t="s">
        <v>6949</v>
      </c>
      <c r="AE84" s="273">
        <v>12311</v>
      </c>
    </row>
    <row r="85" spans="21:31">
      <c r="U85" t="s">
        <v>6950</v>
      </c>
      <c r="V85" s="254" t="s">
        <v>5316</v>
      </c>
      <c r="X85">
        <v>14112</v>
      </c>
      <c r="Y85">
        <v>14212</v>
      </c>
      <c r="Z85" s="254" t="s">
        <v>6887</v>
      </c>
      <c r="AB85">
        <v>99091</v>
      </c>
      <c r="AC85" s="273" t="s">
        <v>6951</v>
      </c>
      <c r="AD85" s="273" t="s">
        <v>6952</v>
      </c>
      <c r="AE85" s="273">
        <v>12331</v>
      </c>
    </row>
    <row r="86" spans="21:31">
      <c r="U86" t="s">
        <v>6953</v>
      </c>
      <c r="V86" s="254" t="s">
        <v>5316</v>
      </c>
      <c r="X86">
        <v>15302</v>
      </c>
      <c r="Y86">
        <v>15302</v>
      </c>
      <c r="AA86">
        <v>1</v>
      </c>
    </row>
    <row r="87" spans="21:31">
      <c r="U87" t="s">
        <v>5299</v>
      </c>
      <c r="V87" s="254" t="s">
        <v>5316</v>
      </c>
      <c r="X87">
        <v>15303</v>
      </c>
      <c r="Y87">
        <v>15303</v>
      </c>
      <c r="Z87" s="254" t="s">
        <v>6879</v>
      </c>
    </row>
    <row r="88" spans="21:31">
      <c r="U88" t="s">
        <v>6954</v>
      </c>
      <c r="V88" s="254" t="s">
        <v>5316</v>
      </c>
      <c r="X88">
        <v>15304</v>
      </c>
      <c r="Y88">
        <v>15304</v>
      </c>
      <c r="Z88" s="254" t="s">
        <v>6889</v>
      </c>
    </row>
    <row r="89" spans="21:31">
      <c r="U89" t="s">
        <v>6955</v>
      </c>
      <c r="V89" s="254" t="s">
        <v>5316</v>
      </c>
      <c r="X89">
        <v>15306</v>
      </c>
      <c r="Y89">
        <v>15306</v>
      </c>
      <c r="Z89" s="254" t="s">
        <v>6879</v>
      </c>
    </row>
    <row r="90" spans="21:31">
      <c r="U90" t="s">
        <v>6956</v>
      </c>
      <c r="V90" s="254" t="s">
        <v>5316</v>
      </c>
      <c r="X90">
        <v>15307</v>
      </c>
      <c r="Y90">
        <v>15307</v>
      </c>
      <c r="AA90">
        <v>1</v>
      </c>
    </row>
    <row r="91" spans="21:31">
      <c r="U91" t="s">
        <v>6957</v>
      </c>
      <c r="V91" s="254" t="s">
        <v>5316</v>
      </c>
      <c r="X91">
        <v>15308</v>
      </c>
      <c r="Y91">
        <v>15308</v>
      </c>
      <c r="Z91" s="254" t="s">
        <v>6879</v>
      </c>
    </row>
    <row r="92" spans="21:31">
      <c r="U92" t="s">
        <v>5297</v>
      </c>
      <c r="V92" s="254" t="s">
        <v>5316</v>
      </c>
      <c r="X92">
        <v>22102</v>
      </c>
      <c r="Y92">
        <v>22202</v>
      </c>
      <c r="Z92" s="254" t="s">
        <v>6879</v>
      </c>
    </row>
    <row r="93" spans="21:31">
      <c r="U93" t="s">
        <v>5298</v>
      </c>
      <c r="V93" s="254" t="s">
        <v>5316</v>
      </c>
      <c r="X93">
        <v>22103</v>
      </c>
      <c r="Y93">
        <v>22203</v>
      </c>
      <c r="Z93" s="254" t="s">
        <v>6879</v>
      </c>
    </row>
    <row r="94" spans="21:31">
      <c r="U94" t="s">
        <v>6958</v>
      </c>
      <c r="V94" s="254" t="s">
        <v>5316</v>
      </c>
      <c r="X94">
        <v>22105</v>
      </c>
      <c r="Y94">
        <v>22205</v>
      </c>
      <c r="Z94" s="254" t="s">
        <v>6889</v>
      </c>
    </row>
    <row r="95" spans="21:31">
      <c r="U95" t="s">
        <v>6959</v>
      </c>
      <c r="V95" s="254" t="s">
        <v>5316</v>
      </c>
      <c r="X95">
        <v>22106</v>
      </c>
      <c r="Y95">
        <v>22206</v>
      </c>
      <c r="Z95" s="254" t="s">
        <v>6879</v>
      </c>
    </row>
    <row r="96" spans="21:31">
      <c r="U96" t="s">
        <v>6960</v>
      </c>
      <c r="V96" s="254" t="s">
        <v>5316</v>
      </c>
      <c r="X96">
        <v>22107</v>
      </c>
      <c r="Y96">
        <v>22207</v>
      </c>
      <c r="AA96">
        <v>1</v>
      </c>
    </row>
    <row r="97" spans="21:26">
      <c r="U97" t="s">
        <v>6961</v>
      </c>
      <c r="V97" s="254" t="s">
        <v>5316</v>
      </c>
      <c r="X97">
        <v>22108</v>
      </c>
      <c r="Y97">
        <v>22208</v>
      </c>
      <c r="Z97" s="254" t="s">
        <v>6879</v>
      </c>
    </row>
    <row r="98" spans="21:26">
      <c r="U98" t="s">
        <v>5295</v>
      </c>
      <c r="V98" s="254" t="s">
        <v>5316</v>
      </c>
      <c r="X98">
        <v>23102</v>
      </c>
      <c r="Y98">
        <v>23202</v>
      </c>
      <c r="Z98" s="254" t="s">
        <v>6879</v>
      </c>
    </row>
    <row r="99" spans="21:26">
      <c r="U99" t="s">
        <v>5296</v>
      </c>
      <c r="V99" s="254" t="s">
        <v>5316</v>
      </c>
      <c r="X99">
        <v>23103</v>
      </c>
      <c r="Y99">
        <v>23203</v>
      </c>
      <c r="Z99" s="254" t="s">
        <v>6879</v>
      </c>
    </row>
    <row r="100" spans="21:26">
      <c r="U100" t="s">
        <v>6962</v>
      </c>
      <c r="V100" s="254" t="s">
        <v>5316</v>
      </c>
      <c r="X100">
        <v>23104</v>
      </c>
      <c r="Y100">
        <v>23204</v>
      </c>
      <c r="Z100" s="254" t="s">
        <v>6889</v>
      </c>
    </row>
    <row r="101" spans="21:26">
      <c r="U101" t="s">
        <v>6963</v>
      </c>
      <c r="V101" s="254" t="s">
        <v>5316</v>
      </c>
      <c r="X101">
        <v>23106</v>
      </c>
      <c r="Y101">
        <v>23206</v>
      </c>
      <c r="Z101" s="254" t="s">
        <v>6879</v>
      </c>
    </row>
    <row r="102" spans="21:26">
      <c r="U102" t="s">
        <v>6964</v>
      </c>
      <c r="V102" s="254" t="s">
        <v>5316</v>
      </c>
      <c r="X102">
        <v>23107</v>
      </c>
      <c r="Y102">
        <v>23207</v>
      </c>
      <c r="Z102" s="254" t="s">
        <v>6879</v>
      </c>
    </row>
    <row r="103" spans="21:26">
      <c r="U103" t="s">
        <v>6965</v>
      </c>
      <c r="V103" s="254" t="s">
        <v>5316</v>
      </c>
      <c r="X103">
        <v>23108</v>
      </c>
      <c r="Y103">
        <v>23208</v>
      </c>
      <c r="Z103" s="254" t="s">
        <v>6879</v>
      </c>
    </row>
  </sheetData>
  <phoneticPr fontId="71" type="noConversion"/>
  <conditionalFormatting sqref="F1:S1048576">
    <cfRule type="expression" dxfId="981" priority="2">
      <formula>(奖池="高级")</formula>
    </cfRule>
  </conditionalFormatting>
  <conditionalFormatting sqref="U1:AE1048576">
    <cfRule type="expression" dxfId="980" priority="1">
      <formula>(物品类型="服饰")</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34" r:id="rId4" name="Button 10">
              <controlPr defaultSize="0" print="0" autoFill="0" autoPict="0" macro="[0]!python_gacha">
                <anchor moveWithCells="1" sizeWithCells="1">
                  <from>
                    <xdr:col>1</xdr:col>
                    <xdr:colOff>1781175</xdr:colOff>
                    <xdr:row>0</xdr:row>
                    <xdr:rowOff>66675</xdr:rowOff>
                  </from>
                  <to>
                    <xdr:col>2</xdr:col>
                    <xdr:colOff>409575</xdr:colOff>
                    <xdr:row>1</xdr:row>
                    <xdr:rowOff>190500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247E9-41DF-4DB8-B1F5-E97C51EAE420}">
  <sheetPr codeName="Sheet19"/>
  <dimension ref="A1:K115"/>
  <sheetViews>
    <sheetView topLeftCell="A4" workbookViewId="0">
      <selection activeCell="Q15" sqref="A1:Q15"/>
    </sheetView>
  </sheetViews>
  <sheetFormatPr defaultRowHeight="16.5"/>
  <cols>
    <col min="2" max="2" width="33.125" customWidth="1"/>
    <col min="3" max="3" width="14" customWidth="1"/>
    <col min="9" max="9" width="22" customWidth="1"/>
    <col min="11" max="11" width="26" customWidth="1"/>
  </cols>
  <sheetData>
    <row r="1" spans="1:11">
      <c r="A1" s="125" t="s">
        <v>4678</v>
      </c>
      <c r="I1" s="125" t="s">
        <v>4679</v>
      </c>
    </row>
    <row r="2" spans="1:11">
      <c r="A2" s="129" t="s">
        <v>4585</v>
      </c>
      <c r="B2" s="129">
        <v>1</v>
      </c>
      <c r="I2" s="139" t="s">
        <v>4585</v>
      </c>
      <c r="J2" s="139">
        <v>1</v>
      </c>
    </row>
    <row r="3" spans="1:11">
      <c r="A3" s="130"/>
      <c r="B3" s="130"/>
    </row>
    <row r="4" spans="1:11">
      <c r="A4" s="131" t="s">
        <v>4586</v>
      </c>
      <c r="B4" s="131" t="s">
        <v>4587</v>
      </c>
      <c r="C4" s="131" t="s">
        <v>4588</v>
      </c>
      <c r="I4" s="131" t="s">
        <v>4586</v>
      </c>
      <c r="J4" s="131" t="s">
        <v>4587</v>
      </c>
      <c r="K4" s="131" t="s">
        <v>4588</v>
      </c>
    </row>
    <row r="5" spans="1:11">
      <c r="A5" s="120" t="s">
        <v>4589</v>
      </c>
      <c r="B5" s="130" t="s">
        <v>4590</v>
      </c>
      <c r="C5" s="132" t="s">
        <v>4591</v>
      </c>
      <c r="I5" s="122" t="s">
        <v>4296</v>
      </c>
      <c r="J5" s="125" t="s">
        <v>4680</v>
      </c>
      <c r="K5" s="133">
        <v>0.1</v>
      </c>
    </row>
    <row r="6" spans="1:11">
      <c r="A6" s="120" t="s">
        <v>4592</v>
      </c>
      <c r="B6" s="130" t="s">
        <v>4593</v>
      </c>
      <c r="C6" s="132"/>
      <c r="I6" s="122" t="s">
        <v>4297</v>
      </c>
      <c r="J6" s="125" t="s">
        <v>4681</v>
      </c>
      <c r="K6" s="133">
        <v>0.1</v>
      </c>
    </row>
    <row r="7" spans="1:11">
      <c r="A7" s="120" t="s">
        <v>4594</v>
      </c>
      <c r="B7" s="130" t="s">
        <v>4590</v>
      </c>
      <c r="C7" s="132"/>
      <c r="I7" s="122" t="s">
        <v>4298</v>
      </c>
      <c r="J7" s="140" t="s">
        <v>4682</v>
      </c>
      <c r="K7" s="133">
        <v>0.1</v>
      </c>
    </row>
    <row r="8" spans="1:11">
      <c r="A8" s="120" t="s">
        <v>4595</v>
      </c>
      <c r="B8" s="130" t="s">
        <v>4593</v>
      </c>
      <c r="C8" s="132"/>
      <c r="I8" s="122" t="s">
        <v>4299</v>
      </c>
      <c r="J8" t="s">
        <v>4662</v>
      </c>
      <c r="K8" s="133">
        <v>0.1</v>
      </c>
    </row>
    <row r="9" spans="1:11">
      <c r="A9" s="120" t="s">
        <v>4596</v>
      </c>
      <c r="B9" s="130" t="s">
        <v>4597</v>
      </c>
      <c r="C9" s="132"/>
      <c r="I9" s="122" t="s">
        <v>4300</v>
      </c>
      <c r="J9" t="s">
        <v>4663</v>
      </c>
      <c r="K9" s="133">
        <v>0.1</v>
      </c>
    </row>
    <row r="10" spans="1:11">
      <c r="A10" s="120" t="s">
        <v>4598</v>
      </c>
      <c r="B10" s="130" t="s">
        <v>4597</v>
      </c>
      <c r="C10" s="132"/>
      <c r="I10" s="122" t="s">
        <v>4301</v>
      </c>
      <c r="J10" t="s">
        <v>4664</v>
      </c>
      <c r="K10" s="133">
        <v>0.1</v>
      </c>
    </row>
    <row r="11" spans="1:11">
      <c r="A11" s="120"/>
      <c r="B11" s="130"/>
      <c r="C11" s="132"/>
      <c r="I11" s="122" t="s">
        <v>4302</v>
      </c>
      <c r="J11" t="s">
        <v>4645</v>
      </c>
      <c r="K11" s="133">
        <v>0.1</v>
      </c>
    </row>
    <row r="12" spans="1:11">
      <c r="A12" s="120" t="s">
        <v>4599</v>
      </c>
      <c r="B12" s="130" t="s">
        <v>4600</v>
      </c>
      <c r="C12" s="132"/>
      <c r="I12" s="122" t="s">
        <v>4303</v>
      </c>
      <c r="J12" t="s">
        <v>4665</v>
      </c>
      <c r="K12" s="133">
        <v>0.1</v>
      </c>
    </row>
    <row r="13" spans="1:11">
      <c r="A13" s="120" t="s">
        <v>4601</v>
      </c>
      <c r="B13" s="130" t="s">
        <v>4602</v>
      </c>
      <c r="C13" s="132"/>
      <c r="I13" s="122" t="s">
        <v>4304</v>
      </c>
      <c r="J13" t="s">
        <v>4666</v>
      </c>
      <c r="K13" s="133">
        <v>0.1</v>
      </c>
    </row>
    <row r="14" spans="1:11">
      <c r="A14" s="120" t="s">
        <v>4603</v>
      </c>
      <c r="B14" s="130" t="s">
        <v>4604</v>
      </c>
      <c r="C14" s="132"/>
      <c r="I14" s="122" t="s">
        <v>4667</v>
      </c>
      <c r="J14" s="125" t="s">
        <v>4683</v>
      </c>
      <c r="K14" s="132" t="s">
        <v>4591</v>
      </c>
    </row>
    <row r="15" spans="1:11">
      <c r="A15" s="120" t="s">
        <v>4605</v>
      </c>
      <c r="B15" s="130" t="s">
        <v>4606</v>
      </c>
      <c r="C15" s="132"/>
      <c r="I15" s="122" t="s">
        <v>4668</v>
      </c>
      <c r="J15" s="125" t="s">
        <v>4683</v>
      </c>
      <c r="K15" s="132"/>
    </row>
    <row r="16" spans="1:11">
      <c r="A16" s="120" t="s">
        <v>4607</v>
      </c>
      <c r="B16" s="130" t="s">
        <v>4608</v>
      </c>
      <c r="C16" s="132"/>
      <c r="I16" s="122" t="s">
        <v>4669</v>
      </c>
      <c r="J16" s="125" t="s">
        <v>4683</v>
      </c>
      <c r="K16" s="132"/>
    </row>
    <row r="17" spans="1:11">
      <c r="A17" s="120" t="s">
        <v>4609</v>
      </c>
      <c r="B17" s="130" t="s">
        <v>4608</v>
      </c>
      <c r="C17" s="132"/>
      <c r="I17" s="122" t="s">
        <v>4670</v>
      </c>
      <c r="J17" s="125" t="s">
        <v>4683</v>
      </c>
      <c r="K17" s="132"/>
    </row>
    <row r="18" spans="1:11">
      <c r="A18" s="120"/>
      <c r="B18" s="130"/>
      <c r="C18" s="132"/>
      <c r="I18" s="122" t="s">
        <v>4671</v>
      </c>
      <c r="J18" s="125" t="s">
        <v>4685</v>
      </c>
      <c r="K18" s="132"/>
    </row>
    <row r="19" spans="1:11">
      <c r="A19" s="120" t="s">
        <v>4610</v>
      </c>
      <c r="B19" s="130" t="s">
        <v>4611</v>
      </c>
      <c r="C19" s="132"/>
      <c r="I19" s="122" t="s">
        <v>4672</v>
      </c>
      <c r="J19" s="125" t="s">
        <v>4686</v>
      </c>
      <c r="K19" s="132"/>
    </row>
    <row r="20" spans="1:11">
      <c r="A20" s="120" t="s">
        <v>4612</v>
      </c>
      <c r="B20" s="130" t="s">
        <v>4613</v>
      </c>
      <c r="C20" s="132"/>
      <c r="I20" s="122" t="s">
        <v>4673</v>
      </c>
      <c r="J20" s="125" t="s">
        <v>4684</v>
      </c>
      <c r="K20" s="132"/>
    </row>
    <row r="21" spans="1:11">
      <c r="A21" s="120" t="s">
        <v>4614</v>
      </c>
      <c r="B21" s="130" t="s">
        <v>4615</v>
      </c>
      <c r="C21" s="132"/>
      <c r="I21" s="122"/>
      <c r="K21" s="133"/>
    </row>
    <row r="22" spans="1:11">
      <c r="A22" s="120" t="s">
        <v>4616</v>
      </c>
      <c r="B22" s="130" t="s">
        <v>4617</v>
      </c>
      <c r="C22" s="132"/>
      <c r="I22" s="122" t="s">
        <v>4224</v>
      </c>
      <c r="K22" s="133">
        <v>0.1</v>
      </c>
    </row>
    <row r="23" spans="1:11">
      <c r="A23" s="120" t="s">
        <v>4618</v>
      </c>
      <c r="B23" s="130" t="s">
        <v>4619</v>
      </c>
      <c r="C23" s="132"/>
      <c r="I23" s="122" t="s">
        <v>4225</v>
      </c>
      <c r="K23" s="132" t="s">
        <v>4591</v>
      </c>
    </row>
    <row r="24" spans="1:11">
      <c r="A24" s="120" t="s">
        <v>4620</v>
      </c>
      <c r="B24" s="130" t="s">
        <v>4621</v>
      </c>
      <c r="C24" s="132"/>
      <c r="I24" s="122" t="s">
        <v>4226</v>
      </c>
      <c r="K24" s="133">
        <v>0.1</v>
      </c>
    </row>
    <row r="25" spans="1:11">
      <c r="A25" s="120" t="s">
        <v>4622</v>
      </c>
      <c r="B25" s="130" t="s">
        <v>4623</v>
      </c>
      <c r="C25" s="132"/>
      <c r="I25" s="122" t="s">
        <v>4227</v>
      </c>
      <c r="K25" s="133">
        <v>0.1</v>
      </c>
    </row>
    <row r="26" spans="1:11">
      <c r="A26" s="120" t="s">
        <v>4624</v>
      </c>
      <c r="B26" s="130" t="s">
        <v>4625</v>
      </c>
      <c r="C26" s="132"/>
      <c r="I26" s="122" t="s">
        <v>4228</v>
      </c>
      <c r="K26" s="132" t="s">
        <v>4591</v>
      </c>
    </row>
    <row r="27" spans="1:11">
      <c r="A27" s="120" t="s">
        <v>4626</v>
      </c>
      <c r="B27" s="130" t="s">
        <v>4627</v>
      </c>
      <c r="C27" s="132"/>
      <c r="I27" s="122" t="s">
        <v>4229</v>
      </c>
      <c r="K27" s="133">
        <v>0.1</v>
      </c>
    </row>
    <row r="28" spans="1:11">
      <c r="A28" s="120" t="s">
        <v>4628</v>
      </c>
      <c r="B28" s="130" t="s">
        <v>4629</v>
      </c>
      <c r="C28" s="132"/>
      <c r="I28" s="122" t="s">
        <v>4223</v>
      </c>
      <c r="J28" s="125" t="s">
        <v>4687</v>
      </c>
      <c r="K28" s="133">
        <v>0.1</v>
      </c>
    </row>
    <row r="29" spans="1:11">
      <c r="A29" s="120" t="s">
        <v>4630</v>
      </c>
      <c r="B29" s="130" t="s">
        <v>4631</v>
      </c>
      <c r="C29" s="132"/>
      <c r="I29" s="122" t="s">
        <v>4231</v>
      </c>
      <c r="J29" s="125" t="s">
        <v>4687</v>
      </c>
      <c r="K29" s="132" t="s">
        <v>4591</v>
      </c>
    </row>
    <row r="30" spans="1:11">
      <c r="A30" s="120"/>
      <c r="B30" s="130"/>
      <c r="C30" s="133"/>
      <c r="I30" s="123" t="s">
        <v>4232</v>
      </c>
      <c r="J30" s="125" t="s">
        <v>4687</v>
      </c>
      <c r="K30" s="135">
        <v>0.1</v>
      </c>
    </row>
    <row r="31" spans="1:11">
      <c r="A31" s="120" t="s">
        <v>4224</v>
      </c>
      <c r="B31" s="130" t="s">
        <v>4632</v>
      </c>
      <c r="C31" s="133"/>
    </row>
    <row r="32" spans="1:11">
      <c r="A32" s="120" t="s">
        <v>4225</v>
      </c>
      <c r="B32" s="130"/>
      <c r="C32" s="133"/>
    </row>
    <row r="33" spans="1:11">
      <c r="A33" s="120" t="s">
        <v>4226</v>
      </c>
      <c r="B33" s="130"/>
      <c r="C33" s="133"/>
    </row>
    <row r="34" spans="1:11">
      <c r="A34" s="120" t="s">
        <v>4227</v>
      </c>
      <c r="B34" s="130" t="s">
        <v>4633</v>
      </c>
      <c r="C34" s="133"/>
    </row>
    <row r="35" spans="1:11">
      <c r="A35" s="120" t="s">
        <v>4228</v>
      </c>
      <c r="B35" s="130"/>
      <c r="C35" s="133"/>
      <c r="I35" s="129" t="s">
        <v>4654</v>
      </c>
      <c r="J35" s="129">
        <v>2</v>
      </c>
    </row>
    <row r="36" spans="1:11">
      <c r="A36" s="120" t="s">
        <v>4229</v>
      </c>
      <c r="B36" s="130"/>
      <c r="C36" s="133"/>
      <c r="I36" s="130"/>
      <c r="J36" s="130"/>
    </row>
    <row r="37" spans="1:11">
      <c r="A37" s="120" t="s">
        <v>4230</v>
      </c>
      <c r="B37" s="130" t="s">
        <v>4634</v>
      </c>
      <c r="C37" s="133"/>
      <c r="I37" s="131" t="s">
        <v>4586</v>
      </c>
      <c r="J37" s="131" t="s">
        <v>4587</v>
      </c>
      <c r="K37" s="131" t="s">
        <v>4588</v>
      </c>
    </row>
    <row r="38" spans="1:11">
      <c r="A38" s="120" t="s">
        <v>4231</v>
      </c>
      <c r="B38" s="130"/>
      <c r="C38" s="133"/>
      <c r="I38" s="136" t="s">
        <v>4296</v>
      </c>
      <c r="J38" s="137" t="s">
        <v>4655</v>
      </c>
      <c r="K38" s="138" t="s">
        <v>4591</v>
      </c>
    </row>
    <row r="39" spans="1:11">
      <c r="A39" s="120" t="s">
        <v>4232</v>
      </c>
      <c r="B39" s="130"/>
      <c r="C39" s="133"/>
      <c r="I39" s="120" t="s">
        <v>4297</v>
      </c>
      <c r="J39" s="130" t="s">
        <v>4656</v>
      </c>
      <c r="K39" s="132"/>
    </row>
    <row r="40" spans="1:11">
      <c r="A40" s="120" t="s">
        <v>4233</v>
      </c>
      <c r="B40" s="130" t="s">
        <v>4635</v>
      </c>
      <c r="C40" s="133"/>
      <c r="I40" s="120" t="s">
        <v>4298</v>
      </c>
      <c r="J40" s="130" t="s">
        <v>4688</v>
      </c>
      <c r="K40" s="132"/>
    </row>
    <row r="41" spans="1:11">
      <c r="A41" s="120" t="s">
        <v>4234</v>
      </c>
      <c r="B41" s="130"/>
      <c r="C41" s="133"/>
      <c r="I41" s="120" t="s">
        <v>4299</v>
      </c>
      <c r="J41" s="130" t="s">
        <v>4658</v>
      </c>
      <c r="K41" s="132"/>
    </row>
    <row r="42" spans="1:11">
      <c r="A42" s="120" t="s">
        <v>4235</v>
      </c>
      <c r="B42" s="130"/>
      <c r="C42" s="133"/>
      <c r="I42" s="120" t="s">
        <v>4300</v>
      </c>
      <c r="J42" s="130" t="s">
        <v>4674</v>
      </c>
      <c r="K42" s="133">
        <v>0</v>
      </c>
    </row>
    <row r="43" spans="1:11">
      <c r="A43" s="120" t="s">
        <v>4236</v>
      </c>
      <c r="B43" s="130" t="s">
        <v>4636</v>
      </c>
      <c r="C43" s="133"/>
      <c r="I43" s="120"/>
      <c r="J43" s="130"/>
      <c r="K43" s="133"/>
    </row>
    <row r="44" spans="1:11">
      <c r="A44" s="120" t="s">
        <v>4237</v>
      </c>
      <c r="B44" s="130"/>
      <c r="C44" s="133"/>
      <c r="I44" s="120" t="s">
        <v>4659</v>
      </c>
      <c r="J44" s="130" t="s">
        <v>4675</v>
      </c>
      <c r="K44" s="133">
        <v>0</v>
      </c>
    </row>
    <row r="45" spans="1:11">
      <c r="A45" s="120" t="s">
        <v>4238</v>
      </c>
      <c r="B45" s="130"/>
      <c r="C45" s="133"/>
      <c r="I45" s="120" t="s">
        <v>4660</v>
      </c>
      <c r="J45" s="130" t="s">
        <v>4675</v>
      </c>
      <c r="K45" s="133">
        <v>0</v>
      </c>
    </row>
    <row r="46" spans="1:11">
      <c r="A46" s="120" t="s">
        <v>4239</v>
      </c>
      <c r="B46" s="130" t="s">
        <v>4637</v>
      </c>
      <c r="C46" s="133"/>
      <c r="I46" s="120" t="s">
        <v>4661</v>
      </c>
      <c r="J46" s="130" t="s">
        <v>4675</v>
      </c>
      <c r="K46" s="133">
        <v>0.23</v>
      </c>
    </row>
    <row r="47" spans="1:11">
      <c r="A47" s="120" t="s">
        <v>4240</v>
      </c>
      <c r="B47" s="130"/>
      <c r="C47" s="133"/>
      <c r="I47" s="121" t="s">
        <v>4676</v>
      </c>
      <c r="J47" s="134" t="s">
        <v>4677</v>
      </c>
      <c r="K47" s="135">
        <v>0</v>
      </c>
    </row>
    <row r="48" spans="1:11">
      <c r="A48" s="120" t="s">
        <v>4241</v>
      </c>
      <c r="B48" s="130"/>
      <c r="C48" s="133"/>
    </row>
    <row r="49" spans="1:3">
      <c r="A49" s="120" t="s">
        <v>4242</v>
      </c>
      <c r="B49" s="130" t="s">
        <v>4638</v>
      </c>
      <c r="C49" s="133"/>
    </row>
    <row r="50" spans="1:3">
      <c r="A50" s="120" t="s">
        <v>4243</v>
      </c>
      <c r="B50" s="130"/>
      <c r="C50" s="133"/>
    </row>
    <row r="51" spans="1:3">
      <c r="A51" s="120" t="s">
        <v>4244</v>
      </c>
      <c r="B51" s="130"/>
      <c r="C51" s="133"/>
    </row>
    <row r="52" spans="1:3">
      <c r="A52" s="120" t="s">
        <v>4245</v>
      </c>
      <c r="B52" s="130" t="s">
        <v>4639</v>
      </c>
      <c r="C52" s="133"/>
    </row>
    <row r="53" spans="1:3">
      <c r="A53" s="120" t="s">
        <v>4246</v>
      </c>
      <c r="B53" s="130"/>
      <c r="C53" s="133"/>
    </row>
    <row r="54" spans="1:3">
      <c r="A54" s="120" t="s">
        <v>4247</v>
      </c>
      <c r="B54" s="130"/>
      <c r="C54" s="133"/>
    </row>
    <row r="55" spans="1:3">
      <c r="A55" s="120" t="s">
        <v>4248</v>
      </c>
      <c r="B55" s="130" t="s">
        <v>4640</v>
      </c>
      <c r="C55" s="133"/>
    </row>
    <row r="56" spans="1:3">
      <c r="A56" s="120" t="s">
        <v>4249</v>
      </c>
      <c r="B56" s="130"/>
      <c r="C56" s="133"/>
    </row>
    <row r="57" spans="1:3">
      <c r="A57" s="120" t="s">
        <v>4250</v>
      </c>
      <c r="B57" s="130"/>
      <c r="C57" s="133"/>
    </row>
    <row r="58" spans="1:3">
      <c r="A58" s="120" t="s">
        <v>4251</v>
      </c>
      <c r="B58" s="130" t="s">
        <v>4641</v>
      </c>
      <c r="C58" s="133"/>
    </row>
    <row r="59" spans="1:3">
      <c r="A59" s="120" t="s">
        <v>4252</v>
      </c>
      <c r="B59" s="130"/>
      <c r="C59" s="133"/>
    </row>
    <row r="60" spans="1:3">
      <c r="A60" s="120" t="s">
        <v>4253</v>
      </c>
      <c r="B60" s="130"/>
      <c r="C60" s="133"/>
    </row>
    <row r="61" spans="1:3">
      <c r="A61" s="120" t="s">
        <v>4254</v>
      </c>
      <c r="B61" s="130" t="s">
        <v>4642</v>
      </c>
      <c r="C61" s="133"/>
    </row>
    <row r="62" spans="1:3">
      <c r="A62" s="120" t="s">
        <v>4255</v>
      </c>
      <c r="B62" s="130"/>
      <c r="C62" s="133"/>
    </row>
    <row r="63" spans="1:3">
      <c r="A63" s="120" t="s">
        <v>4256</v>
      </c>
      <c r="B63" s="130"/>
      <c r="C63" s="133"/>
    </row>
    <row r="64" spans="1:3">
      <c r="A64" s="120" t="s">
        <v>4257</v>
      </c>
      <c r="B64" s="130" t="s">
        <v>4643</v>
      </c>
      <c r="C64" s="133"/>
    </row>
    <row r="65" spans="1:3">
      <c r="A65" s="120" t="s">
        <v>4258</v>
      </c>
      <c r="B65" s="130"/>
      <c r="C65" s="133"/>
    </row>
    <row r="66" spans="1:3">
      <c r="A66" s="120" t="s">
        <v>4259</v>
      </c>
      <c r="B66" s="130"/>
      <c r="C66" s="133"/>
    </row>
    <row r="67" spans="1:3">
      <c r="A67" s="120" t="s">
        <v>4260</v>
      </c>
      <c r="B67" s="130" t="s">
        <v>4644</v>
      </c>
      <c r="C67" s="133"/>
    </row>
    <row r="68" spans="1:3">
      <c r="A68" s="120" t="s">
        <v>4261</v>
      </c>
      <c r="B68" s="130"/>
      <c r="C68" s="133"/>
    </row>
    <row r="69" spans="1:3">
      <c r="A69" s="120" t="s">
        <v>4262</v>
      </c>
      <c r="B69" s="130"/>
      <c r="C69" s="133"/>
    </row>
    <row r="70" spans="1:3">
      <c r="A70" s="120" t="s">
        <v>4263</v>
      </c>
      <c r="B70" s="130" t="s">
        <v>4645</v>
      </c>
      <c r="C70" s="133"/>
    </row>
    <row r="71" spans="1:3">
      <c r="A71" s="120" t="s">
        <v>4264</v>
      </c>
      <c r="B71" s="130"/>
      <c r="C71" s="133"/>
    </row>
    <row r="72" spans="1:3">
      <c r="A72" s="120" t="s">
        <v>4265</v>
      </c>
      <c r="B72" s="130"/>
      <c r="C72" s="133"/>
    </row>
    <row r="73" spans="1:3">
      <c r="A73" s="120" t="s">
        <v>4266</v>
      </c>
      <c r="B73" s="130" t="s">
        <v>4646</v>
      </c>
      <c r="C73" s="133"/>
    </row>
    <row r="74" spans="1:3">
      <c r="A74" s="120" t="s">
        <v>4267</v>
      </c>
      <c r="B74" s="130"/>
      <c r="C74" s="133"/>
    </row>
    <row r="75" spans="1:3">
      <c r="A75" s="120" t="s">
        <v>4268</v>
      </c>
      <c r="B75" s="130"/>
      <c r="C75" s="133"/>
    </row>
    <row r="76" spans="1:3">
      <c r="A76" s="120" t="s">
        <v>4269</v>
      </c>
      <c r="B76" s="130" t="s">
        <v>4646</v>
      </c>
      <c r="C76" s="133"/>
    </row>
    <row r="77" spans="1:3">
      <c r="A77" s="120" t="s">
        <v>4270</v>
      </c>
      <c r="B77" s="130"/>
      <c r="C77" s="133"/>
    </row>
    <row r="78" spans="1:3">
      <c r="A78" s="120" t="s">
        <v>4271</v>
      </c>
      <c r="B78" s="130"/>
      <c r="C78" s="133"/>
    </row>
    <row r="79" spans="1:3">
      <c r="A79" s="120" t="s">
        <v>4272</v>
      </c>
      <c r="B79" s="130" t="s">
        <v>4647</v>
      </c>
      <c r="C79" s="133"/>
    </row>
    <row r="80" spans="1:3">
      <c r="A80" s="120" t="s">
        <v>4273</v>
      </c>
      <c r="B80" s="130"/>
      <c r="C80" s="133"/>
    </row>
    <row r="81" spans="1:3">
      <c r="A81" s="120" t="s">
        <v>4274</v>
      </c>
      <c r="B81" s="130"/>
      <c r="C81" s="133"/>
    </row>
    <row r="82" spans="1:3">
      <c r="A82" s="120" t="s">
        <v>4275</v>
      </c>
      <c r="B82" s="130" t="s">
        <v>4647</v>
      </c>
      <c r="C82" s="133"/>
    </row>
    <row r="83" spans="1:3">
      <c r="A83" s="120" t="s">
        <v>4276</v>
      </c>
      <c r="B83" s="130"/>
      <c r="C83" s="133"/>
    </row>
    <row r="84" spans="1:3">
      <c r="A84" s="120" t="s">
        <v>4277</v>
      </c>
      <c r="B84" s="130"/>
      <c r="C84" s="133"/>
    </row>
    <row r="85" spans="1:3">
      <c r="A85" s="120" t="s">
        <v>4278</v>
      </c>
      <c r="B85" s="130" t="s">
        <v>4648</v>
      </c>
      <c r="C85" s="133"/>
    </row>
    <row r="86" spans="1:3">
      <c r="A86" s="120" t="s">
        <v>4279</v>
      </c>
      <c r="B86" s="130"/>
      <c r="C86" s="133"/>
    </row>
    <row r="87" spans="1:3">
      <c r="A87" s="120" t="s">
        <v>4280</v>
      </c>
      <c r="B87" s="130"/>
      <c r="C87" s="133"/>
    </row>
    <row r="88" spans="1:3">
      <c r="A88" s="120" t="s">
        <v>4281</v>
      </c>
      <c r="B88" s="130" t="s">
        <v>4649</v>
      </c>
      <c r="C88" s="133"/>
    </row>
    <row r="89" spans="1:3">
      <c r="A89" s="120" t="s">
        <v>4282</v>
      </c>
      <c r="B89" s="130"/>
      <c r="C89" s="133"/>
    </row>
    <row r="90" spans="1:3">
      <c r="A90" s="120" t="s">
        <v>4283</v>
      </c>
      <c r="B90" s="130"/>
      <c r="C90" s="133"/>
    </row>
    <row r="91" spans="1:3">
      <c r="A91" s="120" t="s">
        <v>4284</v>
      </c>
      <c r="B91" s="130" t="s">
        <v>4650</v>
      </c>
      <c r="C91" s="133"/>
    </row>
    <row r="92" spans="1:3">
      <c r="A92" s="120" t="s">
        <v>4285</v>
      </c>
      <c r="B92" s="130"/>
      <c r="C92" s="133"/>
    </row>
    <row r="93" spans="1:3">
      <c r="A93" s="120" t="s">
        <v>4286</v>
      </c>
      <c r="B93" s="130"/>
      <c r="C93" s="133"/>
    </row>
    <row r="94" spans="1:3">
      <c r="A94" s="120" t="s">
        <v>4287</v>
      </c>
      <c r="B94" s="130" t="s">
        <v>4651</v>
      </c>
      <c r="C94" s="133"/>
    </row>
    <row r="95" spans="1:3">
      <c r="A95" s="120" t="s">
        <v>4288</v>
      </c>
      <c r="B95" s="130"/>
      <c r="C95" s="133"/>
    </row>
    <row r="96" spans="1:3">
      <c r="A96" s="120" t="s">
        <v>4289</v>
      </c>
      <c r="B96" s="130"/>
      <c r="C96" s="133"/>
    </row>
    <row r="97" spans="1:3">
      <c r="A97" s="120" t="s">
        <v>4290</v>
      </c>
      <c r="B97" s="130" t="s">
        <v>4652</v>
      </c>
      <c r="C97" s="133"/>
    </row>
    <row r="98" spans="1:3">
      <c r="A98" s="120" t="s">
        <v>4291</v>
      </c>
      <c r="B98" s="130"/>
      <c r="C98" s="133"/>
    </row>
    <row r="99" spans="1:3">
      <c r="A99" s="120" t="s">
        <v>4292</v>
      </c>
      <c r="B99" s="130"/>
      <c r="C99" s="133"/>
    </row>
    <row r="100" spans="1:3">
      <c r="A100" s="120" t="s">
        <v>4293</v>
      </c>
      <c r="B100" s="130" t="s">
        <v>4653</v>
      </c>
      <c r="C100" s="133"/>
    </row>
    <row r="101" spans="1:3">
      <c r="A101" s="120" t="s">
        <v>4294</v>
      </c>
      <c r="B101" s="130"/>
      <c r="C101" s="133"/>
    </row>
    <row r="102" spans="1:3">
      <c r="A102" s="121" t="s">
        <v>4295</v>
      </c>
      <c r="B102" s="134"/>
      <c r="C102" s="135"/>
    </row>
    <row r="103" spans="1:3">
      <c r="A103" s="130"/>
      <c r="B103" s="130"/>
    </row>
    <row r="104" spans="1:3">
      <c r="A104" s="130"/>
      <c r="B104" s="130"/>
    </row>
    <row r="105" spans="1:3">
      <c r="A105" s="130"/>
      <c r="B105" s="130"/>
    </row>
    <row r="106" spans="1:3">
      <c r="A106" s="129" t="s">
        <v>4654</v>
      </c>
      <c r="B106" s="129">
        <v>2</v>
      </c>
    </row>
    <row r="107" spans="1:3">
      <c r="A107" s="130"/>
      <c r="B107" s="130"/>
    </row>
    <row r="108" spans="1:3">
      <c r="A108" s="131" t="s">
        <v>4586</v>
      </c>
      <c r="B108" s="131" t="s">
        <v>4587</v>
      </c>
      <c r="C108" s="131" t="s">
        <v>4588</v>
      </c>
    </row>
    <row r="109" spans="1:3">
      <c r="A109" s="136" t="s">
        <v>4296</v>
      </c>
      <c r="B109" s="137" t="s">
        <v>4655</v>
      </c>
      <c r="C109" s="138" t="s">
        <v>4591</v>
      </c>
    </row>
    <row r="110" spans="1:3">
      <c r="A110" s="120" t="s">
        <v>4297</v>
      </c>
      <c r="B110" s="130" t="s">
        <v>4656</v>
      </c>
      <c r="C110" s="132"/>
    </row>
    <row r="111" spans="1:3">
      <c r="A111" s="120" t="s">
        <v>4298</v>
      </c>
      <c r="B111" s="130" t="s">
        <v>4657</v>
      </c>
      <c r="C111" s="132"/>
    </row>
    <row r="112" spans="1:3">
      <c r="A112" s="120" t="s">
        <v>4299</v>
      </c>
      <c r="B112" s="130" t="s">
        <v>4658</v>
      </c>
      <c r="C112" s="132"/>
    </row>
    <row r="113" spans="1:3">
      <c r="A113" s="120" t="s">
        <v>4659</v>
      </c>
      <c r="B113" s="130"/>
      <c r="C113" s="133">
        <v>0</v>
      </c>
    </row>
    <row r="114" spans="1:3">
      <c r="A114" s="120" t="s">
        <v>4660</v>
      </c>
      <c r="B114" s="130"/>
      <c r="C114" s="133">
        <v>0</v>
      </c>
    </row>
    <row r="115" spans="1:3">
      <c r="A115" s="121" t="s">
        <v>4661</v>
      </c>
      <c r="B115" s="134"/>
      <c r="C115" s="135">
        <v>0.23</v>
      </c>
    </row>
  </sheetData>
  <phoneticPr fontId="7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
  <dimension ref="A1:AT1089"/>
  <sheetViews>
    <sheetView zoomScaleNormal="100" workbookViewId="0">
      <pane xSplit="6" ySplit="1" topLeftCell="M2" activePane="bottomRight" state="frozen"/>
      <selection pane="topRight"/>
      <selection pane="bottomLeft"/>
      <selection pane="bottomRight" activeCell="S9" sqref="S9"/>
    </sheetView>
  </sheetViews>
  <sheetFormatPr defaultColWidth="9" defaultRowHeight="16.5" outlineLevelCol="2"/>
  <cols>
    <col min="1" max="1" width="6.75" style="98" customWidth="1"/>
    <col min="2" max="2" width="14.875" style="98" customWidth="1"/>
    <col min="3" max="3" width="4.75" style="98" customWidth="1" outlineLevel="1"/>
    <col min="4" max="4" width="6.625" style="98" customWidth="1" outlineLevel="1"/>
    <col min="5" max="5" width="16.125" style="98" customWidth="1" outlineLevel="1"/>
    <col min="6" max="6" width="4.5" style="98" customWidth="1" outlineLevel="1"/>
    <col min="7" max="7" width="12.5" style="98" bestFit="1" customWidth="1" outlineLevel="1"/>
    <col min="8" max="8" width="4.875" style="98" customWidth="1" outlineLevel="1"/>
    <col min="9" max="9" width="13.875" style="98" customWidth="1" outlineLevel="1"/>
    <col min="10" max="11" width="10.375" style="98" customWidth="1" outlineLevel="1"/>
    <col min="12" max="14" width="10.5" style="98" customWidth="1" outlineLevel="2"/>
    <col min="15" max="15" width="4.875" style="98" customWidth="1" outlineLevel="2"/>
    <col min="16" max="16" width="7.625" style="98" customWidth="1" outlineLevel="2"/>
    <col min="17" max="17" width="4.625" style="98" customWidth="1" outlineLevel="1"/>
    <col min="18" max="18" width="6" style="98" customWidth="1" outlineLevel="1"/>
    <col min="19" max="19" width="10.25" style="98" customWidth="1" outlineLevel="1"/>
    <col min="20" max="20" width="9.875" style="98" customWidth="1" outlineLevel="1"/>
    <col min="21" max="21" width="12.75" style="98" customWidth="1" outlineLevel="1"/>
    <col min="22" max="22" width="10.75" style="98" customWidth="1" outlineLevel="1"/>
    <col min="23" max="23" width="7.625" style="98" customWidth="1" outlineLevel="1"/>
    <col min="24" max="24" width="6" style="98" customWidth="1"/>
    <col min="25" max="25" width="4" style="98" customWidth="1"/>
    <col min="26" max="26" width="3.875" style="98" customWidth="1"/>
    <col min="27" max="27" width="9.875" style="98" customWidth="1"/>
    <col min="28" max="28" width="9" style="98"/>
    <col min="29" max="29" width="9" style="98" customWidth="1"/>
    <col min="30" max="35" width="9" style="98"/>
    <col min="36" max="36" width="6.375" style="98" customWidth="1"/>
    <col min="37" max="37" width="5.875" style="98" customWidth="1"/>
    <col min="38" max="39" width="4.25" style="98" customWidth="1"/>
    <col min="40" max="41" width="6" style="98" customWidth="1"/>
    <col min="42" max="42" width="6.375" style="98" customWidth="1"/>
    <col min="43" max="16384" width="9" style="98"/>
  </cols>
  <sheetData>
    <row r="1" spans="1:46" s="96" customFormat="1" ht="71.25" customHeight="1">
      <c r="A1" s="96" t="s">
        <v>68</v>
      </c>
      <c r="B1" s="96" t="s">
        <v>665</v>
      </c>
      <c r="C1" s="96" t="s">
        <v>666</v>
      </c>
      <c r="D1" s="96" t="s">
        <v>667</v>
      </c>
      <c r="E1" s="96" t="s">
        <v>668</v>
      </c>
      <c r="F1" s="96" t="s">
        <v>669</v>
      </c>
      <c r="G1" s="96" t="s">
        <v>670</v>
      </c>
      <c r="H1" s="96" t="s">
        <v>671</v>
      </c>
      <c r="I1" s="97" t="s">
        <v>672</v>
      </c>
      <c r="J1" s="96" t="s">
        <v>673</v>
      </c>
      <c r="K1" s="96" t="s">
        <v>674</v>
      </c>
      <c r="L1" s="96" t="s">
        <v>675</v>
      </c>
      <c r="M1" s="96" t="s">
        <v>676</v>
      </c>
      <c r="N1" s="96" t="s">
        <v>677</v>
      </c>
      <c r="O1" s="96" t="s">
        <v>678</v>
      </c>
      <c r="P1" s="96" t="s">
        <v>679</v>
      </c>
      <c r="Q1" s="96" t="s">
        <v>680</v>
      </c>
      <c r="S1" s="96" t="s">
        <v>681</v>
      </c>
      <c r="T1" s="96" t="s">
        <v>682</v>
      </c>
      <c r="U1" s="96" t="s">
        <v>683</v>
      </c>
      <c r="V1" s="96" t="s">
        <v>684</v>
      </c>
      <c r="W1" s="96" t="s">
        <v>685</v>
      </c>
      <c r="X1" s="96" t="s">
        <v>384</v>
      </c>
      <c r="Y1" s="96" t="s">
        <v>686</v>
      </c>
      <c r="Z1" s="96" t="s">
        <v>687</v>
      </c>
      <c r="AA1" s="96" t="s">
        <v>392</v>
      </c>
      <c r="AB1" s="96" t="s">
        <v>693</v>
      </c>
      <c r="AC1" s="96" t="s">
        <v>694</v>
      </c>
      <c r="AD1" s="96" t="s">
        <v>697</v>
      </c>
      <c r="AE1" s="96" t="s">
        <v>698</v>
      </c>
      <c r="AF1" s="96" t="s">
        <v>699</v>
      </c>
      <c r="AG1" s="96" t="s">
        <v>700</v>
      </c>
      <c r="AH1" s="96" t="s">
        <v>701</v>
      </c>
      <c r="AI1" s="96" t="s">
        <v>702</v>
      </c>
      <c r="AJ1" s="99" t="s">
        <v>691</v>
      </c>
      <c r="AK1" s="99" t="s">
        <v>692</v>
      </c>
      <c r="AL1" s="96" t="s">
        <v>6448</v>
      </c>
      <c r="AM1" s="96" t="s">
        <v>3599</v>
      </c>
      <c r="AN1" s="96" t="s">
        <v>689</v>
      </c>
      <c r="AO1" s="96" t="s">
        <v>690</v>
      </c>
      <c r="AP1" s="96" t="s">
        <v>688</v>
      </c>
      <c r="AQ1" s="96" t="s">
        <v>695</v>
      </c>
      <c r="AR1" s="96" t="s">
        <v>696</v>
      </c>
      <c r="AS1" s="96" t="s">
        <v>703</v>
      </c>
      <c r="AT1" s="96" t="s">
        <v>704</v>
      </c>
    </row>
    <row r="2" spans="1:46" s="124" customFormat="1">
      <c r="A2" s="124">
        <v>52550</v>
      </c>
      <c r="B2" s="124" t="s">
        <v>7166</v>
      </c>
      <c r="C2" s="124">
        <v>5</v>
      </c>
      <c r="E2" s="124" t="s">
        <v>7177</v>
      </c>
      <c r="F2" s="124">
        <v>2</v>
      </c>
      <c r="G2" s="124" t="s">
        <v>7162</v>
      </c>
      <c r="H2" s="124">
        <v>306</v>
      </c>
      <c r="I2" s="127" t="s">
        <v>7175</v>
      </c>
      <c r="J2" s="124">
        <v>1</v>
      </c>
      <c r="K2" s="124">
        <v>20781</v>
      </c>
      <c r="L2" s="124">
        <v>420783</v>
      </c>
      <c r="M2" s="124">
        <v>23</v>
      </c>
      <c r="N2" s="124">
        <v>41</v>
      </c>
      <c r="S2" s="124" t="s">
        <v>7163</v>
      </c>
      <c r="T2" s="124" t="s">
        <v>7164</v>
      </c>
      <c r="U2" s="124" t="s">
        <v>7184</v>
      </c>
      <c r="W2" s="124">
        <v>7</v>
      </c>
      <c r="X2" s="124" t="s">
        <v>4960</v>
      </c>
      <c r="Z2" s="124">
        <v>6</v>
      </c>
      <c r="AA2" s="124" t="s">
        <v>548</v>
      </c>
      <c r="AB2" s="124" t="s">
        <v>7180</v>
      </c>
      <c r="AC2" s="124">
        <v>4</v>
      </c>
      <c r="AD2" s="124" t="s">
        <v>7178</v>
      </c>
      <c r="AE2" s="124" t="s">
        <v>7179</v>
      </c>
      <c r="AF2" s="124" t="s">
        <v>7181</v>
      </c>
      <c r="AG2" s="124" t="s">
        <v>7182</v>
      </c>
      <c r="AH2" s="124" t="s">
        <v>7183</v>
      </c>
    </row>
    <row r="3" spans="1:46" s="124" customFormat="1">
      <c r="I3" s="127"/>
    </row>
    <row r="4" spans="1:46" s="124" customFormat="1">
      <c r="A4" s="124">
        <v>31820</v>
      </c>
      <c r="B4" s="255" t="s">
        <v>7127</v>
      </c>
      <c r="C4" s="124">
        <v>3</v>
      </c>
      <c r="E4" s="124" t="s">
        <v>7128</v>
      </c>
      <c r="F4" s="124">
        <v>1</v>
      </c>
      <c r="G4" s="278" t="s">
        <v>7133</v>
      </c>
      <c r="H4" s="124">
        <v>307</v>
      </c>
      <c r="I4" s="128" t="s">
        <v>6591</v>
      </c>
      <c r="J4" s="124">
        <v>1</v>
      </c>
      <c r="K4" s="107">
        <v>10791</v>
      </c>
      <c r="S4" s="107"/>
      <c r="T4" s="278" t="s">
        <v>7129</v>
      </c>
      <c r="U4" s="107" t="s">
        <v>7134</v>
      </c>
      <c r="W4" s="124" t="s">
        <v>940</v>
      </c>
      <c r="X4" s="124" t="s">
        <v>549</v>
      </c>
      <c r="Z4" s="124">
        <v>8</v>
      </c>
      <c r="AA4" s="124" t="s">
        <v>525</v>
      </c>
      <c r="AB4" s="279" t="s">
        <v>7136</v>
      </c>
      <c r="AC4" s="280">
        <v>4</v>
      </c>
      <c r="AD4" s="280" t="s">
        <v>7137</v>
      </c>
      <c r="AE4" s="280" t="s">
        <v>7138</v>
      </c>
      <c r="AF4" s="280" t="s">
        <v>7139</v>
      </c>
      <c r="AG4" s="280" t="s">
        <v>7140</v>
      </c>
      <c r="AH4" s="280" t="s">
        <v>7141</v>
      </c>
    </row>
    <row r="5" spans="1:46" s="124" customFormat="1" ht="14.25" customHeight="1">
      <c r="A5" s="124">
        <v>41400</v>
      </c>
      <c r="B5" s="255" t="s">
        <v>7126</v>
      </c>
      <c r="C5" s="124">
        <v>4</v>
      </c>
      <c r="E5" s="124" t="s">
        <v>7128</v>
      </c>
      <c r="F5" s="124">
        <v>1</v>
      </c>
      <c r="G5" s="278" t="s">
        <v>7130</v>
      </c>
      <c r="H5" s="124">
        <v>304</v>
      </c>
      <c r="I5" s="128" t="s">
        <v>6591</v>
      </c>
      <c r="J5" s="124">
        <v>1</v>
      </c>
      <c r="K5" s="107">
        <v>10791</v>
      </c>
      <c r="S5" s="107" t="s">
        <v>7131</v>
      </c>
      <c r="T5" s="278" t="s">
        <v>7132</v>
      </c>
      <c r="U5" s="107" t="s">
        <v>7135</v>
      </c>
      <c r="W5" s="124" t="s">
        <v>7142</v>
      </c>
      <c r="X5" s="124" t="s">
        <v>553</v>
      </c>
      <c r="Z5" s="124">
        <v>1</v>
      </c>
      <c r="AA5" s="124" t="s">
        <v>488</v>
      </c>
      <c r="AB5" s="279" t="s">
        <v>7136</v>
      </c>
      <c r="AC5" s="280">
        <v>4</v>
      </c>
      <c r="AD5" s="280" t="s">
        <v>7137</v>
      </c>
      <c r="AE5" s="280" t="s">
        <v>7138</v>
      </c>
      <c r="AF5" s="280" t="s">
        <v>7139</v>
      </c>
      <c r="AG5" s="280" t="s">
        <v>7140</v>
      </c>
      <c r="AH5" s="280" t="s">
        <v>7141</v>
      </c>
    </row>
    <row r="6" spans="1:46" s="124" customFormat="1">
      <c r="A6" s="124">
        <v>31810</v>
      </c>
      <c r="B6" s="124" t="s">
        <v>6996</v>
      </c>
      <c r="C6" s="124">
        <v>3</v>
      </c>
      <c r="E6" s="124" t="s">
        <v>6590</v>
      </c>
      <c r="F6" s="124">
        <v>1</v>
      </c>
      <c r="G6" s="124" t="s">
        <v>7006</v>
      </c>
      <c r="H6" s="124">
        <v>303</v>
      </c>
      <c r="I6" s="128" t="s">
        <v>6591</v>
      </c>
      <c r="J6" s="124">
        <v>0</v>
      </c>
      <c r="T6" s="124" t="s">
        <v>7007</v>
      </c>
      <c r="U6" s="124" t="s">
        <v>6997</v>
      </c>
      <c r="W6" s="124">
        <v>7</v>
      </c>
      <c r="X6" s="124" t="s">
        <v>4960</v>
      </c>
      <c r="Z6" s="124">
        <v>2</v>
      </c>
      <c r="AA6" s="124" t="s">
        <v>537</v>
      </c>
    </row>
    <row r="7" spans="1:46" s="124" customFormat="1" ht="15.75" customHeight="1">
      <c r="A7" s="124">
        <v>32800</v>
      </c>
      <c r="B7" s="124" t="s">
        <v>6998</v>
      </c>
      <c r="C7" s="124">
        <v>3</v>
      </c>
      <c r="E7" s="124" t="s">
        <v>6590</v>
      </c>
      <c r="F7" s="124">
        <v>2</v>
      </c>
      <c r="G7" s="124" t="s">
        <v>7008</v>
      </c>
      <c r="H7" s="124">
        <v>308</v>
      </c>
      <c r="I7" s="128" t="s">
        <v>6591</v>
      </c>
      <c r="J7" s="124">
        <v>0</v>
      </c>
      <c r="T7" s="124" t="s">
        <v>7009</v>
      </c>
      <c r="U7" s="124" t="s">
        <v>6999</v>
      </c>
      <c r="W7" s="124">
        <v>7</v>
      </c>
      <c r="X7" s="124" t="s">
        <v>3835</v>
      </c>
      <c r="Z7" s="124">
        <v>3</v>
      </c>
      <c r="AA7" s="124" t="s">
        <v>561</v>
      </c>
      <c r="AB7" s="105"/>
    </row>
    <row r="8" spans="1:46" s="124" customFormat="1" ht="15.75" customHeight="1">
      <c r="A8" s="124">
        <v>33820</v>
      </c>
      <c r="B8" s="124" t="s">
        <v>7002</v>
      </c>
      <c r="C8" s="124">
        <v>3</v>
      </c>
      <c r="E8" s="124" t="s">
        <v>6590</v>
      </c>
      <c r="F8" s="124">
        <v>3</v>
      </c>
      <c r="G8" s="124" t="s">
        <v>7010</v>
      </c>
      <c r="H8" s="124">
        <v>303</v>
      </c>
      <c r="I8" s="128" t="s">
        <v>6591</v>
      </c>
      <c r="J8" s="124">
        <v>0</v>
      </c>
      <c r="T8" s="124" t="s">
        <v>7011</v>
      </c>
      <c r="U8" s="124" t="s">
        <v>7003</v>
      </c>
      <c r="W8" s="124">
        <v>7</v>
      </c>
      <c r="X8" s="124" t="s">
        <v>3573</v>
      </c>
      <c r="Z8" s="124">
        <v>5</v>
      </c>
      <c r="AA8" s="124" t="s">
        <v>572</v>
      </c>
      <c r="AB8" s="105"/>
    </row>
    <row r="9" spans="1:46" s="124" customFormat="1" ht="15.75" customHeight="1">
      <c r="A9" s="124">
        <v>34830</v>
      </c>
      <c r="B9" s="124" t="s">
        <v>7000</v>
      </c>
      <c r="C9" s="124">
        <v>3</v>
      </c>
      <c r="E9" s="124" t="s">
        <v>6590</v>
      </c>
      <c r="F9" s="124">
        <v>4</v>
      </c>
      <c r="G9" s="124" t="s">
        <v>7012</v>
      </c>
      <c r="H9" s="124">
        <v>306</v>
      </c>
      <c r="I9" s="128" t="s">
        <v>6591</v>
      </c>
      <c r="J9" s="124">
        <v>0</v>
      </c>
      <c r="T9" s="124" t="s">
        <v>7013</v>
      </c>
      <c r="U9" s="124" t="s">
        <v>7001</v>
      </c>
      <c r="W9" s="124">
        <v>7</v>
      </c>
      <c r="X9" s="124" t="s">
        <v>3571</v>
      </c>
      <c r="Z9" s="124">
        <v>7</v>
      </c>
      <c r="AA9" s="124" t="s">
        <v>579</v>
      </c>
      <c r="AB9" s="105"/>
    </row>
    <row r="10" spans="1:46" s="124" customFormat="1" ht="15.75" customHeight="1">
      <c r="A10" s="124">
        <v>38250</v>
      </c>
      <c r="B10" s="124" t="s">
        <v>7004</v>
      </c>
      <c r="C10" s="124">
        <v>3</v>
      </c>
      <c r="E10" s="124" t="s">
        <v>6590</v>
      </c>
      <c r="F10" s="124">
        <v>8</v>
      </c>
      <c r="G10" s="124" t="s">
        <v>7014</v>
      </c>
      <c r="H10" s="124">
        <v>304</v>
      </c>
      <c r="I10" s="128" t="s">
        <v>6591</v>
      </c>
      <c r="J10" s="124">
        <v>0</v>
      </c>
      <c r="T10" s="124" t="s">
        <v>7015</v>
      </c>
      <c r="U10" s="124" t="s">
        <v>7005</v>
      </c>
      <c r="W10" s="124">
        <v>7</v>
      </c>
      <c r="X10" s="124" t="s">
        <v>3572</v>
      </c>
      <c r="Z10" s="124">
        <v>6</v>
      </c>
      <c r="AA10" s="124" t="s">
        <v>6308</v>
      </c>
      <c r="AB10" s="105"/>
    </row>
    <row r="11" spans="1:46" s="124" customFormat="1" ht="15.75" customHeight="1">
      <c r="A11" s="124">
        <v>34820</v>
      </c>
      <c r="B11" s="124" t="s">
        <v>6991</v>
      </c>
      <c r="C11" s="124">
        <v>3</v>
      </c>
      <c r="E11" s="124" t="s">
        <v>6273</v>
      </c>
      <c r="F11" s="124">
        <v>4</v>
      </c>
      <c r="G11" s="124" t="s">
        <v>6992</v>
      </c>
      <c r="H11" s="124">
        <v>306</v>
      </c>
      <c r="I11" s="128" t="s">
        <v>6274</v>
      </c>
      <c r="J11" s="124">
        <v>0</v>
      </c>
      <c r="T11" s="124" t="s">
        <v>6993</v>
      </c>
      <c r="U11" s="124" t="s">
        <v>6994</v>
      </c>
      <c r="W11" s="124">
        <v>3</v>
      </c>
      <c r="X11" s="124" t="s">
        <v>3833</v>
      </c>
      <c r="Z11" s="124">
        <v>6</v>
      </c>
      <c r="AA11" s="124" t="s">
        <v>584</v>
      </c>
      <c r="AB11" s="105"/>
    </row>
    <row r="12" spans="1:46" s="124" customFormat="1" ht="18" customHeight="1">
      <c r="A12" s="124">
        <v>71190</v>
      </c>
      <c r="B12" s="107" t="s">
        <v>6969</v>
      </c>
      <c r="C12" s="124">
        <v>7</v>
      </c>
      <c r="E12" s="107" t="s">
        <v>706</v>
      </c>
      <c r="F12" s="124">
        <v>1</v>
      </c>
      <c r="H12" s="124">
        <v>301</v>
      </c>
      <c r="I12" s="230" t="s">
        <v>6968</v>
      </c>
      <c r="U12" s="124" t="s">
        <v>6970</v>
      </c>
      <c r="V12" s="124">
        <v>2</v>
      </c>
      <c r="W12" s="124">
        <v>5</v>
      </c>
      <c r="X12" s="124" t="s">
        <v>4960</v>
      </c>
      <c r="Z12" s="124">
        <v>0</v>
      </c>
      <c r="AA12" s="124" t="s">
        <v>472</v>
      </c>
      <c r="AB12" s="253"/>
    </row>
    <row r="13" spans="1:46" s="124" customFormat="1" ht="18" customHeight="1">
      <c r="A13" s="124">
        <v>810119</v>
      </c>
      <c r="B13" s="107" t="s">
        <v>6972</v>
      </c>
      <c r="C13" s="124">
        <v>8</v>
      </c>
      <c r="E13" s="107" t="s">
        <v>747</v>
      </c>
      <c r="F13" s="124">
        <v>1</v>
      </c>
      <c r="H13" s="124">
        <v>304</v>
      </c>
      <c r="I13" s="274" t="s">
        <v>748</v>
      </c>
      <c r="R13" s="124" t="s">
        <v>7017</v>
      </c>
      <c r="W13" s="124" t="s">
        <v>7018</v>
      </c>
      <c r="X13" s="124" t="s">
        <v>499</v>
      </c>
      <c r="AA13" s="124" t="s">
        <v>540</v>
      </c>
      <c r="AB13" s="253"/>
    </row>
    <row r="14" spans="1:46" s="124" customFormat="1" ht="18" customHeight="1">
      <c r="A14" s="124">
        <v>810219</v>
      </c>
      <c r="B14" s="107" t="s">
        <v>6973</v>
      </c>
      <c r="C14" s="124">
        <v>8</v>
      </c>
      <c r="E14" s="107" t="s">
        <v>747</v>
      </c>
      <c r="F14" s="124">
        <v>1</v>
      </c>
      <c r="H14" s="124">
        <v>307</v>
      </c>
      <c r="I14" s="274" t="s">
        <v>748</v>
      </c>
      <c r="R14" s="124" t="s">
        <v>7019</v>
      </c>
      <c r="W14" s="124" t="s">
        <v>1254</v>
      </c>
      <c r="X14" s="124" t="s">
        <v>499</v>
      </c>
      <c r="AA14" s="124" t="s">
        <v>540</v>
      </c>
      <c r="AB14" s="253"/>
    </row>
    <row r="15" spans="1:46" s="124" customFormat="1" ht="18" customHeight="1">
      <c r="A15" s="124">
        <v>810319</v>
      </c>
      <c r="B15" s="107" t="s">
        <v>6974</v>
      </c>
      <c r="C15" s="124">
        <v>8</v>
      </c>
      <c r="E15" s="107" t="s">
        <v>747</v>
      </c>
      <c r="F15" s="124">
        <v>1</v>
      </c>
      <c r="H15" s="124">
        <v>305</v>
      </c>
      <c r="I15" s="274" t="s">
        <v>748</v>
      </c>
      <c r="R15" s="124" t="s">
        <v>7020</v>
      </c>
      <c r="W15" s="124" t="s">
        <v>7021</v>
      </c>
      <c r="X15" s="124" t="s">
        <v>542</v>
      </c>
      <c r="AA15" s="124" t="s">
        <v>540</v>
      </c>
      <c r="AB15" s="253"/>
    </row>
    <row r="16" spans="1:46" s="124" customFormat="1" ht="18" customHeight="1">
      <c r="A16" s="124">
        <v>810419</v>
      </c>
      <c r="B16" s="107" t="s">
        <v>6975</v>
      </c>
      <c r="C16" s="124">
        <v>8</v>
      </c>
      <c r="E16" s="107" t="s">
        <v>747</v>
      </c>
      <c r="F16" s="124">
        <v>1</v>
      </c>
      <c r="H16" s="124">
        <v>306</v>
      </c>
      <c r="I16" s="274" t="s">
        <v>748</v>
      </c>
      <c r="R16" s="124" t="s">
        <v>7022</v>
      </c>
      <c r="W16" s="124" t="s">
        <v>5011</v>
      </c>
      <c r="X16" s="124" t="s">
        <v>536</v>
      </c>
      <c r="AA16" s="124" t="s">
        <v>540</v>
      </c>
      <c r="AB16" s="253"/>
    </row>
    <row r="17" spans="1:38" s="124" customFormat="1" ht="18" customHeight="1">
      <c r="A17" s="124">
        <v>810519</v>
      </c>
      <c r="B17" s="107" t="s">
        <v>6976</v>
      </c>
      <c r="C17" s="124">
        <v>8</v>
      </c>
      <c r="E17" s="107" t="s">
        <v>747</v>
      </c>
      <c r="F17" s="124">
        <v>1</v>
      </c>
      <c r="H17" s="124">
        <v>307</v>
      </c>
      <c r="I17" s="274" t="s">
        <v>748</v>
      </c>
      <c r="R17" s="124" t="s">
        <v>7023</v>
      </c>
      <c r="W17" s="124" t="s">
        <v>7024</v>
      </c>
      <c r="X17" s="124" t="s">
        <v>522</v>
      </c>
      <c r="AA17" s="124" t="s">
        <v>540</v>
      </c>
      <c r="AB17" s="253"/>
    </row>
    <row r="18" spans="1:38" s="124" customFormat="1" ht="18" customHeight="1">
      <c r="A18" s="124">
        <v>810619</v>
      </c>
      <c r="B18" s="107" t="s">
        <v>6977</v>
      </c>
      <c r="C18" s="124">
        <v>8</v>
      </c>
      <c r="E18" s="107" t="s">
        <v>747</v>
      </c>
      <c r="F18" s="124">
        <v>1</v>
      </c>
      <c r="H18" s="124">
        <v>301</v>
      </c>
      <c r="I18" s="274" t="s">
        <v>748</v>
      </c>
      <c r="R18" s="124" t="s">
        <v>7025</v>
      </c>
      <c r="W18" s="124" t="s">
        <v>7026</v>
      </c>
      <c r="X18" s="124" t="s">
        <v>545</v>
      </c>
      <c r="AA18" s="124" t="s">
        <v>540</v>
      </c>
      <c r="AB18" s="253"/>
    </row>
    <row r="19" spans="1:38" s="124" customFormat="1" ht="18" customHeight="1">
      <c r="A19" s="124">
        <v>810719</v>
      </c>
      <c r="B19" s="107" t="s">
        <v>6978</v>
      </c>
      <c r="C19" s="124">
        <v>8</v>
      </c>
      <c r="E19" s="107" t="s">
        <v>747</v>
      </c>
      <c r="F19" s="124">
        <v>1</v>
      </c>
      <c r="H19" s="124">
        <v>308</v>
      </c>
      <c r="I19" s="274" t="s">
        <v>748</v>
      </c>
      <c r="R19" s="124" t="s">
        <v>7027</v>
      </c>
      <c r="W19" s="124" t="s">
        <v>6022</v>
      </c>
      <c r="X19" s="124" t="s">
        <v>522</v>
      </c>
      <c r="AA19" s="124" t="s">
        <v>540</v>
      </c>
      <c r="AB19" s="253"/>
    </row>
    <row r="20" spans="1:38" s="124" customFormat="1" ht="18" customHeight="1">
      <c r="A20" s="124">
        <v>810819</v>
      </c>
      <c r="B20" s="107" t="s">
        <v>6979</v>
      </c>
      <c r="C20" s="124">
        <v>8</v>
      </c>
      <c r="E20" s="107" t="s">
        <v>747</v>
      </c>
      <c r="F20" s="124">
        <v>1</v>
      </c>
      <c r="H20" s="124">
        <v>303</v>
      </c>
      <c r="I20" s="274" t="s">
        <v>748</v>
      </c>
      <c r="R20" s="124" t="s">
        <v>7028</v>
      </c>
      <c r="W20" s="124" t="s">
        <v>7029</v>
      </c>
      <c r="X20" s="124" t="s">
        <v>564</v>
      </c>
      <c r="AA20" s="124" t="s">
        <v>540</v>
      </c>
      <c r="AB20" s="253"/>
    </row>
    <row r="21" spans="1:38" s="124" customFormat="1" ht="18" customHeight="1">
      <c r="A21" s="124">
        <v>810919</v>
      </c>
      <c r="B21" s="107" t="s">
        <v>6980</v>
      </c>
      <c r="C21" s="124">
        <v>8</v>
      </c>
      <c r="E21" s="107" t="s">
        <v>747</v>
      </c>
      <c r="F21" s="124">
        <v>1</v>
      </c>
      <c r="H21" s="124">
        <v>301</v>
      </c>
      <c r="I21" s="274" t="s">
        <v>748</v>
      </c>
      <c r="R21" s="124" t="s">
        <v>7030</v>
      </c>
      <c r="W21" s="124" t="s">
        <v>7031</v>
      </c>
      <c r="X21" s="124" t="s">
        <v>566</v>
      </c>
      <c r="AA21" s="124" t="s">
        <v>540</v>
      </c>
      <c r="AB21" s="253"/>
    </row>
    <row r="22" spans="1:38" s="124" customFormat="1" ht="18" customHeight="1">
      <c r="A22" s="124">
        <v>811019</v>
      </c>
      <c r="B22" s="107" t="s">
        <v>6981</v>
      </c>
      <c r="C22" s="124">
        <v>8</v>
      </c>
      <c r="E22" s="107" t="s">
        <v>747</v>
      </c>
      <c r="F22" s="124">
        <v>1</v>
      </c>
      <c r="H22" s="124">
        <v>304</v>
      </c>
      <c r="I22" s="274" t="s">
        <v>748</v>
      </c>
      <c r="R22" s="124" t="s">
        <v>7032</v>
      </c>
      <c r="W22" s="124" t="s">
        <v>7033</v>
      </c>
      <c r="X22" s="124" t="s">
        <v>536</v>
      </c>
      <c r="AA22" s="124" t="s">
        <v>540</v>
      </c>
      <c r="AB22" s="253"/>
    </row>
    <row r="23" spans="1:38" s="124" customFormat="1" ht="18" customHeight="1">
      <c r="A23" s="124">
        <v>811119</v>
      </c>
      <c r="B23" s="107" t="s">
        <v>6982</v>
      </c>
      <c r="C23" s="124">
        <v>8</v>
      </c>
      <c r="E23" s="107" t="s">
        <v>747</v>
      </c>
      <c r="F23" s="124">
        <v>1</v>
      </c>
      <c r="H23" s="124">
        <v>302</v>
      </c>
      <c r="I23" s="274" t="s">
        <v>748</v>
      </c>
      <c r="R23" s="124" t="s">
        <v>7034</v>
      </c>
      <c r="W23" s="124" t="s">
        <v>7035</v>
      </c>
      <c r="X23" s="124" t="s">
        <v>531</v>
      </c>
      <c r="AA23" s="124" t="s">
        <v>540</v>
      </c>
      <c r="AB23" s="253"/>
    </row>
    <row r="24" spans="1:38" s="124" customFormat="1" ht="18" customHeight="1">
      <c r="A24" s="124">
        <v>811219</v>
      </c>
      <c r="B24" s="107" t="s">
        <v>6983</v>
      </c>
      <c r="C24" s="124">
        <v>8</v>
      </c>
      <c r="E24" s="107" t="s">
        <v>747</v>
      </c>
      <c r="F24" s="124">
        <v>1</v>
      </c>
      <c r="H24" s="124">
        <v>305</v>
      </c>
      <c r="I24" s="274" t="s">
        <v>748</v>
      </c>
      <c r="R24" s="124" t="s">
        <v>7036</v>
      </c>
      <c r="W24" s="124" t="s">
        <v>7037</v>
      </c>
      <c r="X24" s="124" t="s">
        <v>499</v>
      </c>
      <c r="AA24" s="124" t="s">
        <v>540</v>
      </c>
      <c r="AB24" s="253"/>
    </row>
    <row r="25" spans="1:38" s="124" customFormat="1" ht="18" customHeight="1">
      <c r="A25" s="124">
        <v>811319</v>
      </c>
      <c r="B25" s="107" t="s">
        <v>6984</v>
      </c>
      <c r="C25" s="124">
        <v>8</v>
      </c>
      <c r="E25" s="107" t="s">
        <v>747</v>
      </c>
      <c r="F25" s="124">
        <v>1</v>
      </c>
      <c r="H25" s="124">
        <v>308</v>
      </c>
      <c r="I25" s="274" t="s">
        <v>748</v>
      </c>
      <c r="R25" s="124" t="s">
        <v>7038</v>
      </c>
      <c r="W25" s="124" t="s">
        <v>7039</v>
      </c>
      <c r="X25" s="124" t="s">
        <v>452</v>
      </c>
      <c r="AA25" s="124" t="s">
        <v>540</v>
      </c>
      <c r="AB25" s="253"/>
    </row>
    <row r="26" spans="1:38" s="124" customFormat="1" ht="18" customHeight="1">
      <c r="A26" s="124">
        <v>811419</v>
      </c>
      <c r="B26" s="107" t="s">
        <v>6985</v>
      </c>
      <c r="C26" s="124">
        <v>8</v>
      </c>
      <c r="E26" s="107" t="s">
        <v>747</v>
      </c>
      <c r="F26" s="124">
        <v>1</v>
      </c>
      <c r="H26" s="124">
        <v>306</v>
      </c>
      <c r="I26" s="274" t="s">
        <v>748</v>
      </c>
      <c r="R26" s="124" t="s">
        <v>7040</v>
      </c>
      <c r="W26" s="124" t="s">
        <v>5990</v>
      </c>
      <c r="X26" s="124" t="s">
        <v>452</v>
      </c>
      <c r="AA26" s="124" t="s">
        <v>540</v>
      </c>
      <c r="AB26" s="253"/>
    </row>
    <row r="27" spans="1:38" s="124" customFormat="1" ht="18" customHeight="1">
      <c r="A27" s="124">
        <v>811519</v>
      </c>
      <c r="B27" s="107" t="s">
        <v>6986</v>
      </c>
      <c r="C27" s="124">
        <v>8</v>
      </c>
      <c r="E27" s="107" t="s">
        <v>747</v>
      </c>
      <c r="F27" s="124">
        <v>1</v>
      </c>
      <c r="H27" s="124">
        <v>303</v>
      </c>
      <c r="I27" s="274" t="s">
        <v>748</v>
      </c>
      <c r="R27" s="124" t="s">
        <v>7041</v>
      </c>
      <c r="W27" s="124" t="s">
        <v>7042</v>
      </c>
      <c r="X27" s="124" t="s">
        <v>542</v>
      </c>
      <c r="AA27" s="124" t="s">
        <v>540</v>
      </c>
      <c r="AB27" s="253"/>
    </row>
    <row r="28" spans="1:38" s="124" customFormat="1" ht="18" customHeight="1">
      <c r="A28" s="124">
        <v>811619</v>
      </c>
      <c r="B28" s="107" t="s">
        <v>6987</v>
      </c>
      <c r="C28" s="124">
        <v>8</v>
      </c>
      <c r="E28" s="107" t="s">
        <v>747</v>
      </c>
      <c r="F28" s="124">
        <v>1</v>
      </c>
      <c r="H28" s="124">
        <v>302</v>
      </c>
      <c r="I28" s="274" t="s">
        <v>748</v>
      </c>
      <c r="R28" s="124" t="s">
        <v>7043</v>
      </c>
      <c r="W28" s="124" t="s">
        <v>7044</v>
      </c>
      <c r="X28" s="124" t="s">
        <v>439</v>
      </c>
      <c r="AA28" s="124" t="s">
        <v>540</v>
      </c>
      <c r="AB28" s="253"/>
    </row>
    <row r="29" spans="1:38" s="124" customFormat="1" ht="18" customHeight="1">
      <c r="A29" s="124">
        <v>811719</v>
      </c>
      <c r="B29" s="107" t="s">
        <v>6988</v>
      </c>
      <c r="C29" s="124">
        <v>8</v>
      </c>
      <c r="E29" s="107" t="s">
        <v>747</v>
      </c>
      <c r="F29" s="124">
        <v>1</v>
      </c>
      <c r="H29" s="124">
        <v>302</v>
      </c>
      <c r="I29" s="274" t="s">
        <v>748</v>
      </c>
      <c r="R29" s="124" t="s">
        <v>7045</v>
      </c>
      <c r="W29" s="124" t="s">
        <v>7046</v>
      </c>
      <c r="X29" s="124" t="s">
        <v>531</v>
      </c>
      <c r="AA29" s="124" t="s">
        <v>540</v>
      </c>
      <c r="AB29" s="253"/>
    </row>
    <row r="30" spans="1:38" s="124" customFormat="1" ht="18" customHeight="1">
      <c r="A30" s="124">
        <v>811819</v>
      </c>
      <c r="B30" s="107" t="s">
        <v>6989</v>
      </c>
      <c r="C30" s="124">
        <v>8</v>
      </c>
      <c r="E30" s="107" t="s">
        <v>747</v>
      </c>
      <c r="F30" s="124">
        <v>1</v>
      </c>
      <c r="H30" s="124">
        <v>303</v>
      </c>
      <c r="I30" s="274" t="s">
        <v>748</v>
      </c>
      <c r="R30" s="124" t="s">
        <v>7047</v>
      </c>
      <c r="W30" s="124" t="s">
        <v>7048</v>
      </c>
      <c r="X30" s="124" t="s">
        <v>560</v>
      </c>
      <c r="AA30" s="124" t="s">
        <v>540</v>
      </c>
      <c r="AB30" s="253"/>
    </row>
    <row r="31" spans="1:38" ht="19.5" customHeight="1">
      <c r="G31" s="275"/>
      <c r="I31" s="226"/>
    </row>
    <row r="32" spans="1:38" s="124" customFormat="1">
      <c r="A32" s="124">
        <v>61060</v>
      </c>
      <c r="B32" s="124" t="s">
        <v>6317</v>
      </c>
      <c r="C32" s="124">
        <v>6</v>
      </c>
      <c r="E32" s="124" t="s">
        <v>6326</v>
      </c>
      <c r="F32" s="124">
        <v>1</v>
      </c>
      <c r="H32" s="124">
        <v>303</v>
      </c>
      <c r="I32" s="127" t="s">
        <v>6322</v>
      </c>
      <c r="J32" s="124">
        <v>3</v>
      </c>
      <c r="K32" s="124">
        <v>15061</v>
      </c>
      <c r="L32" s="124">
        <v>415061</v>
      </c>
      <c r="M32" s="124">
        <v>1</v>
      </c>
      <c r="N32" s="124">
        <v>19</v>
      </c>
      <c r="T32" s="124" t="s">
        <v>6611</v>
      </c>
      <c r="U32" s="124" t="s">
        <v>6318</v>
      </c>
      <c r="W32" s="124">
        <v>4</v>
      </c>
      <c r="X32" s="124" t="s">
        <v>4960</v>
      </c>
      <c r="Z32" s="124">
        <v>0</v>
      </c>
      <c r="AA32" s="124" t="s">
        <v>503</v>
      </c>
      <c r="AB32" s="124" t="s">
        <v>6372</v>
      </c>
      <c r="AC32" s="124">
        <v>9</v>
      </c>
      <c r="AD32" s="124" t="s">
        <v>6330</v>
      </c>
      <c r="AE32" s="124" t="s">
        <v>6331</v>
      </c>
      <c r="AF32" s="124" t="s">
        <v>6332</v>
      </c>
      <c r="AG32" s="124" t="s">
        <v>6333</v>
      </c>
      <c r="AH32" s="124" t="s">
        <v>6966</v>
      </c>
      <c r="AI32" s="124" t="s">
        <v>6334</v>
      </c>
      <c r="AJ32" s="124">
        <v>4</v>
      </c>
      <c r="AK32" s="124">
        <v>0</v>
      </c>
      <c r="AL32" s="124">
        <v>1</v>
      </c>
    </row>
    <row r="33" spans="1:34" s="124" customFormat="1">
      <c r="I33" s="127"/>
    </row>
    <row r="34" spans="1:34" s="124" customFormat="1">
      <c r="A34" s="124">
        <v>51560</v>
      </c>
      <c r="B34" s="124" t="s">
        <v>6275</v>
      </c>
      <c r="C34" s="124">
        <v>5</v>
      </c>
      <c r="E34" s="124" t="s">
        <v>6305</v>
      </c>
      <c r="F34" s="124">
        <v>1</v>
      </c>
      <c r="G34" s="124" t="s">
        <v>6400</v>
      </c>
      <c r="H34" s="124">
        <v>304</v>
      </c>
      <c r="I34" s="127" t="s">
        <v>6990</v>
      </c>
      <c r="J34" s="124">
        <v>1</v>
      </c>
      <c r="K34" s="124">
        <v>10761</v>
      </c>
      <c r="L34" s="124">
        <v>410763</v>
      </c>
      <c r="M34" s="124">
        <v>66</v>
      </c>
      <c r="N34" s="124">
        <v>78</v>
      </c>
      <c r="S34" s="124" t="s">
        <v>6406</v>
      </c>
      <c r="T34" s="124" t="s">
        <v>6401</v>
      </c>
      <c r="U34" s="124" t="s">
        <v>6313</v>
      </c>
      <c r="W34" s="124">
        <v>7</v>
      </c>
      <c r="X34" s="124" t="s">
        <v>556</v>
      </c>
      <c r="Z34" s="124">
        <v>3</v>
      </c>
      <c r="AA34" s="124" t="s">
        <v>3535</v>
      </c>
      <c r="AB34" s="124" t="s">
        <v>6288</v>
      </c>
      <c r="AC34" s="124">
        <v>6</v>
      </c>
      <c r="AD34" s="124" t="s">
        <v>6276</v>
      </c>
      <c r="AE34" s="124" t="s">
        <v>6277</v>
      </c>
      <c r="AF34" s="124" t="s">
        <v>6278</v>
      </c>
      <c r="AG34" s="124" t="s">
        <v>6279</v>
      </c>
      <c r="AH34" s="124" t="s">
        <v>6280</v>
      </c>
    </row>
    <row r="35" spans="1:34" s="124" customFormat="1">
      <c r="A35" s="124">
        <v>52540</v>
      </c>
      <c r="B35" s="124" t="s">
        <v>6281</v>
      </c>
      <c r="C35" s="124">
        <v>5</v>
      </c>
      <c r="E35" s="124" t="s">
        <v>6305</v>
      </c>
      <c r="F35" s="124">
        <v>2</v>
      </c>
      <c r="G35" s="124" t="s">
        <v>6398</v>
      </c>
      <c r="H35" s="124">
        <v>308</v>
      </c>
      <c r="I35" s="127" t="s">
        <v>6990</v>
      </c>
      <c r="J35" s="124">
        <v>1</v>
      </c>
      <c r="K35" s="124">
        <v>20751</v>
      </c>
      <c r="L35" s="124">
        <v>420752</v>
      </c>
      <c r="M35" s="124">
        <v>57</v>
      </c>
      <c r="N35" s="124">
        <v>70</v>
      </c>
      <c r="S35" s="124" t="s">
        <v>6405</v>
      </c>
      <c r="T35" s="124" t="s">
        <v>6399</v>
      </c>
      <c r="U35" s="124" t="s">
        <v>6314</v>
      </c>
      <c r="W35" s="124">
        <v>7</v>
      </c>
      <c r="X35" s="124" t="s">
        <v>439</v>
      </c>
      <c r="Z35" s="124">
        <v>8</v>
      </c>
      <c r="AA35" s="124" t="s">
        <v>6310</v>
      </c>
      <c r="AB35" s="124" t="s">
        <v>6282</v>
      </c>
      <c r="AC35" s="124">
        <v>6</v>
      </c>
      <c r="AD35" s="124" t="s">
        <v>6283</v>
      </c>
      <c r="AE35" s="124" t="s">
        <v>6284</v>
      </c>
      <c r="AF35" s="124" t="s">
        <v>6285</v>
      </c>
      <c r="AG35" s="124" t="s">
        <v>6286</v>
      </c>
      <c r="AH35" s="124" t="s">
        <v>6287</v>
      </c>
    </row>
    <row r="36" spans="1:34" s="124" customFormat="1">
      <c r="A36" s="124">
        <v>53570</v>
      </c>
      <c r="B36" s="124" t="s">
        <v>6289</v>
      </c>
      <c r="C36" s="124">
        <v>5</v>
      </c>
      <c r="E36" s="124" t="s">
        <v>6305</v>
      </c>
      <c r="F36" s="124">
        <v>3</v>
      </c>
      <c r="G36" s="124" t="s">
        <v>6396</v>
      </c>
      <c r="H36" s="124">
        <v>303</v>
      </c>
      <c r="I36" s="127" t="s">
        <v>6990</v>
      </c>
      <c r="J36" s="124">
        <v>1</v>
      </c>
      <c r="K36" s="124">
        <v>30761</v>
      </c>
      <c r="L36" s="124">
        <v>430762</v>
      </c>
      <c r="M36" s="124">
        <v>46</v>
      </c>
      <c r="N36" s="124">
        <v>59</v>
      </c>
      <c r="S36" s="124" t="s">
        <v>6404</v>
      </c>
      <c r="T36" s="124" t="s">
        <v>6397</v>
      </c>
      <c r="U36" s="124" t="s">
        <v>6290</v>
      </c>
      <c r="W36" s="124">
        <v>7</v>
      </c>
      <c r="X36" s="124" t="s">
        <v>547</v>
      </c>
      <c r="Z36" s="124">
        <v>6</v>
      </c>
      <c r="AA36" s="124" t="s">
        <v>6311</v>
      </c>
      <c r="AB36" s="124" t="s">
        <v>6291</v>
      </c>
      <c r="AC36" s="124">
        <v>6</v>
      </c>
      <c r="AD36" s="124" t="s">
        <v>6292</v>
      </c>
      <c r="AE36" s="124" t="s">
        <v>6293</v>
      </c>
      <c r="AF36" s="124" t="s">
        <v>6294</v>
      </c>
      <c r="AG36" s="124" t="s">
        <v>6295</v>
      </c>
      <c r="AH36" s="124" t="s">
        <v>6296</v>
      </c>
    </row>
    <row r="37" spans="1:34" s="124" customFormat="1">
      <c r="A37" s="124">
        <v>54560</v>
      </c>
      <c r="B37" s="124" t="s">
        <v>6297</v>
      </c>
      <c r="C37" s="124">
        <v>5</v>
      </c>
      <c r="E37" s="124" t="s">
        <v>6305</v>
      </c>
      <c r="F37" s="124">
        <v>4</v>
      </c>
      <c r="G37" s="124" t="s">
        <v>6394</v>
      </c>
      <c r="H37" s="124">
        <v>305</v>
      </c>
      <c r="I37" s="127" t="s">
        <v>6990</v>
      </c>
      <c r="J37" s="124">
        <v>1</v>
      </c>
      <c r="K37" s="124">
        <v>40761</v>
      </c>
      <c r="L37" s="124">
        <v>440762</v>
      </c>
      <c r="M37" s="124">
        <v>47</v>
      </c>
      <c r="N37" s="124">
        <v>59</v>
      </c>
      <c r="S37" s="124" t="s">
        <v>6403</v>
      </c>
      <c r="T37" s="124" t="s">
        <v>6395</v>
      </c>
      <c r="U37" s="124" t="s">
        <v>6315</v>
      </c>
      <c r="W37" s="124">
        <v>7</v>
      </c>
      <c r="X37" s="124" t="s">
        <v>566</v>
      </c>
      <c r="Z37" s="124">
        <v>4</v>
      </c>
      <c r="AA37" s="124" t="s">
        <v>3533</v>
      </c>
      <c r="AB37" s="124" t="s">
        <v>6298</v>
      </c>
      <c r="AC37" s="124">
        <v>6</v>
      </c>
      <c r="AD37" s="124" t="s">
        <v>6299</v>
      </c>
      <c r="AE37" s="124" t="s">
        <v>6300</v>
      </c>
      <c r="AF37" s="124" t="s">
        <v>6301</v>
      </c>
      <c r="AG37" s="124" t="s">
        <v>6302</v>
      </c>
      <c r="AH37" s="124" t="s">
        <v>6303</v>
      </c>
    </row>
    <row r="38" spans="1:34" s="124" customFormat="1">
      <c r="A38" s="124">
        <v>58100</v>
      </c>
      <c r="B38" s="124" t="s">
        <v>6304</v>
      </c>
      <c r="C38" s="124">
        <v>5</v>
      </c>
      <c r="E38" s="124" t="s">
        <v>6305</v>
      </c>
      <c r="F38" s="124">
        <v>8</v>
      </c>
      <c r="G38" s="124" t="s">
        <v>6392</v>
      </c>
      <c r="H38" s="124">
        <v>302</v>
      </c>
      <c r="I38" s="127" t="s">
        <v>6990</v>
      </c>
      <c r="J38" s="124">
        <v>1</v>
      </c>
      <c r="K38" s="124">
        <v>80141</v>
      </c>
      <c r="L38" s="124">
        <v>480142</v>
      </c>
      <c r="M38" s="124">
        <v>57</v>
      </c>
      <c r="N38" s="124">
        <v>71</v>
      </c>
      <c r="S38" s="124" t="s">
        <v>6402</v>
      </c>
      <c r="T38" s="124" t="s">
        <v>6393</v>
      </c>
      <c r="U38" s="124" t="s">
        <v>6316</v>
      </c>
      <c r="W38" s="124">
        <v>7</v>
      </c>
      <c r="X38" s="124" t="s">
        <v>539</v>
      </c>
      <c r="Z38" s="124">
        <v>7</v>
      </c>
      <c r="AA38" s="124" t="s">
        <v>589</v>
      </c>
      <c r="AB38" s="124" t="s">
        <v>6391</v>
      </c>
      <c r="AC38" s="124">
        <v>6</v>
      </c>
      <c r="AD38" s="124" t="s">
        <v>6386</v>
      </c>
      <c r="AE38" s="124" t="s">
        <v>6387</v>
      </c>
      <c r="AF38" s="124" t="s">
        <v>6388</v>
      </c>
      <c r="AG38" s="124" t="s">
        <v>6389</v>
      </c>
      <c r="AH38" s="124" t="s">
        <v>6390</v>
      </c>
    </row>
    <row r="39" spans="1:34" s="124" customFormat="1">
      <c r="I39" s="127"/>
    </row>
    <row r="40" spans="1:34" s="124" customFormat="1" ht="18" customHeight="1">
      <c r="A40" s="124">
        <v>71180</v>
      </c>
      <c r="B40" s="124" t="s">
        <v>6477</v>
      </c>
      <c r="C40" s="124">
        <v>7</v>
      </c>
      <c r="E40" s="126" t="s">
        <v>6478</v>
      </c>
      <c r="F40" s="124">
        <v>1</v>
      </c>
      <c r="G40" s="124" t="s">
        <v>6811</v>
      </c>
      <c r="H40" s="124">
        <v>303</v>
      </c>
      <c r="I40" s="127" t="s">
        <v>6272</v>
      </c>
      <c r="J40" s="124">
        <v>1</v>
      </c>
      <c r="K40" s="124">
        <v>10771</v>
      </c>
      <c r="T40" s="124" t="s">
        <v>6816</v>
      </c>
      <c r="U40" s="124" t="s">
        <v>6613</v>
      </c>
      <c r="V40" s="124">
        <v>-2</v>
      </c>
      <c r="W40" s="124">
        <v>5</v>
      </c>
      <c r="X40" s="124" t="s">
        <v>3834</v>
      </c>
      <c r="Z40" s="124">
        <v>0</v>
      </c>
      <c r="AA40" s="124" t="s">
        <v>516</v>
      </c>
      <c r="AB40" s="253" t="s">
        <v>6480</v>
      </c>
      <c r="AC40" s="124">
        <v>5</v>
      </c>
      <c r="AD40" s="124" t="s">
        <v>6481</v>
      </c>
      <c r="AE40" s="124" t="s">
        <v>6482</v>
      </c>
      <c r="AF40" s="124" t="s">
        <v>6483</v>
      </c>
      <c r="AG40" s="124" t="s">
        <v>6484</v>
      </c>
      <c r="AH40" s="124" t="s">
        <v>6485</v>
      </c>
    </row>
    <row r="41" spans="1:34" s="124" customFormat="1" ht="18" customHeight="1">
      <c r="A41" s="124">
        <v>72190</v>
      </c>
      <c r="B41" s="124" t="s">
        <v>6486</v>
      </c>
      <c r="C41" s="124">
        <v>7</v>
      </c>
      <c r="E41" s="126" t="s">
        <v>6478</v>
      </c>
      <c r="F41" s="124">
        <v>2</v>
      </c>
      <c r="G41" s="124" t="s">
        <v>6812</v>
      </c>
      <c r="H41" s="124">
        <v>305</v>
      </c>
      <c r="I41" s="127" t="s">
        <v>6272</v>
      </c>
      <c r="J41" s="124">
        <v>1</v>
      </c>
      <c r="K41" s="124">
        <v>20771</v>
      </c>
      <c r="T41" s="124" t="s">
        <v>6817</v>
      </c>
      <c r="U41" s="237" t="s">
        <v>6967</v>
      </c>
      <c r="V41" s="124">
        <v>-2</v>
      </c>
      <c r="W41" s="124">
        <v>5</v>
      </c>
      <c r="X41" s="124" t="s">
        <v>5238</v>
      </c>
      <c r="Z41" s="124">
        <v>0</v>
      </c>
      <c r="AA41" s="124" t="s">
        <v>552</v>
      </c>
      <c r="AB41" s="253" t="s">
        <v>6487</v>
      </c>
      <c r="AC41" s="124">
        <v>5</v>
      </c>
      <c r="AD41" s="124" t="s">
        <v>6488</v>
      </c>
      <c r="AE41" s="124" t="s">
        <v>6489</v>
      </c>
      <c r="AF41" s="124" t="s">
        <v>6490</v>
      </c>
      <c r="AG41" s="124" t="s">
        <v>6491</v>
      </c>
      <c r="AH41" s="124" t="s">
        <v>6492</v>
      </c>
    </row>
    <row r="42" spans="1:34" s="124" customFormat="1" ht="18" customHeight="1">
      <c r="A42" s="124">
        <v>73180</v>
      </c>
      <c r="B42" s="124" t="s">
        <v>6493</v>
      </c>
      <c r="C42" s="124">
        <v>7</v>
      </c>
      <c r="E42" s="126" t="s">
        <v>6478</v>
      </c>
      <c r="F42" s="124">
        <v>3</v>
      </c>
      <c r="G42" s="124" t="s">
        <v>6813</v>
      </c>
      <c r="H42" s="124">
        <v>302</v>
      </c>
      <c r="I42" s="127" t="s">
        <v>6272</v>
      </c>
      <c r="J42" s="124">
        <v>1</v>
      </c>
      <c r="K42" s="124">
        <v>30771</v>
      </c>
      <c r="T42" s="124" t="s">
        <v>6818</v>
      </c>
      <c r="U42" s="124" t="s">
        <v>6614</v>
      </c>
      <c r="V42" s="124">
        <v>-2</v>
      </c>
      <c r="W42" s="124">
        <v>5</v>
      </c>
      <c r="X42" s="124" t="s">
        <v>5460</v>
      </c>
      <c r="Z42" s="124">
        <v>0</v>
      </c>
      <c r="AA42" s="124" t="s">
        <v>567</v>
      </c>
      <c r="AB42" s="124" t="s">
        <v>6821</v>
      </c>
      <c r="AC42" s="124">
        <v>5</v>
      </c>
      <c r="AD42" s="124" t="s">
        <v>6494</v>
      </c>
      <c r="AE42" s="124" t="s">
        <v>6495</v>
      </c>
      <c r="AF42" s="124" t="s">
        <v>6496</v>
      </c>
      <c r="AG42" s="124" t="s">
        <v>6497</v>
      </c>
      <c r="AH42" s="124" t="s">
        <v>6498</v>
      </c>
    </row>
    <row r="43" spans="1:34" s="124" customFormat="1" ht="18" customHeight="1">
      <c r="A43" s="124">
        <v>74180</v>
      </c>
      <c r="B43" s="124" t="s">
        <v>6499</v>
      </c>
      <c r="C43" s="124">
        <v>7</v>
      </c>
      <c r="E43" s="126" t="s">
        <v>6478</v>
      </c>
      <c r="F43" s="124">
        <v>4</v>
      </c>
      <c r="G43" s="124" t="s">
        <v>6814</v>
      </c>
      <c r="H43" s="124">
        <v>308</v>
      </c>
      <c r="I43" s="127" t="s">
        <v>6272</v>
      </c>
      <c r="J43" s="124">
        <v>1</v>
      </c>
      <c r="K43" s="124">
        <v>40781</v>
      </c>
      <c r="T43" s="124" t="s">
        <v>6819</v>
      </c>
      <c r="U43" s="124" t="s">
        <v>6615</v>
      </c>
      <c r="V43" s="124">
        <v>-2</v>
      </c>
      <c r="W43" s="124">
        <v>5</v>
      </c>
      <c r="X43" s="124" t="s">
        <v>3319</v>
      </c>
      <c r="Z43" s="124">
        <v>0</v>
      </c>
      <c r="AA43" s="124" t="s">
        <v>587</v>
      </c>
      <c r="AB43" s="124" t="s">
        <v>6500</v>
      </c>
      <c r="AC43" s="124">
        <v>5</v>
      </c>
      <c r="AD43" s="124" t="s">
        <v>6501</v>
      </c>
      <c r="AE43" s="124" t="s">
        <v>6502</v>
      </c>
      <c r="AF43" s="124" t="s">
        <v>6503</v>
      </c>
      <c r="AG43" s="124" t="s">
        <v>6504</v>
      </c>
      <c r="AH43" s="124" t="s">
        <v>6505</v>
      </c>
    </row>
    <row r="44" spans="1:34" s="124" customFormat="1" ht="18" customHeight="1">
      <c r="A44" s="124">
        <v>78090</v>
      </c>
      <c r="B44" s="124" t="s">
        <v>6506</v>
      </c>
      <c r="C44" s="124">
        <v>7</v>
      </c>
      <c r="E44" s="126" t="s">
        <v>6478</v>
      </c>
      <c r="F44" s="124">
        <v>8</v>
      </c>
      <c r="G44" s="124" t="s">
        <v>6815</v>
      </c>
      <c r="H44" s="124">
        <v>304</v>
      </c>
      <c r="I44" s="127" t="s">
        <v>6272</v>
      </c>
      <c r="J44" s="124">
        <v>1</v>
      </c>
      <c r="K44" s="124">
        <v>80151</v>
      </c>
      <c r="T44" s="124" t="s">
        <v>6820</v>
      </c>
      <c r="U44" s="124" t="s">
        <v>6616</v>
      </c>
      <c r="V44" s="124">
        <v>-2</v>
      </c>
      <c r="W44" s="124">
        <v>5</v>
      </c>
      <c r="X44" s="124" t="s">
        <v>3574</v>
      </c>
      <c r="Z44" s="124">
        <v>0</v>
      </c>
      <c r="AA44" s="124" t="s">
        <v>588</v>
      </c>
      <c r="AB44" s="253" t="s">
        <v>6507</v>
      </c>
      <c r="AC44" s="124">
        <v>5</v>
      </c>
      <c r="AD44" s="124" t="s">
        <v>6508</v>
      </c>
      <c r="AE44" s="124" t="s">
        <v>6509</v>
      </c>
      <c r="AF44" s="124" t="s">
        <v>6510</v>
      </c>
      <c r="AG44" s="124" t="s">
        <v>6511</v>
      </c>
      <c r="AH44" s="124" t="s">
        <v>6512</v>
      </c>
    </row>
    <row r="45" spans="1:34" s="124" customFormat="1">
      <c r="A45" s="124">
        <v>72180</v>
      </c>
      <c r="B45" s="124" t="s">
        <v>6349</v>
      </c>
      <c r="C45" s="124">
        <v>7</v>
      </c>
      <c r="E45" s="124" t="s">
        <v>1157</v>
      </c>
      <c r="F45" s="124">
        <v>2</v>
      </c>
      <c r="G45" s="124" t="s">
        <v>6453</v>
      </c>
      <c r="H45" s="124">
        <v>304</v>
      </c>
      <c r="I45" s="127" t="s">
        <v>6479</v>
      </c>
      <c r="J45" s="124">
        <v>1</v>
      </c>
      <c r="K45" s="124">
        <v>20761</v>
      </c>
      <c r="L45" s="124">
        <v>420762</v>
      </c>
      <c r="M45" s="124">
        <v>26</v>
      </c>
      <c r="N45" s="124">
        <v>37</v>
      </c>
      <c r="T45" s="124" t="s">
        <v>6454</v>
      </c>
      <c r="U45" s="124" t="s">
        <v>6352</v>
      </c>
      <c r="V45" s="124">
        <v>1</v>
      </c>
      <c r="W45" s="124">
        <v>7</v>
      </c>
      <c r="X45" s="124" t="s">
        <v>5239</v>
      </c>
      <c r="Z45" s="124">
        <v>0</v>
      </c>
      <c r="AA45" s="124" t="s">
        <v>550</v>
      </c>
      <c r="AB45" s="124" t="s">
        <v>6366</v>
      </c>
      <c r="AC45" s="124">
        <v>7</v>
      </c>
      <c r="AD45" s="124" t="s">
        <v>6367</v>
      </c>
      <c r="AE45" s="124" t="s">
        <v>6368</v>
      </c>
      <c r="AF45" s="124" t="s">
        <v>6369</v>
      </c>
      <c r="AG45" s="124" t="s">
        <v>6370</v>
      </c>
      <c r="AH45" s="124" t="s">
        <v>6371</v>
      </c>
    </row>
    <row r="46" spans="1:34" s="247" customFormat="1">
      <c r="A46" s="247">
        <v>810118</v>
      </c>
      <c r="B46" s="247" t="s">
        <v>6513</v>
      </c>
      <c r="C46" s="247">
        <v>8</v>
      </c>
      <c r="E46" s="248" t="s">
        <v>747</v>
      </c>
      <c r="F46" s="247">
        <v>1</v>
      </c>
      <c r="H46" s="247">
        <v>304</v>
      </c>
      <c r="I46" s="251" t="s">
        <v>748</v>
      </c>
      <c r="R46" s="247" t="s">
        <v>6630</v>
      </c>
      <c r="U46" s="250"/>
      <c r="W46" s="247" t="s">
        <v>6618</v>
      </c>
      <c r="X46" s="247" t="s">
        <v>562</v>
      </c>
      <c r="AA46" s="247" t="s">
        <v>525</v>
      </c>
      <c r="AB46" s="250"/>
      <c r="AD46" s="250"/>
      <c r="AE46" s="250"/>
      <c r="AF46" s="250"/>
      <c r="AG46" s="250"/>
      <c r="AH46" s="250"/>
    </row>
    <row r="47" spans="1:34" s="247" customFormat="1">
      <c r="A47" s="247">
        <v>810218</v>
      </c>
      <c r="B47" s="247" t="s">
        <v>6514</v>
      </c>
      <c r="C47" s="247">
        <v>8</v>
      </c>
      <c r="E47" s="248" t="s">
        <v>747</v>
      </c>
      <c r="F47" s="247">
        <v>1</v>
      </c>
      <c r="H47" s="247">
        <v>307</v>
      </c>
      <c r="I47" s="251" t="s">
        <v>748</v>
      </c>
      <c r="R47" s="247" t="s">
        <v>6631</v>
      </c>
      <c r="U47" s="250"/>
      <c r="W47" s="247" t="s">
        <v>6619</v>
      </c>
      <c r="X47" s="247" t="s">
        <v>568</v>
      </c>
      <c r="AA47" s="247" t="s">
        <v>525</v>
      </c>
      <c r="AB47" s="250"/>
      <c r="AD47" s="250"/>
      <c r="AE47" s="250"/>
      <c r="AF47" s="250"/>
      <c r="AG47" s="250"/>
      <c r="AH47" s="250"/>
    </row>
    <row r="48" spans="1:34" s="247" customFormat="1">
      <c r="A48" s="247">
        <v>810318</v>
      </c>
      <c r="B48" s="247" t="s">
        <v>6515</v>
      </c>
      <c r="C48" s="247">
        <v>8</v>
      </c>
      <c r="E48" s="248" t="s">
        <v>747</v>
      </c>
      <c r="F48" s="247">
        <v>1</v>
      </c>
      <c r="H48" s="247">
        <v>305</v>
      </c>
      <c r="I48" s="251" t="s">
        <v>748</v>
      </c>
      <c r="R48" s="247" t="s">
        <v>6632</v>
      </c>
      <c r="U48" s="250"/>
      <c r="W48" s="247" t="s">
        <v>6633</v>
      </c>
      <c r="X48" s="247" t="s">
        <v>570</v>
      </c>
      <c r="AA48" s="247" t="s">
        <v>525</v>
      </c>
      <c r="AB48" s="250"/>
      <c r="AD48" s="250"/>
      <c r="AE48" s="250"/>
      <c r="AF48" s="250"/>
      <c r="AG48" s="250"/>
      <c r="AH48" s="250"/>
    </row>
    <row r="49" spans="1:34" s="247" customFormat="1">
      <c r="A49" s="247">
        <v>810418</v>
      </c>
      <c r="B49" s="247" t="s">
        <v>6516</v>
      </c>
      <c r="C49" s="247">
        <v>8</v>
      </c>
      <c r="E49" s="248" t="s">
        <v>747</v>
      </c>
      <c r="F49" s="247">
        <v>1</v>
      </c>
      <c r="H49" s="247">
        <v>306</v>
      </c>
      <c r="I49" s="251" t="s">
        <v>748</v>
      </c>
      <c r="R49" s="247" t="s">
        <v>6634</v>
      </c>
      <c r="U49" s="250"/>
      <c r="W49" s="247" t="s">
        <v>6620</v>
      </c>
      <c r="X49" s="247" t="s">
        <v>553</v>
      </c>
      <c r="AA49" s="247" t="s">
        <v>525</v>
      </c>
      <c r="AB49" s="250"/>
      <c r="AD49" s="250"/>
      <c r="AE49" s="250"/>
      <c r="AF49" s="250"/>
      <c r="AG49" s="250"/>
      <c r="AH49" s="250"/>
    </row>
    <row r="50" spans="1:34" s="247" customFormat="1">
      <c r="A50" s="247">
        <v>810518</v>
      </c>
      <c r="B50" s="247" t="s">
        <v>6517</v>
      </c>
      <c r="C50" s="247">
        <v>8</v>
      </c>
      <c r="E50" s="248" t="s">
        <v>747</v>
      </c>
      <c r="F50" s="247">
        <v>1</v>
      </c>
      <c r="H50" s="247">
        <v>307</v>
      </c>
      <c r="I50" s="251" t="s">
        <v>748</v>
      </c>
      <c r="R50" s="247" t="s">
        <v>6635</v>
      </c>
      <c r="U50" s="250"/>
      <c r="W50" s="247" t="s">
        <v>6621</v>
      </c>
      <c r="X50" s="247" t="s">
        <v>553</v>
      </c>
      <c r="AA50" s="247" t="s">
        <v>525</v>
      </c>
      <c r="AB50" s="250"/>
      <c r="AD50" s="250"/>
      <c r="AE50" s="250"/>
      <c r="AF50" s="250"/>
      <c r="AG50" s="250"/>
      <c r="AH50" s="250"/>
    </row>
    <row r="51" spans="1:34" s="247" customFormat="1">
      <c r="A51" s="247">
        <v>810618</v>
      </c>
      <c r="B51" s="247" t="s">
        <v>6518</v>
      </c>
      <c r="C51" s="247">
        <v>8</v>
      </c>
      <c r="E51" s="248" t="s">
        <v>747</v>
      </c>
      <c r="F51" s="247">
        <v>1</v>
      </c>
      <c r="H51" s="247">
        <v>301</v>
      </c>
      <c r="I51" s="251" t="s">
        <v>748</v>
      </c>
      <c r="R51" s="247" t="s">
        <v>6636</v>
      </c>
      <c r="U51" s="250"/>
      <c r="W51" s="247" t="s">
        <v>6622</v>
      </c>
      <c r="X51" s="247" t="s">
        <v>558</v>
      </c>
      <c r="AA51" s="247" t="s">
        <v>525</v>
      </c>
      <c r="AB51" s="250"/>
      <c r="AD51" s="250"/>
      <c r="AE51" s="250"/>
      <c r="AF51" s="250"/>
      <c r="AG51" s="250"/>
      <c r="AH51" s="250"/>
    </row>
    <row r="52" spans="1:34" s="247" customFormat="1">
      <c r="A52" s="247">
        <v>810718</v>
      </c>
      <c r="B52" s="247" t="s">
        <v>6519</v>
      </c>
      <c r="C52" s="247">
        <v>8</v>
      </c>
      <c r="E52" s="248" t="s">
        <v>747</v>
      </c>
      <c r="F52" s="247">
        <v>1</v>
      </c>
      <c r="H52" s="247">
        <v>308</v>
      </c>
      <c r="I52" s="251" t="s">
        <v>748</v>
      </c>
      <c r="R52" s="247" t="s">
        <v>6637</v>
      </c>
      <c r="U52" s="250"/>
      <c r="W52" s="247" t="s">
        <v>6623</v>
      </c>
      <c r="X52" s="247" t="s">
        <v>549</v>
      </c>
      <c r="AA52" s="247" t="s">
        <v>525</v>
      </c>
      <c r="AB52" s="250"/>
      <c r="AD52" s="250"/>
      <c r="AE52" s="250"/>
      <c r="AF52" s="250"/>
      <c r="AG52" s="250"/>
      <c r="AH52" s="250"/>
    </row>
    <row r="53" spans="1:34" s="247" customFormat="1">
      <c r="A53" s="247">
        <v>810818</v>
      </c>
      <c r="B53" s="247" t="s">
        <v>6520</v>
      </c>
      <c r="C53" s="247">
        <v>8</v>
      </c>
      <c r="E53" s="248" t="s">
        <v>747</v>
      </c>
      <c r="F53" s="247">
        <v>1</v>
      </c>
      <c r="H53" s="247">
        <v>303</v>
      </c>
      <c r="I53" s="251" t="s">
        <v>748</v>
      </c>
      <c r="R53" s="247" t="s">
        <v>6638</v>
      </c>
      <c r="U53" s="250"/>
      <c r="W53" s="247" t="s">
        <v>6624</v>
      </c>
      <c r="X53" s="247" t="s">
        <v>556</v>
      </c>
      <c r="AA53" s="247" t="s">
        <v>525</v>
      </c>
      <c r="AB53" s="250"/>
      <c r="AD53" s="250"/>
      <c r="AE53" s="250"/>
      <c r="AF53" s="250"/>
      <c r="AG53" s="250"/>
      <c r="AH53" s="250"/>
    </row>
    <row r="54" spans="1:34" s="247" customFormat="1">
      <c r="A54" s="247">
        <v>810918</v>
      </c>
      <c r="B54" s="247" t="s">
        <v>6521</v>
      </c>
      <c r="C54" s="247">
        <v>8</v>
      </c>
      <c r="E54" s="248" t="s">
        <v>747</v>
      </c>
      <c r="F54" s="247">
        <v>1</v>
      </c>
      <c r="H54" s="247">
        <v>301</v>
      </c>
      <c r="I54" s="251" t="s">
        <v>748</v>
      </c>
      <c r="R54" s="247" t="s">
        <v>6639</v>
      </c>
      <c r="U54" s="250"/>
      <c r="W54" s="247" t="s">
        <v>6640</v>
      </c>
      <c r="X54" s="247" t="s">
        <v>556</v>
      </c>
      <c r="AA54" s="247" t="s">
        <v>525</v>
      </c>
      <c r="AB54" s="250"/>
      <c r="AD54" s="250"/>
      <c r="AE54" s="250"/>
      <c r="AF54" s="250"/>
      <c r="AG54" s="250"/>
      <c r="AH54" s="250"/>
    </row>
    <row r="55" spans="1:34" s="247" customFormat="1">
      <c r="A55" s="247">
        <v>811018</v>
      </c>
      <c r="B55" s="247" t="s">
        <v>6522</v>
      </c>
      <c r="C55" s="247">
        <v>8</v>
      </c>
      <c r="E55" s="248" t="s">
        <v>747</v>
      </c>
      <c r="F55" s="247">
        <v>1</v>
      </c>
      <c r="H55" s="247">
        <v>304</v>
      </c>
      <c r="I55" s="251" t="s">
        <v>748</v>
      </c>
      <c r="R55" s="247" t="s">
        <v>6641</v>
      </c>
      <c r="U55" s="250"/>
      <c r="W55" s="247" t="s">
        <v>6625</v>
      </c>
      <c r="X55" s="247" t="s">
        <v>558</v>
      </c>
      <c r="AA55" s="247" t="s">
        <v>525</v>
      </c>
      <c r="AB55" s="250"/>
      <c r="AD55" s="250"/>
      <c r="AE55" s="250"/>
      <c r="AF55" s="250"/>
      <c r="AG55" s="250"/>
      <c r="AH55" s="250"/>
    </row>
    <row r="56" spans="1:34" s="247" customFormat="1">
      <c r="A56" s="247">
        <v>811118</v>
      </c>
      <c r="B56" s="247" t="s">
        <v>6523</v>
      </c>
      <c r="C56" s="247">
        <v>8</v>
      </c>
      <c r="E56" s="248" t="s">
        <v>747</v>
      </c>
      <c r="F56" s="247">
        <v>1</v>
      </c>
      <c r="H56" s="247">
        <v>302</v>
      </c>
      <c r="I56" s="251" t="s">
        <v>748</v>
      </c>
      <c r="R56" s="247" t="s">
        <v>6642</v>
      </c>
      <c r="U56" s="250"/>
      <c r="W56" s="247" t="s">
        <v>6643</v>
      </c>
      <c r="X56" s="247" t="s">
        <v>562</v>
      </c>
      <c r="AA56" s="247" t="s">
        <v>525</v>
      </c>
      <c r="AB56" s="250"/>
      <c r="AD56" s="250"/>
      <c r="AE56" s="250"/>
      <c r="AF56" s="250"/>
      <c r="AG56" s="250"/>
      <c r="AH56" s="250"/>
    </row>
    <row r="57" spans="1:34" s="247" customFormat="1">
      <c r="A57" s="247">
        <v>811218</v>
      </c>
      <c r="B57" s="247" t="s">
        <v>6524</v>
      </c>
      <c r="C57" s="247">
        <v>8</v>
      </c>
      <c r="E57" s="248" t="s">
        <v>747</v>
      </c>
      <c r="F57" s="247">
        <v>1</v>
      </c>
      <c r="H57" s="247">
        <v>305</v>
      </c>
      <c r="I57" s="251" t="s">
        <v>748</v>
      </c>
      <c r="R57" s="247" t="s">
        <v>6644</v>
      </c>
      <c r="U57" s="250"/>
      <c r="W57" s="247" t="s">
        <v>6626</v>
      </c>
      <c r="X57" s="247" t="s">
        <v>562</v>
      </c>
      <c r="AA57" s="247" t="s">
        <v>525</v>
      </c>
      <c r="AB57" s="250"/>
      <c r="AD57" s="250"/>
      <c r="AE57" s="250"/>
      <c r="AF57" s="250"/>
      <c r="AG57" s="250"/>
      <c r="AH57" s="250"/>
    </row>
    <row r="58" spans="1:34" s="247" customFormat="1">
      <c r="A58" s="247">
        <v>811318</v>
      </c>
      <c r="B58" s="247" t="s">
        <v>6525</v>
      </c>
      <c r="C58" s="247">
        <v>8</v>
      </c>
      <c r="E58" s="248" t="s">
        <v>747</v>
      </c>
      <c r="F58" s="247">
        <v>1</v>
      </c>
      <c r="H58" s="247">
        <v>308</v>
      </c>
      <c r="I58" s="251" t="s">
        <v>748</v>
      </c>
      <c r="R58" s="247" t="s">
        <v>6645</v>
      </c>
      <c r="U58" s="250"/>
      <c r="W58" s="247" t="s">
        <v>6627</v>
      </c>
      <c r="X58" s="247" t="s">
        <v>468</v>
      </c>
      <c r="AA58" s="247" t="s">
        <v>525</v>
      </c>
      <c r="AB58" s="250"/>
      <c r="AD58" s="250"/>
      <c r="AE58" s="250"/>
      <c r="AF58" s="250"/>
      <c r="AG58" s="250"/>
      <c r="AH58" s="250"/>
    </row>
    <row r="59" spans="1:34" s="247" customFormat="1">
      <c r="A59" s="247">
        <v>811418</v>
      </c>
      <c r="B59" s="247" t="s">
        <v>6526</v>
      </c>
      <c r="C59" s="247">
        <v>8</v>
      </c>
      <c r="E59" s="248" t="s">
        <v>747</v>
      </c>
      <c r="F59" s="247">
        <v>1</v>
      </c>
      <c r="H59" s="247">
        <v>306</v>
      </c>
      <c r="I59" s="251" t="s">
        <v>748</v>
      </c>
      <c r="R59" s="247" t="s">
        <v>6646</v>
      </c>
      <c r="U59" s="250"/>
      <c r="W59" s="247" t="s">
        <v>6628</v>
      </c>
      <c r="X59" s="247" t="s">
        <v>512</v>
      </c>
      <c r="AA59" s="247" t="s">
        <v>525</v>
      </c>
      <c r="AB59" s="250"/>
      <c r="AD59" s="250"/>
      <c r="AE59" s="250"/>
      <c r="AF59" s="250"/>
      <c r="AG59" s="250"/>
      <c r="AH59" s="250"/>
    </row>
    <row r="60" spans="1:34" s="247" customFormat="1">
      <c r="A60" s="247">
        <v>811518</v>
      </c>
      <c r="B60" s="247" t="s">
        <v>6527</v>
      </c>
      <c r="C60" s="247">
        <v>8</v>
      </c>
      <c r="E60" s="248" t="s">
        <v>747</v>
      </c>
      <c r="F60" s="247">
        <v>1</v>
      </c>
      <c r="H60" s="247">
        <v>303</v>
      </c>
      <c r="I60" s="251" t="s">
        <v>748</v>
      </c>
      <c r="R60" s="247" t="s">
        <v>6647</v>
      </c>
      <c r="U60" s="250"/>
      <c r="W60" s="247" t="s">
        <v>6648</v>
      </c>
      <c r="X60" s="247" t="s">
        <v>568</v>
      </c>
      <c r="AA60" s="247" t="s">
        <v>525</v>
      </c>
      <c r="AB60" s="250"/>
      <c r="AD60" s="250"/>
      <c r="AE60" s="250"/>
      <c r="AF60" s="250"/>
      <c r="AG60" s="250"/>
      <c r="AH60" s="250"/>
    </row>
    <row r="61" spans="1:34" s="247" customFormat="1">
      <c r="A61" s="247">
        <v>811618</v>
      </c>
      <c r="B61" s="247" t="s">
        <v>6528</v>
      </c>
      <c r="C61" s="247">
        <v>8</v>
      </c>
      <c r="E61" s="248" t="s">
        <v>747</v>
      </c>
      <c r="F61" s="247">
        <v>1</v>
      </c>
      <c r="H61" s="247">
        <v>302</v>
      </c>
      <c r="I61" s="251" t="s">
        <v>748</v>
      </c>
      <c r="R61" s="247" t="s">
        <v>6649</v>
      </c>
      <c r="U61" s="250"/>
      <c r="W61" s="247" t="s">
        <v>6629</v>
      </c>
      <c r="X61" s="247" t="s">
        <v>549</v>
      </c>
      <c r="AA61" s="247" t="s">
        <v>525</v>
      </c>
      <c r="AB61" s="250"/>
      <c r="AD61" s="250"/>
      <c r="AE61" s="250"/>
      <c r="AF61" s="250"/>
      <c r="AG61" s="250"/>
      <c r="AH61" s="250"/>
    </row>
    <row r="62" spans="1:34" s="247" customFormat="1">
      <c r="A62" s="247">
        <v>811718</v>
      </c>
      <c r="B62" s="247" t="s">
        <v>6529</v>
      </c>
      <c r="C62" s="247">
        <v>8</v>
      </c>
      <c r="E62" s="248" t="s">
        <v>747</v>
      </c>
      <c r="F62" s="247">
        <v>1</v>
      </c>
      <c r="H62" s="247">
        <v>302</v>
      </c>
      <c r="I62" s="251" t="s">
        <v>748</v>
      </c>
      <c r="R62" s="247" t="s">
        <v>6650</v>
      </c>
      <c r="U62" s="250"/>
      <c r="W62" s="247" t="s">
        <v>6651</v>
      </c>
      <c r="X62" s="247" t="s">
        <v>484</v>
      </c>
      <c r="AA62" s="247" t="s">
        <v>525</v>
      </c>
      <c r="AB62" s="250"/>
      <c r="AD62" s="250"/>
      <c r="AE62" s="250"/>
      <c r="AF62" s="250"/>
      <c r="AG62" s="250"/>
      <c r="AH62" s="250"/>
    </row>
    <row r="63" spans="1:34" s="247" customFormat="1">
      <c r="A63" s="247">
        <v>820119</v>
      </c>
      <c r="B63" s="247" t="s">
        <v>6530</v>
      </c>
      <c r="C63" s="247">
        <v>8</v>
      </c>
      <c r="E63" s="248" t="s">
        <v>747</v>
      </c>
      <c r="F63" s="247">
        <v>2</v>
      </c>
      <c r="H63" s="247">
        <v>305</v>
      </c>
      <c r="I63" s="251" t="s">
        <v>748</v>
      </c>
      <c r="R63" s="247" t="s">
        <v>6652</v>
      </c>
      <c r="U63" s="250"/>
      <c r="W63" s="247" t="s">
        <v>6653</v>
      </c>
      <c r="X63" s="247" t="s">
        <v>452</v>
      </c>
      <c r="AA63" s="247" t="s">
        <v>552</v>
      </c>
      <c r="AB63" s="250"/>
      <c r="AD63" s="250"/>
      <c r="AE63" s="250"/>
      <c r="AF63" s="250"/>
      <c r="AG63" s="250"/>
      <c r="AH63" s="250"/>
    </row>
    <row r="64" spans="1:34" s="247" customFormat="1">
      <c r="A64" s="247">
        <v>820219</v>
      </c>
      <c r="B64" s="247" t="s">
        <v>6531</v>
      </c>
      <c r="C64" s="247">
        <v>8</v>
      </c>
      <c r="E64" s="248" t="s">
        <v>747</v>
      </c>
      <c r="F64" s="247">
        <v>2</v>
      </c>
      <c r="H64" s="247">
        <v>303</v>
      </c>
      <c r="I64" s="251" t="s">
        <v>748</v>
      </c>
      <c r="R64" s="247" t="s">
        <v>6654</v>
      </c>
      <c r="U64" s="250"/>
      <c r="W64" s="247" t="s">
        <v>6655</v>
      </c>
      <c r="X64" s="247" t="s">
        <v>499</v>
      </c>
      <c r="AA64" s="247" t="s">
        <v>552</v>
      </c>
      <c r="AB64" s="250"/>
      <c r="AD64" s="250"/>
      <c r="AE64" s="250"/>
      <c r="AF64" s="250"/>
      <c r="AG64" s="250"/>
      <c r="AH64" s="250"/>
    </row>
    <row r="65" spans="1:34" s="247" customFormat="1">
      <c r="A65" s="247">
        <v>820319</v>
      </c>
      <c r="B65" s="247" t="s">
        <v>6532</v>
      </c>
      <c r="C65" s="247">
        <v>8</v>
      </c>
      <c r="E65" s="248" t="s">
        <v>747</v>
      </c>
      <c r="F65" s="247">
        <v>2</v>
      </c>
      <c r="H65" s="247">
        <v>301</v>
      </c>
      <c r="I65" s="251" t="s">
        <v>748</v>
      </c>
      <c r="R65" s="247" t="s">
        <v>6656</v>
      </c>
      <c r="U65" s="250"/>
      <c r="W65" s="247" t="s">
        <v>6657</v>
      </c>
      <c r="X65" s="247" t="s">
        <v>512</v>
      </c>
      <c r="AA65" s="247" t="s">
        <v>552</v>
      </c>
      <c r="AB65" s="250"/>
      <c r="AD65" s="250"/>
      <c r="AE65" s="250"/>
      <c r="AF65" s="250"/>
      <c r="AG65" s="250"/>
      <c r="AH65" s="250"/>
    </row>
    <row r="66" spans="1:34" s="247" customFormat="1">
      <c r="A66" s="247">
        <v>820419</v>
      </c>
      <c r="B66" s="247" t="s">
        <v>6533</v>
      </c>
      <c r="C66" s="247">
        <v>8</v>
      </c>
      <c r="E66" s="248" t="s">
        <v>747</v>
      </c>
      <c r="F66" s="247">
        <v>2</v>
      </c>
      <c r="H66" s="247">
        <v>306</v>
      </c>
      <c r="I66" s="251" t="s">
        <v>748</v>
      </c>
      <c r="R66" s="247" t="s">
        <v>6658</v>
      </c>
      <c r="U66" s="250"/>
      <c r="W66" s="247" t="s">
        <v>6659</v>
      </c>
      <c r="X66" s="247" t="s">
        <v>564</v>
      </c>
      <c r="AA66" s="247" t="s">
        <v>552</v>
      </c>
      <c r="AB66" s="250"/>
      <c r="AD66" s="250"/>
      <c r="AE66" s="250"/>
      <c r="AF66" s="250"/>
      <c r="AG66" s="250"/>
      <c r="AH66" s="250"/>
    </row>
    <row r="67" spans="1:34" s="247" customFormat="1">
      <c r="A67" s="247">
        <v>820519</v>
      </c>
      <c r="B67" s="247" t="s">
        <v>6534</v>
      </c>
      <c r="C67" s="247">
        <v>8</v>
      </c>
      <c r="E67" s="248" t="s">
        <v>747</v>
      </c>
      <c r="F67" s="247">
        <v>2</v>
      </c>
      <c r="H67" s="247">
        <v>303</v>
      </c>
      <c r="I67" s="251" t="s">
        <v>748</v>
      </c>
      <c r="R67" s="247" t="s">
        <v>6660</v>
      </c>
      <c r="U67" s="250"/>
      <c r="W67" s="247" t="s">
        <v>6661</v>
      </c>
      <c r="X67" s="247" t="s">
        <v>568</v>
      </c>
      <c r="AA67" s="247" t="s">
        <v>552</v>
      </c>
      <c r="AB67" s="250"/>
      <c r="AD67" s="250"/>
      <c r="AE67" s="250"/>
      <c r="AF67" s="250"/>
      <c r="AG67" s="250"/>
      <c r="AH67" s="250"/>
    </row>
    <row r="68" spans="1:34" s="247" customFormat="1">
      <c r="A68" s="247">
        <v>820619</v>
      </c>
      <c r="B68" s="247" t="s">
        <v>6535</v>
      </c>
      <c r="C68" s="247">
        <v>8</v>
      </c>
      <c r="E68" s="248" t="s">
        <v>747</v>
      </c>
      <c r="F68" s="247">
        <v>2</v>
      </c>
      <c r="H68" s="247">
        <v>307</v>
      </c>
      <c r="I68" s="251" t="s">
        <v>748</v>
      </c>
      <c r="R68" s="247" t="s">
        <v>6662</v>
      </c>
      <c r="U68" s="250"/>
      <c r="W68" s="247" t="s">
        <v>6663</v>
      </c>
      <c r="X68" s="247" t="s">
        <v>568</v>
      </c>
      <c r="AA68" s="247" t="s">
        <v>552</v>
      </c>
      <c r="AB68" s="250"/>
      <c r="AD68" s="250"/>
      <c r="AE68" s="250"/>
      <c r="AF68" s="250"/>
      <c r="AG68" s="250"/>
      <c r="AH68" s="250"/>
    </row>
    <row r="69" spans="1:34" s="247" customFormat="1">
      <c r="A69" s="247">
        <v>820719</v>
      </c>
      <c r="B69" s="247" t="s">
        <v>6536</v>
      </c>
      <c r="C69" s="247">
        <v>8</v>
      </c>
      <c r="E69" s="248" t="s">
        <v>747</v>
      </c>
      <c r="F69" s="247">
        <v>2</v>
      </c>
      <c r="H69" s="247">
        <v>308</v>
      </c>
      <c r="I69" s="251" t="s">
        <v>748</v>
      </c>
      <c r="R69" s="247" t="s">
        <v>6664</v>
      </c>
      <c r="U69" s="250"/>
      <c r="W69" s="247" t="s">
        <v>6665</v>
      </c>
      <c r="X69" s="247" t="s">
        <v>562</v>
      </c>
      <c r="AA69" s="247" t="s">
        <v>552</v>
      </c>
      <c r="AB69" s="250"/>
      <c r="AD69" s="250"/>
      <c r="AE69" s="250"/>
      <c r="AF69" s="250"/>
      <c r="AG69" s="250"/>
      <c r="AH69" s="250"/>
    </row>
    <row r="70" spans="1:34" s="247" customFormat="1">
      <c r="A70" s="247">
        <v>820819</v>
      </c>
      <c r="B70" s="247" t="s">
        <v>6537</v>
      </c>
      <c r="C70" s="247">
        <v>8</v>
      </c>
      <c r="E70" s="248" t="s">
        <v>747</v>
      </c>
      <c r="F70" s="247">
        <v>2</v>
      </c>
      <c r="H70" s="247">
        <v>304</v>
      </c>
      <c r="I70" s="251" t="s">
        <v>748</v>
      </c>
      <c r="R70" s="247" t="s">
        <v>6666</v>
      </c>
      <c r="U70" s="250"/>
      <c r="W70" s="247" t="s">
        <v>6667</v>
      </c>
      <c r="X70" s="247" t="s">
        <v>560</v>
      </c>
      <c r="AA70" s="247" t="s">
        <v>552</v>
      </c>
      <c r="AB70" s="250"/>
      <c r="AD70" s="250"/>
      <c r="AE70" s="250"/>
      <c r="AF70" s="250"/>
      <c r="AG70" s="250"/>
      <c r="AH70" s="250"/>
    </row>
    <row r="71" spans="1:34" s="247" customFormat="1">
      <c r="A71" s="247">
        <v>820919</v>
      </c>
      <c r="B71" s="247" t="s">
        <v>6538</v>
      </c>
      <c r="C71" s="247">
        <v>8</v>
      </c>
      <c r="E71" s="248" t="s">
        <v>747</v>
      </c>
      <c r="F71" s="247">
        <v>2</v>
      </c>
      <c r="H71" s="247">
        <v>301</v>
      </c>
      <c r="I71" s="251" t="s">
        <v>748</v>
      </c>
      <c r="R71" s="247" t="s">
        <v>6668</v>
      </c>
      <c r="U71" s="250"/>
      <c r="W71" s="247" t="s">
        <v>6669</v>
      </c>
      <c r="X71" s="247" t="s">
        <v>560</v>
      </c>
      <c r="AA71" s="247" t="s">
        <v>552</v>
      </c>
      <c r="AB71" s="250"/>
      <c r="AD71" s="250"/>
      <c r="AE71" s="250"/>
      <c r="AF71" s="250"/>
      <c r="AG71" s="250"/>
      <c r="AH71" s="250"/>
    </row>
    <row r="72" spans="1:34" s="247" customFormat="1">
      <c r="A72" s="247">
        <v>821019</v>
      </c>
      <c r="B72" s="247" t="s">
        <v>6539</v>
      </c>
      <c r="C72" s="247">
        <v>8</v>
      </c>
      <c r="E72" s="248" t="s">
        <v>747</v>
      </c>
      <c r="F72" s="247">
        <v>2</v>
      </c>
      <c r="H72" s="247">
        <v>302</v>
      </c>
      <c r="I72" s="251" t="s">
        <v>748</v>
      </c>
      <c r="R72" s="247" t="s">
        <v>6670</v>
      </c>
      <c r="U72" s="250"/>
      <c r="W72" s="247" t="s">
        <v>6671</v>
      </c>
      <c r="X72" s="247" t="s">
        <v>452</v>
      </c>
      <c r="AA72" s="247" t="s">
        <v>552</v>
      </c>
      <c r="AB72" s="250"/>
      <c r="AD72" s="250"/>
      <c r="AE72" s="250"/>
      <c r="AF72" s="250"/>
      <c r="AG72" s="250"/>
      <c r="AH72" s="250"/>
    </row>
    <row r="73" spans="1:34" s="247" customFormat="1">
      <c r="A73" s="247">
        <v>821119</v>
      </c>
      <c r="B73" s="247" t="s">
        <v>6540</v>
      </c>
      <c r="C73" s="247">
        <v>8</v>
      </c>
      <c r="E73" s="248" t="s">
        <v>747</v>
      </c>
      <c r="F73" s="247">
        <v>2</v>
      </c>
      <c r="H73" s="247">
        <v>302</v>
      </c>
      <c r="I73" s="251" t="s">
        <v>748</v>
      </c>
      <c r="R73" s="247" t="s">
        <v>6672</v>
      </c>
      <c r="U73" s="250"/>
      <c r="W73" s="247" t="s">
        <v>6673</v>
      </c>
      <c r="X73" s="247" t="s">
        <v>452</v>
      </c>
      <c r="AA73" s="247" t="s">
        <v>552</v>
      </c>
      <c r="AB73" s="250"/>
      <c r="AD73" s="250"/>
      <c r="AE73" s="250"/>
      <c r="AF73" s="250"/>
      <c r="AG73" s="250"/>
      <c r="AH73" s="250"/>
    </row>
    <row r="74" spans="1:34" s="247" customFormat="1">
      <c r="A74" s="247">
        <v>821219</v>
      </c>
      <c r="B74" s="247" t="s">
        <v>6541</v>
      </c>
      <c r="C74" s="247">
        <v>8</v>
      </c>
      <c r="E74" s="248" t="s">
        <v>747</v>
      </c>
      <c r="F74" s="247">
        <v>2</v>
      </c>
      <c r="H74" s="247">
        <v>304</v>
      </c>
      <c r="I74" s="251" t="s">
        <v>748</v>
      </c>
      <c r="R74" s="247" t="s">
        <v>6674</v>
      </c>
      <c r="U74" s="250"/>
      <c r="W74" s="247" t="s">
        <v>6675</v>
      </c>
      <c r="X74" s="247" t="s">
        <v>562</v>
      </c>
      <c r="AA74" s="247" t="s">
        <v>552</v>
      </c>
      <c r="AB74" s="250"/>
      <c r="AD74" s="250"/>
      <c r="AE74" s="250"/>
      <c r="AF74" s="250"/>
      <c r="AG74" s="250"/>
      <c r="AH74" s="250"/>
    </row>
    <row r="75" spans="1:34" s="247" customFormat="1">
      <c r="A75" s="247">
        <v>821319</v>
      </c>
      <c r="B75" s="247" t="s">
        <v>6542</v>
      </c>
      <c r="C75" s="247">
        <v>8</v>
      </c>
      <c r="E75" s="248" t="s">
        <v>747</v>
      </c>
      <c r="F75" s="247">
        <v>2</v>
      </c>
      <c r="H75" s="247">
        <v>305</v>
      </c>
      <c r="I75" s="251" t="s">
        <v>748</v>
      </c>
      <c r="R75" s="247" t="s">
        <v>6676</v>
      </c>
      <c r="U75" s="250"/>
      <c r="W75" s="247" t="s">
        <v>6677</v>
      </c>
      <c r="X75" s="247" t="s">
        <v>499</v>
      </c>
      <c r="AA75" s="247" t="s">
        <v>552</v>
      </c>
      <c r="AB75" s="250"/>
      <c r="AD75" s="250"/>
      <c r="AE75" s="250"/>
      <c r="AF75" s="250"/>
      <c r="AG75" s="250"/>
      <c r="AH75" s="250"/>
    </row>
    <row r="76" spans="1:34" s="247" customFormat="1">
      <c r="A76" s="247">
        <v>821419</v>
      </c>
      <c r="B76" s="247" t="s">
        <v>6543</v>
      </c>
      <c r="C76" s="247">
        <v>8</v>
      </c>
      <c r="E76" s="248" t="s">
        <v>747</v>
      </c>
      <c r="F76" s="247">
        <v>2</v>
      </c>
      <c r="H76" s="247">
        <v>306</v>
      </c>
      <c r="I76" s="251" t="s">
        <v>748</v>
      </c>
      <c r="R76" s="247" t="s">
        <v>6678</v>
      </c>
      <c r="U76" s="250"/>
      <c r="W76" s="247" t="s">
        <v>6679</v>
      </c>
      <c r="X76" s="247" t="s">
        <v>545</v>
      </c>
      <c r="AA76" s="247" t="s">
        <v>552</v>
      </c>
      <c r="AB76" s="250"/>
      <c r="AD76" s="250"/>
      <c r="AE76" s="250"/>
      <c r="AF76" s="250"/>
      <c r="AG76" s="250"/>
      <c r="AH76" s="250"/>
    </row>
    <row r="77" spans="1:34" s="247" customFormat="1">
      <c r="A77" s="247">
        <v>821519</v>
      </c>
      <c r="B77" s="247" t="s">
        <v>6544</v>
      </c>
      <c r="C77" s="247">
        <v>8</v>
      </c>
      <c r="E77" s="248" t="s">
        <v>747</v>
      </c>
      <c r="F77" s="247">
        <v>2</v>
      </c>
      <c r="H77" s="247">
        <v>307</v>
      </c>
      <c r="I77" s="251" t="s">
        <v>748</v>
      </c>
      <c r="R77" s="247" t="s">
        <v>6680</v>
      </c>
      <c r="U77" s="250"/>
      <c r="W77" s="247" t="s">
        <v>6681</v>
      </c>
      <c r="X77" s="247" t="s">
        <v>564</v>
      </c>
      <c r="AA77" s="247" t="s">
        <v>552</v>
      </c>
      <c r="AB77" s="250"/>
      <c r="AD77" s="250"/>
      <c r="AE77" s="250"/>
      <c r="AF77" s="250"/>
      <c r="AG77" s="250"/>
      <c r="AH77" s="250"/>
    </row>
    <row r="78" spans="1:34" s="247" customFormat="1">
      <c r="A78" s="247">
        <v>821619</v>
      </c>
      <c r="B78" s="247" t="s">
        <v>6545</v>
      </c>
      <c r="C78" s="247">
        <v>8</v>
      </c>
      <c r="E78" s="248" t="s">
        <v>747</v>
      </c>
      <c r="F78" s="247">
        <v>2</v>
      </c>
      <c r="H78" s="247">
        <v>307</v>
      </c>
      <c r="I78" s="251" t="s">
        <v>748</v>
      </c>
      <c r="R78" s="247" t="s">
        <v>6682</v>
      </c>
      <c r="U78" s="250"/>
      <c r="W78" s="247" t="s">
        <v>6683</v>
      </c>
      <c r="X78" s="247" t="s">
        <v>439</v>
      </c>
      <c r="AA78" s="247" t="s">
        <v>552</v>
      </c>
      <c r="AB78" s="250"/>
      <c r="AD78" s="250"/>
      <c r="AE78" s="250"/>
      <c r="AF78" s="250"/>
      <c r="AG78" s="250"/>
      <c r="AH78" s="250"/>
    </row>
    <row r="79" spans="1:34" s="247" customFormat="1">
      <c r="A79" s="247">
        <v>821719</v>
      </c>
      <c r="B79" s="247" t="s">
        <v>6546</v>
      </c>
      <c r="C79" s="247">
        <v>8</v>
      </c>
      <c r="E79" s="248" t="s">
        <v>747</v>
      </c>
      <c r="F79" s="247">
        <v>2</v>
      </c>
      <c r="H79" s="247">
        <v>307</v>
      </c>
      <c r="I79" s="251" t="s">
        <v>748</v>
      </c>
      <c r="R79" s="247" t="s">
        <v>6684</v>
      </c>
      <c r="U79" s="250"/>
      <c r="W79" s="247" t="s">
        <v>6685</v>
      </c>
      <c r="X79" s="247" t="s">
        <v>542</v>
      </c>
      <c r="AA79" s="247" t="s">
        <v>552</v>
      </c>
      <c r="AB79" s="250"/>
      <c r="AD79" s="250"/>
      <c r="AE79" s="250"/>
      <c r="AF79" s="250"/>
      <c r="AG79" s="250"/>
      <c r="AH79" s="250"/>
    </row>
    <row r="80" spans="1:34" s="247" customFormat="1">
      <c r="A80" s="247">
        <v>821819</v>
      </c>
      <c r="B80" s="247" t="s">
        <v>6547</v>
      </c>
      <c r="C80" s="247">
        <v>8</v>
      </c>
      <c r="E80" s="248" t="s">
        <v>747</v>
      </c>
      <c r="F80" s="247">
        <v>2</v>
      </c>
      <c r="H80" s="247">
        <v>304</v>
      </c>
      <c r="I80" s="251" t="s">
        <v>748</v>
      </c>
      <c r="R80" s="247" t="s">
        <v>6809</v>
      </c>
      <c r="U80" s="250"/>
      <c r="W80" s="247" t="s">
        <v>6810</v>
      </c>
      <c r="X80" s="247" t="s">
        <v>531</v>
      </c>
      <c r="AA80" s="247" t="s">
        <v>559</v>
      </c>
      <c r="AB80" s="250"/>
      <c r="AD80" s="250"/>
      <c r="AE80" s="250"/>
      <c r="AF80" s="250"/>
      <c r="AG80" s="250"/>
      <c r="AH80" s="250"/>
    </row>
    <row r="81" spans="1:34" s="247" customFormat="1">
      <c r="A81" s="247">
        <v>830118</v>
      </c>
      <c r="B81" s="247" t="s">
        <v>6548</v>
      </c>
      <c r="C81" s="247">
        <v>8</v>
      </c>
      <c r="E81" s="248" t="s">
        <v>747</v>
      </c>
      <c r="F81" s="247">
        <v>3</v>
      </c>
      <c r="H81" s="247">
        <v>304</v>
      </c>
      <c r="I81" s="251" t="s">
        <v>748</v>
      </c>
      <c r="R81" s="247" t="s">
        <v>6686</v>
      </c>
      <c r="U81" s="250"/>
      <c r="W81" s="247" t="s">
        <v>6687</v>
      </c>
      <c r="X81" s="247" t="s">
        <v>556</v>
      </c>
      <c r="AA81" s="247" t="s">
        <v>574</v>
      </c>
      <c r="AB81" s="250"/>
      <c r="AD81" s="250"/>
      <c r="AE81" s="250"/>
      <c r="AF81" s="250"/>
      <c r="AG81" s="250"/>
      <c r="AH81" s="250"/>
    </row>
    <row r="82" spans="1:34" s="247" customFormat="1">
      <c r="A82" s="247">
        <v>830218</v>
      </c>
      <c r="B82" s="247" t="s">
        <v>6549</v>
      </c>
      <c r="C82" s="247">
        <v>8</v>
      </c>
      <c r="E82" s="248" t="s">
        <v>747</v>
      </c>
      <c r="F82" s="247">
        <v>3</v>
      </c>
      <c r="H82" s="247">
        <v>302</v>
      </c>
      <c r="I82" s="251" t="s">
        <v>748</v>
      </c>
      <c r="R82" s="247" t="s">
        <v>6688</v>
      </c>
      <c r="U82" s="250"/>
      <c r="W82" s="247" t="s">
        <v>6689</v>
      </c>
      <c r="X82" s="247" t="s">
        <v>549</v>
      </c>
      <c r="AA82" s="247" t="s">
        <v>574</v>
      </c>
      <c r="AB82" s="250"/>
      <c r="AD82" s="250"/>
      <c r="AE82" s="250"/>
      <c r="AF82" s="250"/>
      <c r="AG82" s="250"/>
      <c r="AH82" s="250"/>
    </row>
    <row r="83" spans="1:34" s="247" customFormat="1">
      <c r="A83" s="247">
        <v>830318</v>
      </c>
      <c r="B83" s="247" t="s">
        <v>6550</v>
      </c>
      <c r="C83" s="247">
        <v>8</v>
      </c>
      <c r="E83" s="248" t="s">
        <v>747</v>
      </c>
      <c r="F83" s="247">
        <v>3</v>
      </c>
      <c r="H83" s="247">
        <v>306</v>
      </c>
      <c r="I83" s="251" t="s">
        <v>748</v>
      </c>
      <c r="R83" s="247" t="s">
        <v>6690</v>
      </c>
      <c r="U83" s="250"/>
      <c r="W83" s="247" t="s">
        <v>6691</v>
      </c>
      <c r="X83" s="247" t="s">
        <v>547</v>
      </c>
      <c r="AA83" s="247" t="s">
        <v>574</v>
      </c>
      <c r="AB83" s="250"/>
      <c r="AD83" s="250"/>
      <c r="AE83" s="250"/>
      <c r="AF83" s="250"/>
      <c r="AG83" s="250"/>
      <c r="AH83" s="250"/>
    </row>
    <row r="84" spans="1:34" s="247" customFormat="1">
      <c r="A84" s="247">
        <v>830418</v>
      </c>
      <c r="B84" s="247" t="s">
        <v>6551</v>
      </c>
      <c r="C84" s="247">
        <v>8</v>
      </c>
      <c r="E84" s="248" t="s">
        <v>747</v>
      </c>
      <c r="F84" s="247">
        <v>3</v>
      </c>
      <c r="H84" s="247">
        <v>303</v>
      </c>
      <c r="I84" s="251" t="s">
        <v>748</v>
      </c>
      <c r="R84" s="247" t="s">
        <v>6692</v>
      </c>
      <c r="U84" s="250"/>
      <c r="W84" s="247" t="s">
        <v>6693</v>
      </c>
      <c r="X84" s="247" t="s">
        <v>439</v>
      </c>
      <c r="AA84" s="247" t="s">
        <v>574</v>
      </c>
      <c r="AB84" s="250"/>
      <c r="AD84" s="250"/>
      <c r="AE84" s="250"/>
      <c r="AF84" s="250"/>
      <c r="AG84" s="250"/>
      <c r="AH84" s="250"/>
    </row>
    <row r="85" spans="1:34" s="247" customFormat="1">
      <c r="A85" s="247">
        <v>830518</v>
      </c>
      <c r="B85" s="247" t="s">
        <v>6552</v>
      </c>
      <c r="C85" s="247">
        <v>8</v>
      </c>
      <c r="E85" s="248" t="s">
        <v>747</v>
      </c>
      <c r="F85" s="247">
        <v>3</v>
      </c>
      <c r="H85" s="247">
        <v>307</v>
      </c>
      <c r="I85" s="251" t="s">
        <v>748</v>
      </c>
      <c r="R85" s="247" t="s">
        <v>6694</v>
      </c>
      <c r="U85" s="250"/>
      <c r="W85" s="247" t="s">
        <v>6695</v>
      </c>
      <c r="X85" s="247" t="s">
        <v>439</v>
      </c>
      <c r="AA85" s="247" t="s">
        <v>574</v>
      </c>
      <c r="AB85" s="250"/>
      <c r="AD85" s="250"/>
      <c r="AE85" s="250"/>
      <c r="AF85" s="250"/>
      <c r="AG85" s="250"/>
      <c r="AH85" s="250"/>
    </row>
    <row r="86" spans="1:34" s="247" customFormat="1">
      <c r="A86" s="247">
        <v>830618</v>
      </c>
      <c r="B86" s="247" t="s">
        <v>6553</v>
      </c>
      <c r="C86" s="247">
        <v>8</v>
      </c>
      <c r="E86" s="248" t="s">
        <v>747</v>
      </c>
      <c r="F86" s="247">
        <v>3</v>
      </c>
      <c r="H86" s="247">
        <v>301</v>
      </c>
      <c r="I86" s="251" t="s">
        <v>748</v>
      </c>
      <c r="R86" s="247" t="s">
        <v>6696</v>
      </c>
      <c r="U86" s="250"/>
      <c r="W86" s="247" t="s">
        <v>6697</v>
      </c>
      <c r="X86" s="247" t="s">
        <v>468</v>
      </c>
      <c r="AA86" s="247" t="s">
        <v>574</v>
      </c>
      <c r="AB86" s="250"/>
      <c r="AD86" s="250"/>
      <c r="AE86" s="250"/>
      <c r="AF86" s="250"/>
      <c r="AG86" s="250"/>
      <c r="AH86" s="250"/>
    </row>
    <row r="87" spans="1:34" s="247" customFormat="1">
      <c r="A87" s="247">
        <v>830718</v>
      </c>
      <c r="B87" s="247" t="s">
        <v>6554</v>
      </c>
      <c r="C87" s="247">
        <v>8</v>
      </c>
      <c r="E87" s="248" t="s">
        <v>747</v>
      </c>
      <c r="F87" s="247">
        <v>3</v>
      </c>
      <c r="H87" s="247">
        <v>302</v>
      </c>
      <c r="I87" s="251" t="s">
        <v>748</v>
      </c>
      <c r="R87" s="247" t="s">
        <v>6698</v>
      </c>
      <c r="U87" s="250"/>
      <c r="W87" s="247" t="s">
        <v>6699</v>
      </c>
      <c r="X87" s="247" t="s">
        <v>549</v>
      </c>
      <c r="AA87" s="247" t="s">
        <v>574</v>
      </c>
      <c r="AB87" s="250"/>
      <c r="AD87" s="250"/>
      <c r="AE87" s="250"/>
      <c r="AF87" s="250"/>
      <c r="AG87" s="250"/>
      <c r="AH87" s="250"/>
    </row>
    <row r="88" spans="1:34" s="247" customFormat="1">
      <c r="A88" s="247">
        <v>830818</v>
      </c>
      <c r="B88" s="247" t="s">
        <v>6555</v>
      </c>
      <c r="C88" s="247">
        <v>8</v>
      </c>
      <c r="E88" s="248" t="s">
        <v>747</v>
      </c>
      <c r="F88" s="247">
        <v>3</v>
      </c>
      <c r="H88" s="247">
        <v>305</v>
      </c>
      <c r="I88" s="251" t="s">
        <v>748</v>
      </c>
      <c r="R88" s="247" t="s">
        <v>6700</v>
      </c>
      <c r="U88" s="250"/>
      <c r="W88" s="247" t="s">
        <v>6701</v>
      </c>
      <c r="X88" s="247" t="s">
        <v>484</v>
      </c>
      <c r="AA88" s="247" t="s">
        <v>574</v>
      </c>
      <c r="AB88" s="250"/>
      <c r="AD88" s="250"/>
      <c r="AE88" s="250"/>
      <c r="AF88" s="250"/>
      <c r="AG88" s="250"/>
      <c r="AH88" s="250"/>
    </row>
    <row r="89" spans="1:34" s="247" customFormat="1">
      <c r="A89" s="247">
        <v>830918</v>
      </c>
      <c r="B89" s="247" t="s">
        <v>6556</v>
      </c>
      <c r="C89" s="247">
        <v>8</v>
      </c>
      <c r="E89" s="248" t="s">
        <v>747</v>
      </c>
      <c r="F89" s="247">
        <v>3</v>
      </c>
      <c r="H89" s="247">
        <v>301</v>
      </c>
      <c r="I89" s="251" t="s">
        <v>748</v>
      </c>
      <c r="R89" s="247" t="s">
        <v>6702</v>
      </c>
      <c r="U89" s="250"/>
      <c r="W89" s="247" t="s">
        <v>6703</v>
      </c>
      <c r="X89" s="247" t="s">
        <v>484</v>
      </c>
      <c r="AA89" s="247" t="s">
        <v>574</v>
      </c>
      <c r="AB89" s="250"/>
      <c r="AD89" s="250"/>
      <c r="AE89" s="250"/>
      <c r="AF89" s="250"/>
      <c r="AG89" s="250"/>
      <c r="AH89" s="250"/>
    </row>
    <row r="90" spans="1:34" s="247" customFormat="1">
      <c r="A90" s="247">
        <v>831018</v>
      </c>
      <c r="B90" s="247" t="s">
        <v>6557</v>
      </c>
      <c r="C90" s="247">
        <v>8</v>
      </c>
      <c r="E90" s="248" t="s">
        <v>747</v>
      </c>
      <c r="F90" s="247">
        <v>3</v>
      </c>
      <c r="H90" s="247">
        <v>304</v>
      </c>
      <c r="I90" s="251" t="s">
        <v>748</v>
      </c>
      <c r="R90" s="247" t="s">
        <v>6704</v>
      </c>
      <c r="U90" s="250"/>
      <c r="W90" s="247" t="s">
        <v>6705</v>
      </c>
      <c r="X90" s="247" t="s">
        <v>568</v>
      </c>
      <c r="AA90" s="247" t="s">
        <v>574</v>
      </c>
      <c r="AB90" s="250"/>
      <c r="AD90" s="250"/>
      <c r="AE90" s="250"/>
      <c r="AF90" s="250"/>
      <c r="AG90" s="250"/>
      <c r="AH90" s="250"/>
    </row>
    <row r="91" spans="1:34" s="247" customFormat="1">
      <c r="A91" s="247">
        <v>831118</v>
      </c>
      <c r="B91" s="247" t="s">
        <v>6558</v>
      </c>
      <c r="C91" s="247">
        <v>8</v>
      </c>
      <c r="E91" s="248" t="s">
        <v>747</v>
      </c>
      <c r="F91" s="247">
        <v>3</v>
      </c>
      <c r="H91" s="247">
        <v>305</v>
      </c>
      <c r="I91" s="251" t="s">
        <v>748</v>
      </c>
      <c r="R91" s="247" t="s">
        <v>6706</v>
      </c>
      <c r="U91" s="250"/>
      <c r="W91" s="247" t="s">
        <v>6707</v>
      </c>
      <c r="X91" s="247" t="s">
        <v>512</v>
      </c>
      <c r="AA91" s="247" t="s">
        <v>574</v>
      </c>
      <c r="AB91" s="250"/>
      <c r="AD91" s="250"/>
      <c r="AE91" s="250"/>
      <c r="AF91" s="250"/>
      <c r="AG91" s="250"/>
      <c r="AH91" s="250"/>
    </row>
    <row r="92" spans="1:34" s="247" customFormat="1">
      <c r="A92" s="247">
        <v>831218</v>
      </c>
      <c r="B92" s="247" t="s">
        <v>6559</v>
      </c>
      <c r="C92" s="247">
        <v>8</v>
      </c>
      <c r="E92" s="248" t="s">
        <v>747</v>
      </c>
      <c r="F92" s="247">
        <v>3</v>
      </c>
      <c r="H92" s="247">
        <v>304</v>
      </c>
      <c r="I92" s="251" t="s">
        <v>748</v>
      </c>
      <c r="R92" s="247" t="s">
        <v>6708</v>
      </c>
      <c r="U92" s="250"/>
      <c r="W92" s="247" t="s">
        <v>6709</v>
      </c>
      <c r="X92" s="247" t="s">
        <v>468</v>
      </c>
      <c r="AA92" s="247" t="s">
        <v>574</v>
      </c>
      <c r="AB92" s="250"/>
      <c r="AD92" s="250"/>
      <c r="AE92" s="250"/>
      <c r="AF92" s="250"/>
      <c r="AG92" s="250"/>
      <c r="AH92" s="250"/>
    </row>
    <row r="93" spans="1:34" s="247" customFormat="1">
      <c r="A93" s="247">
        <v>831318</v>
      </c>
      <c r="B93" s="247" t="s">
        <v>6560</v>
      </c>
      <c r="C93" s="247">
        <v>8</v>
      </c>
      <c r="E93" s="248" t="s">
        <v>747</v>
      </c>
      <c r="F93" s="247">
        <v>3</v>
      </c>
      <c r="H93" s="247">
        <v>308</v>
      </c>
      <c r="I93" s="251" t="s">
        <v>748</v>
      </c>
      <c r="R93" s="247" t="s">
        <v>6710</v>
      </c>
      <c r="U93" s="250"/>
      <c r="W93" s="247" t="s">
        <v>6711</v>
      </c>
      <c r="X93" s="247" t="s">
        <v>556</v>
      </c>
      <c r="AA93" s="247" t="s">
        <v>574</v>
      </c>
      <c r="AB93" s="250"/>
      <c r="AD93" s="250"/>
      <c r="AE93" s="250"/>
      <c r="AF93" s="250"/>
      <c r="AG93" s="250"/>
      <c r="AH93" s="250"/>
    </row>
    <row r="94" spans="1:34" s="247" customFormat="1">
      <c r="A94" s="247">
        <v>831418</v>
      </c>
      <c r="B94" s="247" t="s">
        <v>6561</v>
      </c>
      <c r="C94" s="247">
        <v>8</v>
      </c>
      <c r="E94" s="248" t="s">
        <v>747</v>
      </c>
      <c r="F94" s="247">
        <v>3</v>
      </c>
      <c r="H94" s="247">
        <v>307</v>
      </c>
      <c r="I94" s="251" t="s">
        <v>748</v>
      </c>
      <c r="R94" s="247" t="s">
        <v>6712</v>
      </c>
      <c r="U94" s="250"/>
      <c r="W94" s="247" t="s">
        <v>6713</v>
      </c>
      <c r="X94" s="247" t="s">
        <v>560</v>
      </c>
      <c r="AA94" s="247" t="s">
        <v>574</v>
      </c>
      <c r="AB94" s="250"/>
      <c r="AD94" s="250"/>
      <c r="AE94" s="250"/>
      <c r="AF94" s="250"/>
      <c r="AG94" s="250"/>
      <c r="AH94" s="250"/>
    </row>
    <row r="95" spans="1:34" s="247" customFormat="1">
      <c r="A95" s="247">
        <v>831518</v>
      </c>
      <c r="B95" s="247" t="s">
        <v>6562</v>
      </c>
      <c r="C95" s="247">
        <v>8</v>
      </c>
      <c r="E95" s="248" t="s">
        <v>747</v>
      </c>
      <c r="F95" s="247">
        <v>3</v>
      </c>
      <c r="H95" s="247">
        <v>308</v>
      </c>
      <c r="I95" s="251" t="s">
        <v>748</v>
      </c>
      <c r="R95" s="247" t="s">
        <v>6714</v>
      </c>
      <c r="U95" s="250"/>
      <c r="W95" s="247" t="s">
        <v>6715</v>
      </c>
      <c r="X95" s="247" t="s">
        <v>556</v>
      </c>
      <c r="AA95" s="247" t="s">
        <v>574</v>
      </c>
      <c r="AB95" s="250"/>
      <c r="AD95" s="250"/>
      <c r="AE95" s="250"/>
      <c r="AF95" s="250"/>
      <c r="AG95" s="250"/>
      <c r="AH95" s="250"/>
    </row>
    <row r="96" spans="1:34" s="247" customFormat="1">
      <c r="A96" s="247">
        <v>831618</v>
      </c>
      <c r="B96" s="247" t="s">
        <v>6563</v>
      </c>
      <c r="C96" s="247">
        <v>8</v>
      </c>
      <c r="E96" s="248" t="s">
        <v>747</v>
      </c>
      <c r="F96" s="247">
        <v>3</v>
      </c>
      <c r="H96" s="247">
        <v>303</v>
      </c>
      <c r="I96" s="251" t="s">
        <v>748</v>
      </c>
      <c r="R96" s="247" t="s">
        <v>6716</v>
      </c>
      <c r="U96" s="250"/>
      <c r="W96" s="247" t="s">
        <v>6617</v>
      </c>
      <c r="X96" s="247" t="s">
        <v>512</v>
      </c>
      <c r="AA96" s="247" t="s">
        <v>574</v>
      </c>
      <c r="AB96" s="250"/>
      <c r="AD96" s="250"/>
      <c r="AE96" s="250"/>
      <c r="AF96" s="250"/>
      <c r="AG96" s="250"/>
      <c r="AH96" s="250"/>
    </row>
    <row r="97" spans="1:34" s="247" customFormat="1">
      <c r="A97" s="247">
        <v>831718</v>
      </c>
      <c r="B97" s="247" t="s">
        <v>6564</v>
      </c>
      <c r="C97" s="247">
        <v>8</v>
      </c>
      <c r="E97" s="248" t="s">
        <v>747</v>
      </c>
      <c r="F97" s="247">
        <v>3</v>
      </c>
      <c r="H97" s="247">
        <v>303</v>
      </c>
      <c r="I97" s="251" t="s">
        <v>748</v>
      </c>
      <c r="R97" s="247" t="s">
        <v>6717</v>
      </c>
      <c r="U97" s="250"/>
      <c r="W97" s="247" t="s">
        <v>6718</v>
      </c>
      <c r="X97" s="247" t="s">
        <v>562</v>
      </c>
      <c r="AA97" s="247" t="s">
        <v>574</v>
      </c>
      <c r="AB97" s="250"/>
      <c r="AD97" s="250"/>
      <c r="AE97" s="250"/>
      <c r="AF97" s="250"/>
      <c r="AG97" s="250"/>
      <c r="AH97" s="250"/>
    </row>
    <row r="98" spans="1:34" s="247" customFormat="1">
      <c r="A98" s="247">
        <v>840118</v>
      </c>
      <c r="B98" s="247" t="s">
        <v>6565</v>
      </c>
      <c r="C98" s="247">
        <v>8</v>
      </c>
      <c r="E98" s="248" t="s">
        <v>747</v>
      </c>
      <c r="F98" s="247">
        <v>4</v>
      </c>
      <c r="H98" s="247">
        <v>303</v>
      </c>
      <c r="I98" s="251" t="s">
        <v>748</v>
      </c>
      <c r="R98" s="247" t="s">
        <v>6719</v>
      </c>
      <c r="U98" s="250"/>
      <c r="W98" s="247" t="s">
        <v>6720</v>
      </c>
      <c r="X98" s="247" t="s">
        <v>551</v>
      </c>
      <c r="AA98" s="247" t="s">
        <v>587</v>
      </c>
      <c r="AB98" s="250"/>
      <c r="AD98" s="250"/>
      <c r="AE98" s="250"/>
      <c r="AF98" s="250"/>
      <c r="AG98" s="250"/>
      <c r="AH98" s="250"/>
    </row>
    <row r="99" spans="1:34" s="247" customFormat="1">
      <c r="A99" s="247">
        <v>840218</v>
      </c>
      <c r="B99" s="247" t="s">
        <v>6566</v>
      </c>
      <c r="C99" s="247">
        <v>8</v>
      </c>
      <c r="E99" s="248" t="s">
        <v>747</v>
      </c>
      <c r="F99" s="247">
        <v>4</v>
      </c>
      <c r="H99" s="247">
        <v>302</v>
      </c>
      <c r="I99" s="251" t="s">
        <v>748</v>
      </c>
      <c r="R99" s="247" t="s">
        <v>6721</v>
      </c>
      <c r="U99" s="250"/>
      <c r="W99" s="247" t="s">
        <v>6722</v>
      </c>
      <c r="X99" s="247" t="s">
        <v>536</v>
      </c>
      <c r="AA99" s="247" t="s">
        <v>587</v>
      </c>
      <c r="AB99" s="250"/>
      <c r="AD99" s="250"/>
      <c r="AE99" s="250"/>
      <c r="AF99" s="250"/>
      <c r="AG99" s="250"/>
      <c r="AH99" s="250"/>
    </row>
    <row r="100" spans="1:34" s="247" customFormat="1">
      <c r="A100" s="247">
        <v>840318</v>
      </c>
      <c r="B100" s="247" t="s">
        <v>6567</v>
      </c>
      <c r="C100" s="247">
        <v>8</v>
      </c>
      <c r="E100" s="248" t="s">
        <v>747</v>
      </c>
      <c r="F100" s="247">
        <v>4</v>
      </c>
      <c r="H100" s="247">
        <v>305</v>
      </c>
      <c r="I100" s="251" t="s">
        <v>748</v>
      </c>
      <c r="R100" s="247" t="s">
        <v>6723</v>
      </c>
      <c r="U100" s="250"/>
      <c r="W100" s="247" t="s">
        <v>6724</v>
      </c>
      <c r="X100" s="247" t="s">
        <v>522</v>
      </c>
      <c r="AA100" s="247" t="s">
        <v>587</v>
      </c>
      <c r="AB100" s="250"/>
      <c r="AD100" s="250"/>
      <c r="AE100" s="250"/>
      <c r="AF100" s="250"/>
      <c r="AG100" s="250"/>
      <c r="AH100" s="250"/>
    </row>
    <row r="101" spans="1:34" s="247" customFormat="1">
      <c r="A101" s="247">
        <v>840418</v>
      </c>
      <c r="B101" s="247" t="s">
        <v>6568</v>
      </c>
      <c r="C101" s="247">
        <v>8</v>
      </c>
      <c r="E101" s="248" t="s">
        <v>747</v>
      </c>
      <c r="F101" s="247">
        <v>4</v>
      </c>
      <c r="H101" s="247">
        <v>307</v>
      </c>
      <c r="I101" s="251" t="s">
        <v>748</v>
      </c>
      <c r="R101" s="247" t="s">
        <v>6725</v>
      </c>
      <c r="U101" s="250"/>
      <c r="W101" s="247" t="s">
        <v>6726</v>
      </c>
      <c r="X101" s="247" t="s">
        <v>531</v>
      </c>
      <c r="AA101" s="247" t="s">
        <v>587</v>
      </c>
      <c r="AB101" s="250"/>
      <c r="AD101" s="250"/>
      <c r="AE101" s="250"/>
      <c r="AF101" s="250"/>
      <c r="AG101" s="250"/>
      <c r="AH101" s="250"/>
    </row>
    <row r="102" spans="1:34" s="247" customFormat="1">
      <c r="A102" s="247">
        <v>840518</v>
      </c>
      <c r="B102" s="247" t="s">
        <v>6569</v>
      </c>
      <c r="C102" s="247">
        <v>8</v>
      </c>
      <c r="E102" s="248" t="s">
        <v>747</v>
      </c>
      <c r="F102" s="247">
        <v>4</v>
      </c>
      <c r="H102" s="247">
        <v>307</v>
      </c>
      <c r="I102" s="251" t="s">
        <v>748</v>
      </c>
      <c r="R102" s="247" t="s">
        <v>6727</v>
      </c>
      <c r="U102" s="250"/>
      <c r="W102" s="247" t="s">
        <v>6728</v>
      </c>
      <c r="X102" s="247" t="s">
        <v>499</v>
      </c>
      <c r="AA102" s="247" t="s">
        <v>587</v>
      </c>
      <c r="AB102" s="250"/>
      <c r="AD102" s="250"/>
      <c r="AE102" s="250"/>
      <c r="AF102" s="250"/>
      <c r="AG102" s="250"/>
      <c r="AH102" s="250"/>
    </row>
    <row r="103" spans="1:34" s="247" customFormat="1">
      <c r="A103" s="247">
        <v>840618</v>
      </c>
      <c r="B103" s="247" t="s">
        <v>6570</v>
      </c>
      <c r="C103" s="247">
        <v>8</v>
      </c>
      <c r="E103" s="248" t="s">
        <v>747</v>
      </c>
      <c r="F103" s="247">
        <v>4</v>
      </c>
      <c r="H103" s="247">
        <v>306</v>
      </c>
      <c r="I103" s="251" t="s">
        <v>748</v>
      </c>
      <c r="R103" s="247" t="s">
        <v>6729</v>
      </c>
      <c r="U103" s="250"/>
      <c r="W103" s="247" t="s">
        <v>6730</v>
      </c>
      <c r="X103" s="247" t="s">
        <v>499</v>
      </c>
      <c r="AA103" s="247" t="s">
        <v>587</v>
      </c>
      <c r="AB103" s="250"/>
      <c r="AD103" s="250"/>
      <c r="AE103" s="250"/>
      <c r="AF103" s="250"/>
      <c r="AG103" s="250"/>
      <c r="AH103" s="250"/>
    </row>
    <row r="104" spans="1:34" s="247" customFormat="1">
      <c r="A104" s="247">
        <v>840718</v>
      </c>
      <c r="B104" s="247" t="s">
        <v>6571</v>
      </c>
      <c r="C104" s="247">
        <v>8</v>
      </c>
      <c r="E104" s="248" t="s">
        <v>747</v>
      </c>
      <c r="F104" s="247">
        <v>4</v>
      </c>
      <c r="H104" s="247">
        <v>304</v>
      </c>
      <c r="I104" s="251" t="s">
        <v>748</v>
      </c>
      <c r="R104" s="247" t="s">
        <v>6731</v>
      </c>
      <c r="U104" s="250"/>
      <c r="W104" s="247" t="s">
        <v>6732</v>
      </c>
      <c r="X104" s="247" t="s">
        <v>452</v>
      </c>
      <c r="AA104" s="247" t="s">
        <v>587</v>
      </c>
      <c r="AB104" s="250"/>
      <c r="AD104" s="250"/>
      <c r="AE104" s="250"/>
      <c r="AF104" s="250"/>
      <c r="AG104" s="250"/>
      <c r="AH104" s="250"/>
    </row>
    <row r="105" spans="1:34" s="247" customFormat="1">
      <c r="A105" s="247">
        <v>840818</v>
      </c>
      <c r="B105" s="247" t="s">
        <v>6572</v>
      </c>
      <c r="C105" s="247">
        <v>8</v>
      </c>
      <c r="E105" s="248" t="s">
        <v>747</v>
      </c>
      <c r="F105" s="247">
        <v>4</v>
      </c>
      <c r="H105" s="247">
        <v>301</v>
      </c>
      <c r="I105" s="251" t="s">
        <v>748</v>
      </c>
      <c r="R105" s="247" t="s">
        <v>6733</v>
      </c>
      <c r="U105" s="250"/>
      <c r="W105" s="247" t="s">
        <v>6734</v>
      </c>
      <c r="X105" s="247" t="s">
        <v>439</v>
      </c>
      <c r="AA105" s="247" t="s">
        <v>587</v>
      </c>
      <c r="AB105" s="250"/>
      <c r="AD105" s="250"/>
      <c r="AE105" s="250"/>
      <c r="AF105" s="250"/>
      <c r="AG105" s="250"/>
      <c r="AH105" s="250"/>
    </row>
    <row r="106" spans="1:34" s="247" customFormat="1">
      <c r="A106" s="247">
        <v>840918</v>
      </c>
      <c r="B106" s="247" t="s">
        <v>6573</v>
      </c>
      <c r="C106" s="247">
        <v>8</v>
      </c>
      <c r="E106" s="248" t="s">
        <v>747</v>
      </c>
      <c r="F106" s="247">
        <v>4</v>
      </c>
      <c r="H106" s="247">
        <v>305</v>
      </c>
      <c r="I106" s="251" t="s">
        <v>748</v>
      </c>
      <c r="R106" s="247" t="s">
        <v>6735</v>
      </c>
      <c r="U106" s="250"/>
      <c r="W106" s="247" t="s">
        <v>6736</v>
      </c>
      <c r="X106" s="247" t="s">
        <v>468</v>
      </c>
      <c r="AA106" s="247" t="s">
        <v>587</v>
      </c>
      <c r="AB106" s="250"/>
      <c r="AD106" s="250"/>
      <c r="AE106" s="250"/>
      <c r="AF106" s="250"/>
      <c r="AG106" s="250"/>
      <c r="AH106" s="250"/>
    </row>
    <row r="107" spans="1:34" s="247" customFormat="1">
      <c r="A107" s="247">
        <v>841018</v>
      </c>
      <c r="B107" s="247" t="s">
        <v>6574</v>
      </c>
      <c r="C107" s="247">
        <v>8</v>
      </c>
      <c r="E107" s="248" t="s">
        <v>747</v>
      </c>
      <c r="F107" s="247">
        <v>4</v>
      </c>
      <c r="H107" s="247">
        <v>301</v>
      </c>
      <c r="I107" s="251" t="s">
        <v>748</v>
      </c>
      <c r="R107" s="247" t="s">
        <v>6737</v>
      </c>
      <c r="U107" s="250"/>
      <c r="W107" s="247" t="s">
        <v>6738</v>
      </c>
      <c r="X107" s="247" t="s">
        <v>439</v>
      </c>
      <c r="AA107" s="247" t="s">
        <v>587</v>
      </c>
      <c r="AB107" s="250"/>
      <c r="AD107" s="250"/>
      <c r="AE107" s="250"/>
      <c r="AF107" s="250"/>
      <c r="AG107" s="250"/>
      <c r="AH107" s="250"/>
    </row>
    <row r="108" spans="1:34" s="247" customFormat="1">
      <c r="A108" s="247">
        <v>841118</v>
      </c>
      <c r="B108" s="247" t="s">
        <v>6575</v>
      </c>
      <c r="C108" s="247">
        <v>8</v>
      </c>
      <c r="E108" s="248" t="s">
        <v>747</v>
      </c>
      <c r="F108" s="247">
        <v>4</v>
      </c>
      <c r="H108" s="247">
        <v>308</v>
      </c>
      <c r="I108" s="251" t="s">
        <v>748</v>
      </c>
      <c r="R108" s="247" t="s">
        <v>6739</v>
      </c>
      <c r="U108" s="250"/>
      <c r="W108" s="247" t="s">
        <v>6740</v>
      </c>
      <c r="X108" s="247" t="s">
        <v>536</v>
      </c>
      <c r="AA108" s="247" t="s">
        <v>587</v>
      </c>
      <c r="AB108" s="250"/>
      <c r="AD108" s="250"/>
      <c r="AE108" s="250"/>
      <c r="AF108" s="250"/>
      <c r="AG108" s="250"/>
      <c r="AH108" s="250"/>
    </row>
    <row r="109" spans="1:34" s="247" customFormat="1">
      <c r="A109" s="247">
        <v>841218</v>
      </c>
      <c r="B109" s="247" t="s">
        <v>6576</v>
      </c>
      <c r="C109" s="247">
        <v>8</v>
      </c>
      <c r="E109" s="248" t="s">
        <v>747</v>
      </c>
      <c r="F109" s="247">
        <v>4</v>
      </c>
      <c r="H109" s="247">
        <v>304</v>
      </c>
      <c r="I109" s="251" t="s">
        <v>748</v>
      </c>
      <c r="R109" s="247" t="s">
        <v>6741</v>
      </c>
      <c r="U109" s="250"/>
      <c r="W109" s="247" t="s">
        <v>6742</v>
      </c>
      <c r="X109" s="247" t="s">
        <v>452</v>
      </c>
      <c r="AA109" s="247" t="s">
        <v>587</v>
      </c>
      <c r="AB109" s="250"/>
      <c r="AD109" s="250"/>
      <c r="AE109" s="250"/>
      <c r="AF109" s="250"/>
      <c r="AG109" s="250"/>
      <c r="AH109" s="250"/>
    </row>
    <row r="110" spans="1:34" s="247" customFormat="1">
      <c r="A110" s="247">
        <v>841318</v>
      </c>
      <c r="B110" s="247" t="s">
        <v>6577</v>
      </c>
      <c r="C110" s="247">
        <v>8</v>
      </c>
      <c r="E110" s="248" t="s">
        <v>747</v>
      </c>
      <c r="F110" s="247">
        <v>4</v>
      </c>
      <c r="H110" s="247">
        <v>308</v>
      </c>
      <c r="I110" s="251" t="s">
        <v>748</v>
      </c>
      <c r="R110" s="247" t="s">
        <v>6743</v>
      </c>
      <c r="U110" s="250"/>
      <c r="W110" s="247" t="s">
        <v>6744</v>
      </c>
      <c r="X110" s="247" t="s">
        <v>522</v>
      </c>
      <c r="AA110" s="247" t="s">
        <v>587</v>
      </c>
      <c r="AB110" s="250"/>
      <c r="AD110" s="250"/>
      <c r="AE110" s="250"/>
      <c r="AF110" s="250"/>
      <c r="AG110" s="250"/>
      <c r="AH110" s="250"/>
    </row>
    <row r="111" spans="1:34" s="247" customFormat="1">
      <c r="A111" s="247">
        <v>841418</v>
      </c>
      <c r="B111" s="247" t="s">
        <v>6578</v>
      </c>
      <c r="C111" s="247">
        <v>8</v>
      </c>
      <c r="E111" s="248" t="s">
        <v>747</v>
      </c>
      <c r="F111" s="247">
        <v>4</v>
      </c>
      <c r="H111" s="247">
        <v>303</v>
      </c>
      <c r="I111" s="251" t="s">
        <v>748</v>
      </c>
      <c r="R111" s="247" t="s">
        <v>6745</v>
      </c>
      <c r="U111" s="250"/>
      <c r="W111" s="247" t="s">
        <v>6746</v>
      </c>
      <c r="X111" s="247" t="s">
        <v>536</v>
      </c>
      <c r="AA111" s="247" t="s">
        <v>587</v>
      </c>
      <c r="AB111" s="250"/>
      <c r="AD111" s="250"/>
      <c r="AE111" s="250"/>
      <c r="AF111" s="250"/>
      <c r="AG111" s="250"/>
      <c r="AH111" s="250"/>
    </row>
    <row r="112" spans="1:34" s="247" customFormat="1">
      <c r="A112" s="247">
        <v>841518</v>
      </c>
      <c r="B112" s="247" t="s">
        <v>6579</v>
      </c>
      <c r="C112" s="247">
        <v>8</v>
      </c>
      <c r="E112" s="248" t="s">
        <v>747</v>
      </c>
      <c r="F112" s="247">
        <v>4</v>
      </c>
      <c r="H112" s="247">
        <v>306</v>
      </c>
      <c r="I112" s="251" t="s">
        <v>748</v>
      </c>
      <c r="R112" s="247" t="s">
        <v>6747</v>
      </c>
      <c r="U112" s="250"/>
      <c r="W112" s="247" t="s">
        <v>6748</v>
      </c>
      <c r="X112" s="247" t="s">
        <v>549</v>
      </c>
      <c r="AA112" s="247" t="s">
        <v>587</v>
      </c>
      <c r="AB112" s="250"/>
      <c r="AD112" s="250"/>
      <c r="AE112" s="250"/>
      <c r="AF112" s="250"/>
      <c r="AG112" s="250"/>
      <c r="AH112" s="250"/>
    </row>
    <row r="113" spans="1:34" s="247" customFormat="1">
      <c r="A113" s="247">
        <v>841618</v>
      </c>
      <c r="B113" s="247" t="s">
        <v>6580</v>
      </c>
      <c r="C113" s="247">
        <v>8</v>
      </c>
      <c r="E113" s="248" t="s">
        <v>747</v>
      </c>
      <c r="F113" s="247">
        <v>4</v>
      </c>
      <c r="H113" s="247">
        <v>302</v>
      </c>
      <c r="I113" s="251" t="s">
        <v>748</v>
      </c>
      <c r="R113" s="247" t="s">
        <v>6749</v>
      </c>
      <c r="U113" s="250"/>
      <c r="W113" s="247" t="s">
        <v>6750</v>
      </c>
      <c r="X113" s="247" t="s">
        <v>468</v>
      </c>
      <c r="AA113" s="247" t="s">
        <v>587</v>
      </c>
      <c r="AB113" s="250"/>
      <c r="AD113" s="250"/>
      <c r="AE113" s="250"/>
      <c r="AF113" s="250"/>
      <c r="AG113" s="250"/>
      <c r="AH113" s="250"/>
    </row>
    <row r="114" spans="1:34" s="247" customFormat="1">
      <c r="A114" s="247">
        <v>841718</v>
      </c>
      <c r="B114" s="247" t="s">
        <v>6581</v>
      </c>
      <c r="C114" s="247">
        <v>8</v>
      </c>
      <c r="E114" s="248" t="s">
        <v>747</v>
      </c>
      <c r="F114" s="247">
        <v>4</v>
      </c>
      <c r="H114" s="247">
        <v>302</v>
      </c>
      <c r="I114" s="251" t="s">
        <v>748</v>
      </c>
      <c r="R114" s="247" t="s">
        <v>6751</v>
      </c>
      <c r="U114" s="250"/>
      <c r="W114" s="247" t="s">
        <v>6752</v>
      </c>
      <c r="X114" s="247" t="s">
        <v>549</v>
      </c>
      <c r="AA114" s="247" t="s">
        <v>587</v>
      </c>
      <c r="AB114" s="250"/>
      <c r="AD114" s="250"/>
      <c r="AE114" s="250"/>
      <c r="AF114" s="250"/>
      <c r="AG114" s="250"/>
      <c r="AH114" s="250"/>
    </row>
    <row r="115" spans="1:34" s="247" customFormat="1">
      <c r="A115" s="247">
        <v>880109</v>
      </c>
      <c r="B115" s="247" t="s">
        <v>6582</v>
      </c>
      <c r="C115" s="247">
        <v>8</v>
      </c>
      <c r="E115" s="248" t="s">
        <v>747</v>
      </c>
      <c r="F115" s="247">
        <v>8</v>
      </c>
      <c r="H115" s="247">
        <v>308</v>
      </c>
      <c r="I115" s="251" t="s">
        <v>748</v>
      </c>
      <c r="O115" s="247">
        <v>2</v>
      </c>
      <c r="R115" s="247" t="s">
        <v>6753</v>
      </c>
      <c r="U115" s="250"/>
      <c r="W115" s="247" t="s">
        <v>3703</v>
      </c>
      <c r="X115" s="247" t="s">
        <v>566</v>
      </c>
      <c r="AA115" s="247" t="s">
        <v>589</v>
      </c>
      <c r="AB115" s="250"/>
      <c r="AD115" s="250"/>
      <c r="AE115" s="250"/>
      <c r="AF115" s="250"/>
      <c r="AG115" s="250"/>
      <c r="AH115" s="250"/>
    </row>
    <row r="116" spans="1:34" s="247" customFormat="1">
      <c r="A116" s="247">
        <v>880209</v>
      </c>
      <c r="B116" s="247" t="s">
        <v>6583</v>
      </c>
      <c r="C116" s="247">
        <v>8</v>
      </c>
      <c r="E116" s="248" t="s">
        <v>747</v>
      </c>
      <c r="F116" s="247">
        <v>8</v>
      </c>
      <c r="H116" s="247">
        <v>302</v>
      </c>
      <c r="I116" s="251" t="s">
        <v>748</v>
      </c>
      <c r="O116" s="247">
        <v>2</v>
      </c>
      <c r="R116" s="247" t="s">
        <v>6754</v>
      </c>
      <c r="U116" s="250"/>
      <c r="W116" s="247" t="s">
        <v>6755</v>
      </c>
      <c r="X116" s="247" t="s">
        <v>570</v>
      </c>
      <c r="AA116" s="247" t="s">
        <v>589</v>
      </c>
      <c r="AB116" s="250"/>
      <c r="AD116" s="250"/>
      <c r="AE116" s="250"/>
      <c r="AF116" s="250"/>
      <c r="AG116" s="250"/>
      <c r="AH116" s="250"/>
    </row>
    <row r="117" spans="1:34" s="247" customFormat="1">
      <c r="A117" s="247">
        <v>880309</v>
      </c>
      <c r="B117" s="247" t="s">
        <v>6584</v>
      </c>
      <c r="C117" s="247">
        <v>8</v>
      </c>
      <c r="E117" s="248" t="s">
        <v>747</v>
      </c>
      <c r="F117" s="247">
        <v>8</v>
      </c>
      <c r="H117" s="247">
        <v>304</v>
      </c>
      <c r="I117" s="251" t="s">
        <v>748</v>
      </c>
      <c r="O117" s="247">
        <v>2</v>
      </c>
      <c r="R117" s="247" t="s">
        <v>6756</v>
      </c>
      <c r="U117" s="250"/>
      <c r="W117" s="247" t="s">
        <v>6757</v>
      </c>
      <c r="X117" s="247" t="s">
        <v>564</v>
      </c>
      <c r="AA117" s="247" t="s">
        <v>589</v>
      </c>
      <c r="AB117" s="250"/>
      <c r="AD117" s="250"/>
      <c r="AE117" s="250"/>
      <c r="AF117" s="250"/>
      <c r="AG117" s="250"/>
      <c r="AH117" s="250"/>
    </row>
    <row r="118" spans="1:34" s="247" customFormat="1">
      <c r="A118" s="247">
        <v>880409</v>
      </c>
      <c r="B118" s="247" t="s">
        <v>6585</v>
      </c>
      <c r="C118" s="247">
        <v>8</v>
      </c>
      <c r="E118" s="248" t="s">
        <v>747</v>
      </c>
      <c r="F118" s="247">
        <v>8</v>
      </c>
      <c r="H118" s="247">
        <v>307</v>
      </c>
      <c r="I118" s="251" t="s">
        <v>748</v>
      </c>
      <c r="O118" s="247">
        <v>2</v>
      </c>
      <c r="R118" s="247" t="s">
        <v>6758</v>
      </c>
      <c r="U118" s="250"/>
      <c r="W118" s="247" t="s">
        <v>6759</v>
      </c>
      <c r="X118" s="247" t="s">
        <v>531</v>
      </c>
      <c r="AA118" s="247" t="s">
        <v>589</v>
      </c>
      <c r="AB118" s="250"/>
      <c r="AD118" s="250"/>
      <c r="AE118" s="250"/>
      <c r="AF118" s="250"/>
      <c r="AG118" s="250"/>
      <c r="AH118" s="250"/>
    </row>
    <row r="119" spans="1:34" s="247" customFormat="1">
      <c r="A119" s="247">
        <v>880509</v>
      </c>
      <c r="B119" s="247" t="s">
        <v>6586</v>
      </c>
      <c r="C119" s="247">
        <v>8</v>
      </c>
      <c r="E119" s="248" t="s">
        <v>747</v>
      </c>
      <c r="F119" s="247">
        <v>8</v>
      </c>
      <c r="H119" s="247">
        <v>305</v>
      </c>
      <c r="I119" s="251" t="s">
        <v>748</v>
      </c>
      <c r="O119" s="247">
        <v>2</v>
      </c>
      <c r="R119" s="247" t="s">
        <v>6760</v>
      </c>
      <c r="U119" s="250"/>
      <c r="W119" s="247" t="s">
        <v>6761</v>
      </c>
      <c r="X119" s="247" t="s">
        <v>542</v>
      </c>
      <c r="AA119" s="247" t="s">
        <v>589</v>
      </c>
      <c r="AB119" s="250"/>
      <c r="AD119" s="250"/>
      <c r="AE119" s="250"/>
      <c r="AF119" s="250"/>
      <c r="AG119" s="250"/>
      <c r="AH119" s="250"/>
    </row>
    <row r="120" spans="1:34" s="247" customFormat="1">
      <c r="A120" s="247">
        <v>880609</v>
      </c>
      <c r="B120" s="247" t="s">
        <v>6587</v>
      </c>
      <c r="C120" s="247">
        <v>8</v>
      </c>
      <c r="E120" s="248" t="s">
        <v>747</v>
      </c>
      <c r="F120" s="247">
        <v>8</v>
      </c>
      <c r="H120" s="247">
        <v>301</v>
      </c>
      <c r="I120" s="251" t="s">
        <v>748</v>
      </c>
      <c r="O120" s="247">
        <v>2</v>
      </c>
      <c r="R120" s="247" t="s">
        <v>6762</v>
      </c>
      <c r="U120" s="250"/>
      <c r="W120" s="247" t="s">
        <v>6763</v>
      </c>
      <c r="X120" s="247" t="s">
        <v>553</v>
      </c>
      <c r="AA120" s="247" t="s">
        <v>589</v>
      </c>
      <c r="AB120" s="250"/>
      <c r="AD120" s="250"/>
      <c r="AE120" s="250"/>
      <c r="AF120" s="250"/>
      <c r="AG120" s="250"/>
      <c r="AH120" s="250"/>
    </row>
    <row r="121" spans="1:34" s="247" customFormat="1">
      <c r="A121" s="247">
        <v>880709</v>
      </c>
      <c r="B121" s="247" t="s">
        <v>6588</v>
      </c>
      <c r="C121" s="247">
        <v>8</v>
      </c>
      <c r="E121" s="248" t="s">
        <v>747</v>
      </c>
      <c r="F121" s="247">
        <v>8</v>
      </c>
      <c r="H121" s="247">
        <v>303</v>
      </c>
      <c r="I121" s="251" t="s">
        <v>748</v>
      </c>
      <c r="O121" s="247">
        <v>2</v>
      </c>
      <c r="R121" s="247" t="s">
        <v>6764</v>
      </c>
      <c r="U121" s="250"/>
      <c r="W121" s="247" t="s">
        <v>6765</v>
      </c>
      <c r="X121" s="247" t="s">
        <v>570</v>
      </c>
      <c r="AA121" s="247" t="s">
        <v>589</v>
      </c>
      <c r="AB121" s="250"/>
      <c r="AD121" s="250"/>
      <c r="AE121" s="250"/>
      <c r="AF121" s="250"/>
      <c r="AG121" s="250"/>
      <c r="AH121" s="250"/>
    </row>
    <row r="122" spans="1:34" s="247" customFormat="1">
      <c r="A122" s="247">
        <v>880809</v>
      </c>
      <c r="B122" s="247" t="s">
        <v>6589</v>
      </c>
      <c r="C122" s="247">
        <v>8</v>
      </c>
      <c r="E122" s="248" t="s">
        <v>747</v>
      </c>
      <c r="F122" s="247">
        <v>8</v>
      </c>
      <c r="H122" s="247">
        <v>304</v>
      </c>
      <c r="I122" s="251" t="s">
        <v>748</v>
      </c>
      <c r="O122" s="247">
        <v>2</v>
      </c>
      <c r="R122" s="247" t="s">
        <v>6766</v>
      </c>
      <c r="U122" s="250"/>
      <c r="W122" s="247" t="s">
        <v>6767</v>
      </c>
      <c r="X122" s="247" t="s">
        <v>566</v>
      </c>
      <c r="AA122" s="247" t="s">
        <v>589</v>
      </c>
      <c r="AB122" s="250"/>
      <c r="AD122" s="250"/>
      <c r="AE122" s="250"/>
      <c r="AF122" s="250"/>
      <c r="AG122" s="250"/>
      <c r="AH122" s="250"/>
    </row>
    <row r="123" spans="1:34" s="247" customFormat="1">
      <c r="A123" s="247">
        <v>820118</v>
      </c>
      <c r="B123" s="247" t="s">
        <v>6594</v>
      </c>
      <c r="C123" s="247">
        <v>8</v>
      </c>
      <c r="E123" s="248" t="s">
        <v>747</v>
      </c>
      <c r="F123" s="247">
        <v>2</v>
      </c>
      <c r="H123" s="247">
        <v>305</v>
      </c>
      <c r="I123" s="251" t="s">
        <v>748</v>
      </c>
      <c r="R123" s="247" t="s">
        <v>6776</v>
      </c>
      <c r="U123" s="250"/>
      <c r="W123" s="247" t="s">
        <v>6777</v>
      </c>
      <c r="X123" s="247" t="s">
        <v>522</v>
      </c>
      <c r="AA123" s="247" t="s">
        <v>559</v>
      </c>
      <c r="AB123" s="250"/>
      <c r="AD123" s="250"/>
      <c r="AE123" s="250"/>
      <c r="AF123" s="250"/>
      <c r="AG123" s="250"/>
      <c r="AH123" s="250"/>
    </row>
    <row r="124" spans="1:34" s="247" customFormat="1">
      <c r="A124" s="247">
        <v>820218</v>
      </c>
      <c r="B124" s="247" t="s">
        <v>6595</v>
      </c>
      <c r="C124" s="247">
        <v>8</v>
      </c>
      <c r="E124" s="248" t="s">
        <v>747</v>
      </c>
      <c r="F124" s="247">
        <v>2</v>
      </c>
      <c r="H124" s="247">
        <v>303</v>
      </c>
      <c r="I124" s="251" t="s">
        <v>748</v>
      </c>
      <c r="R124" s="247" t="s">
        <v>6778</v>
      </c>
      <c r="U124" s="250"/>
      <c r="W124" s="247" t="s">
        <v>6779</v>
      </c>
      <c r="X124" s="247" t="s">
        <v>522</v>
      </c>
      <c r="AA124" s="247" t="s">
        <v>559</v>
      </c>
      <c r="AB124" s="250"/>
      <c r="AD124" s="250"/>
      <c r="AE124" s="250"/>
      <c r="AF124" s="250"/>
      <c r="AG124" s="250"/>
      <c r="AH124" s="250"/>
    </row>
    <row r="125" spans="1:34" s="247" customFormat="1">
      <c r="A125" s="247">
        <v>820318</v>
      </c>
      <c r="B125" s="247" t="s">
        <v>6596</v>
      </c>
      <c r="C125" s="247">
        <v>8</v>
      </c>
      <c r="E125" s="248" t="s">
        <v>747</v>
      </c>
      <c r="F125" s="247">
        <v>2</v>
      </c>
      <c r="H125" s="247">
        <v>301</v>
      </c>
      <c r="I125" s="251" t="s">
        <v>748</v>
      </c>
      <c r="R125" s="247" t="s">
        <v>6780</v>
      </c>
      <c r="U125" s="250"/>
      <c r="W125" s="247" t="s">
        <v>6781</v>
      </c>
      <c r="X125" s="247" t="s">
        <v>551</v>
      </c>
      <c r="AA125" s="247" t="s">
        <v>559</v>
      </c>
      <c r="AB125" s="250"/>
      <c r="AD125" s="250"/>
      <c r="AE125" s="250"/>
      <c r="AF125" s="250"/>
      <c r="AG125" s="250"/>
      <c r="AH125" s="250"/>
    </row>
    <row r="126" spans="1:34" s="247" customFormat="1">
      <c r="A126" s="247">
        <v>820418</v>
      </c>
      <c r="B126" s="247" t="s">
        <v>6597</v>
      </c>
      <c r="C126" s="247">
        <v>8</v>
      </c>
      <c r="E126" s="248" t="s">
        <v>747</v>
      </c>
      <c r="F126" s="247">
        <v>2</v>
      </c>
      <c r="H126" s="247">
        <v>306</v>
      </c>
      <c r="I126" s="251" t="s">
        <v>748</v>
      </c>
      <c r="R126" s="247" t="s">
        <v>6782</v>
      </c>
      <c r="U126" s="250"/>
      <c r="W126" s="247" t="s">
        <v>6783</v>
      </c>
      <c r="X126" s="247" t="s">
        <v>553</v>
      </c>
      <c r="AA126" s="247" t="s">
        <v>559</v>
      </c>
      <c r="AB126" s="250"/>
      <c r="AD126" s="250"/>
      <c r="AE126" s="250"/>
      <c r="AF126" s="250"/>
      <c r="AG126" s="250"/>
      <c r="AH126" s="250"/>
    </row>
    <row r="127" spans="1:34" s="247" customFormat="1">
      <c r="A127" s="247">
        <v>820518</v>
      </c>
      <c r="B127" s="247" t="s">
        <v>6598</v>
      </c>
      <c r="C127" s="247">
        <v>8</v>
      </c>
      <c r="E127" s="248" t="s">
        <v>747</v>
      </c>
      <c r="F127" s="247">
        <v>2</v>
      </c>
      <c r="H127" s="247">
        <v>303</v>
      </c>
      <c r="I127" s="251" t="s">
        <v>748</v>
      </c>
      <c r="R127" s="247" t="s">
        <v>6784</v>
      </c>
      <c r="U127" s="250"/>
      <c r="W127" s="247" t="s">
        <v>6785</v>
      </c>
      <c r="X127" s="247" t="s">
        <v>553</v>
      </c>
      <c r="AA127" s="247" t="s">
        <v>559</v>
      </c>
      <c r="AB127" s="250"/>
      <c r="AD127" s="250"/>
      <c r="AE127" s="250"/>
      <c r="AF127" s="250"/>
      <c r="AG127" s="250"/>
      <c r="AH127" s="250"/>
    </row>
    <row r="128" spans="1:34" s="247" customFormat="1">
      <c r="A128" s="247">
        <v>820618</v>
      </c>
      <c r="B128" s="247" t="s">
        <v>6599</v>
      </c>
      <c r="C128" s="247">
        <v>8</v>
      </c>
      <c r="E128" s="248" t="s">
        <v>747</v>
      </c>
      <c r="F128" s="247">
        <v>2</v>
      </c>
      <c r="H128" s="247">
        <v>307</v>
      </c>
      <c r="I128" s="251" t="s">
        <v>748</v>
      </c>
      <c r="R128" s="247" t="s">
        <v>6786</v>
      </c>
      <c r="U128" s="250"/>
      <c r="W128" s="247" t="s">
        <v>6787</v>
      </c>
      <c r="X128" s="247" t="s">
        <v>553</v>
      </c>
      <c r="AA128" s="247" t="s">
        <v>559</v>
      </c>
      <c r="AB128" s="250"/>
      <c r="AD128" s="250"/>
      <c r="AE128" s="250"/>
      <c r="AF128" s="250"/>
      <c r="AG128" s="250"/>
      <c r="AH128" s="250"/>
    </row>
    <row r="129" spans="1:38" s="247" customFormat="1">
      <c r="A129" s="247">
        <v>820718</v>
      </c>
      <c r="B129" s="247" t="s">
        <v>6600</v>
      </c>
      <c r="C129" s="247">
        <v>8</v>
      </c>
      <c r="E129" s="248" t="s">
        <v>747</v>
      </c>
      <c r="F129" s="247">
        <v>2</v>
      </c>
      <c r="H129" s="247">
        <v>308</v>
      </c>
      <c r="I129" s="251" t="s">
        <v>748</v>
      </c>
      <c r="R129" s="247" t="s">
        <v>6788</v>
      </c>
      <c r="U129" s="250"/>
      <c r="W129" s="247" t="s">
        <v>6789</v>
      </c>
      <c r="X129" s="247" t="s">
        <v>547</v>
      </c>
      <c r="AA129" s="247" t="s">
        <v>559</v>
      </c>
      <c r="AB129" s="250"/>
      <c r="AD129" s="250"/>
      <c r="AE129" s="250"/>
      <c r="AF129" s="250"/>
      <c r="AG129" s="250"/>
      <c r="AH129" s="250"/>
    </row>
    <row r="130" spans="1:38" s="247" customFormat="1">
      <c r="A130" s="247">
        <v>820818</v>
      </c>
      <c r="B130" s="247" t="s">
        <v>6601</v>
      </c>
      <c r="C130" s="247">
        <v>8</v>
      </c>
      <c r="E130" s="248" t="s">
        <v>747</v>
      </c>
      <c r="F130" s="247">
        <v>2</v>
      </c>
      <c r="H130" s="247">
        <v>304</v>
      </c>
      <c r="I130" s="251" t="s">
        <v>748</v>
      </c>
      <c r="R130" s="247" t="s">
        <v>6790</v>
      </c>
      <c r="U130" s="250"/>
      <c r="W130" s="247" t="s">
        <v>6791</v>
      </c>
      <c r="X130" s="247" t="s">
        <v>452</v>
      </c>
      <c r="AA130" s="247" t="s">
        <v>559</v>
      </c>
      <c r="AB130" s="250"/>
      <c r="AD130" s="250"/>
      <c r="AE130" s="250"/>
      <c r="AF130" s="250"/>
      <c r="AG130" s="250"/>
      <c r="AH130" s="250"/>
    </row>
    <row r="131" spans="1:38" s="247" customFormat="1">
      <c r="A131" s="247">
        <v>820918</v>
      </c>
      <c r="B131" s="247" t="s">
        <v>6602</v>
      </c>
      <c r="C131" s="247">
        <v>8</v>
      </c>
      <c r="E131" s="248" t="s">
        <v>747</v>
      </c>
      <c r="F131" s="247">
        <v>2</v>
      </c>
      <c r="H131" s="247">
        <v>301</v>
      </c>
      <c r="I131" s="251" t="s">
        <v>748</v>
      </c>
      <c r="R131" s="247" t="s">
        <v>6792</v>
      </c>
      <c r="U131" s="250"/>
      <c r="W131" s="247" t="s">
        <v>6793</v>
      </c>
      <c r="X131" s="247" t="s">
        <v>439</v>
      </c>
      <c r="AA131" s="247" t="s">
        <v>559</v>
      </c>
      <c r="AB131" s="250"/>
      <c r="AD131" s="250"/>
      <c r="AE131" s="250"/>
      <c r="AF131" s="250"/>
      <c r="AG131" s="250"/>
      <c r="AH131" s="250"/>
    </row>
    <row r="132" spans="1:38" s="247" customFormat="1">
      <c r="A132" s="247">
        <v>821018</v>
      </c>
      <c r="B132" s="247" t="s">
        <v>6603</v>
      </c>
      <c r="C132" s="247">
        <v>8</v>
      </c>
      <c r="E132" s="248" t="s">
        <v>747</v>
      </c>
      <c r="F132" s="247">
        <v>2</v>
      </c>
      <c r="H132" s="247">
        <v>302</v>
      </c>
      <c r="I132" s="251" t="s">
        <v>748</v>
      </c>
      <c r="R132" s="247" t="s">
        <v>6794</v>
      </c>
      <c r="U132" s="250"/>
      <c r="W132" s="247" t="s">
        <v>6795</v>
      </c>
      <c r="X132" s="247" t="s">
        <v>522</v>
      </c>
      <c r="AA132" s="247" t="s">
        <v>559</v>
      </c>
      <c r="AB132" s="250"/>
      <c r="AD132" s="250"/>
      <c r="AE132" s="250"/>
      <c r="AF132" s="250"/>
      <c r="AG132" s="250"/>
      <c r="AH132" s="250"/>
    </row>
    <row r="133" spans="1:38" s="247" customFormat="1">
      <c r="A133" s="247">
        <v>821118</v>
      </c>
      <c r="B133" s="247" t="s">
        <v>6604</v>
      </c>
      <c r="C133" s="247">
        <v>8</v>
      </c>
      <c r="E133" s="248" t="s">
        <v>747</v>
      </c>
      <c r="F133" s="247">
        <v>2</v>
      </c>
      <c r="H133" s="247">
        <v>302</v>
      </c>
      <c r="I133" s="251" t="s">
        <v>748</v>
      </c>
      <c r="R133" s="247" t="s">
        <v>6796</v>
      </c>
      <c r="U133" s="250"/>
      <c r="W133" s="247" t="s">
        <v>6797</v>
      </c>
      <c r="X133" s="247" t="s">
        <v>536</v>
      </c>
      <c r="AA133" s="247" t="s">
        <v>559</v>
      </c>
      <c r="AB133" s="250"/>
      <c r="AD133" s="250"/>
      <c r="AE133" s="250"/>
      <c r="AF133" s="250"/>
      <c r="AG133" s="250"/>
      <c r="AH133" s="250"/>
    </row>
    <row r="134" spans="1:38" s="247" customFormat="1">
      <c r="A134" s="247">
        <v>821218</v>
      </c>
      <c r="B134" s="247" t="s">
        <v>6605</v>
      </c>
      <c r="C134" s="247">
        <v>8</v>
      </c>
      <c r="E134" s="248" t="s">
        <v>747</v>
      </c>
      <c r="F134" s="247">
        <v>2</v>
      </c>
      <c r="H134" s="247">
        <v>304</v>
      </c>
      <c r="I134" s="251" t="s">
        <v>748</v>
      </c>
      <c r="R134" s="247" t="s">
        <v>6798</v>
      </c>
      <c r="U134" s="250"/>
      <c r="W134" s="247" t="s">
        <v>6799</v>
      </c>
      <c r="X134" s="247" t="s">
        <v>553</v>
      </c>
      <c r="AA134" s="247" t="s">
        <v>559</v>
      </c>
      <c r="AB134" s="250"/>
      <c r="AD134" s="250"/>
      <c r="AE134" s="250"/>
      <c r="AF134" s="250"/>
      <c r="AG134" s="250"/>
      <c r="AH134" s="250"/>
    </row>
    <row r="135" spans="1:38" s="247" customFormat="1">
      <c r="A135" s="247">
        <v>821318</v>
      </c>
      <c r="B135" s="247" t="s">
        <v>6606</v>
      </c>
      <c r="C135" s="247">
        <v>8</v>
      </c>
      <c r="E135" s="248" t="s">
        <v>747</v>
      </c>
      <c r="F135" s="247">
        <v>2</v>
      </c>
      <c r="H135" s="247">
        <v>305</v>
      </c>
      <c r="I135" s="251" t="s">
        <v>748</v>
      </c>
      <c r="R135" s="247" t="s">
        <v>6800</v>
      </c>
      <c r="U135" s="250"/>
      <c r="W135" s="247" t="s">
        <v>6801</v>
      </c>
      <c r="X135" s="247" t="s">
        <v>551</v>
      </c>
      <c r="AA135" s="247" t="s">
        <v>559</v>
      </c>
      <c r="AB135" s="250"/>
      <c r="AD135" s="250"/>
      <c r="AE135" s="250"/>
      <c r="AF135" s="250"/>
      <c r="AG135" s="250"/>
      <c r="AH135" s="250"/>
    </row>
    <row r="136" spans="1:38" s="247" customFormat="1">
      <c r="A136" s="247">
        <v>821418</v>
      </c>
      <c r="B136" s="247" t="s">
        <v>6607</v>
      </c>
      <c r="C136" s="247">
        <v>8</v>
      </c>
      <c r="E136" s="248" t="s">
        <v>747</v>
      </c>
      <c r="F136" s="247">
        <v>2</v>
      </c>
      <c r="H136" s="247">
        <v>306</v>
      </c>
      <c r="I136" s="251" t="s">
        <v>748</v>
      </c>
      <c r="R136" s="247" t="s">
        <v>6802</v>
      </c>
      <c r="U136" s="250"/>
      <c r="W136" s="247" t="s">
        <v>6803</v>
      </c>
      <c r="X136" s="247" t="s">
        <v>536</v>
      </c>
      <c r="AA136" s="247" t="s">
        <v>559</v>
      </c>
      <c r="AB136" s="250"/>
      <c r="AD136" s="250"/>
      <c r="AE136" s="250"/>
      <c r="AF136" s="250"/>
      <c r="AG136" s="250"/>
      <c r="AH136" s="250"/>
    </row>
    <row r="137" spans="1:38" s="247" customFormat="1">
      <c r="A137" s="247">
        <v>821518</v>
      </c>
      <c r="B137" s="247" t="s">
        <v>6608</v>
      </c>
      <c r="C137" s="247">
        <v>8</v>
      </c>
      <c r="E137" s="248" t="s">
        <v>747</v>
      </c>
      <c r="F137" s="247">
        <v>2</v>
      </c>
      <c r="H137" s="247">
        <v>307</v>
      </c>
      <c r="I137" s="251" t="s">
        <v>748</v>
      </c>
      <c r="R137" s="247" t="s">
        <v>6804</v>
      </c>
      <c r="U137" s="250"/>
      <c r="W137" s="247" t="s">
        <v>6805</v>
      </c>
      <c r="X137" s="247" t="s">
        <v>545</v>
      </c>
      <c r="AA137" s="247" t="s">
        <v>559</v>
      </c>
      <c r="AB137" s="250"/>
      <c r="AD137" s="250"/>
      <c r="AE137" s="250"/>
      <c r="AF137" s="250"/>
      <c r="AG137" s="250"/>
      <c r="AH137" s="250"/>
    </row>
    <row r="138" spans="1:38" s="247" customFormat="1">
      <c r="A138" s="247">
        <v>821618</v>
      </c>
      <c r="B138" s="247" t="s">
        <v>6609</v>
      </c>
      <c r="C138" s="247">
        <v>8</v>
      </c>
      <c r="E138" s="248" t="s">
        <v>747</v>
      </c>
      <c r="F138" s="247">
        <v>2</v>
      </c>
      <c r="H138" s="247">
        <v>307</v>
      </c>
      <c r="I138" s="251" t="s">
        <v>748</v>
      </c>
      <c r="R138" s="247" t="s">
        <v>6806</v>
      </c>
      <c r="U138" s="250"/>
      <c r="W138" s="247" t="s">
        <v>6063</v>
      </c>
      <c r="X138" s="247" t="s">
        <v>536</v>
      </c>
      <c r="AA138" s="247" t="s">
        <v>559</v>
      </c>
      <c r="AB138" s="250"/>
      <c r="AD138" s="250"/>
      <c r="AE138" s="250"/>
      <c r="AF138" s="250"/>
      <c r="AG138" s="250"/>
      <c r="AH138" s="250"/>
    </row>
    <row r="139" spans="1:38" s="247" customFormat="1">
      <c r="A139" s="247">
        <v>821718</v>
      </c>
      <c r="B139" s="247" t="s">
        <v>6610</v>
      </c>
      <c r="C139" s="247">
        <v>8</v>
      </c>
      <c r="E139" s="248" t="s">
        <v>747</v>
      </c>
      <c r="F139" s="247">
        <v>2</v>
      </c>
      <c r="H139" s="247">
        <v>307</v>
      </c>
      <c r="I139" s="251" t="s">
        <v>748</v>
      </c>
      <c r="R139" s="247" t="s">
        <v>6807</v>
      </c>
      <c r="U139" s="250"/>
      <c r="W139" s="247" t="s">
        <v>6808</v>
      </c>
      <c r="X139" s="247" t="s">
        <v>536</v>
      </c>
      <c r="AA139" s="247" t="s">
        <v>559</v>
      </c>
      <c r="AB139" s="250"/>
      <c r="AD139" s="250"/>
      <c r="AE139" s="250"/>
      <c r="AF139" s="250"/>
      <c r="AG139" s="250"/>
      <c r="AH139" s="250"/>
    </row>
    <row r="140" spans="1:38" s="247" customFormat="1">
      <c r="E140" s="248"/>
      <c r="I140" s="251"/>
      <c r="U140" s="250"/>
      <c r="AB140" s="250"/>
      <c r="AD140" s="250"/>
      <c r="AE140" s="250"/>
      <c r="AF140" s="250"/>
      <c r="AG140" s="250"/>
      <c r="AH140" s="250"/>
    </row>
    <row r="141" spans="1:38" s="124" customFormat="1">
      <c r="A141" s="124">
        <v>44380</v>
      </c>
      <c r="B141" s="124" t="s">
        <v>6347</v>
      </c>
      <c r="C141" s="124">
        <v>4</v>
      </c>
      <c r="E141" s="124" t="s">
        <v>1157</v>
      </c>
      <c r="F141" s="124">
        <v>4</v>
      </c>
      <c r="G141" s="124" t="s">
        <v>6449</v>
      </c>
      <c r="H141" s="124">
        <v>304</v>
      </c>
      <c r="I141" s="127" t="s">
        <v>6221</v>
      </c>
      <c r="J141" s="124">
        <v>1</v>
      </c>
      <c r="K141" s="124">
        <v>40771</v>
      </c>
      <c r="L141" s="124">
        <v>440771</v>
      </c>
      <c r="M141" s="124">
        <v>5</v>
      </c>
      <c r="N141" s="124">
        <v>15</v>
      </c>
      <c r="S141" s="124" t="s">
        <v>6450</v>
      </c>
      <c r="T141" s="124" t="s">
        <v>6451</v>
      </c>
      <c r="U141" s="124" t="s">
        <v>6350</v>
      </c>
      <c r="W141" s="124">
        <v>7</v>
      </c>
      <c r="X141" s="124" t="s">
        <v>512</v>
      </c>
      <c r="Z141" s="124">
        <v>3</v>
      </c>
      <c r="AA141" s="124" t="s">
        <v>578</v>
      </c>
      <c r="AB141" s="124" t="s">
        <v>6353</v>
      </c>
      <c r="AC141" s="124">
        <v>8</v>
      </c>
      <c r="AD141" s="124" t="s">
        <v>6354</v>
      </c>
      <c r="AE141" s="124" t="s">
        <v>6355</v>
      </c>
      <c r="AF141" s="124" t="s">
        <v>6356</v>
      </c>
      <c r="AG141" s="124" t="s">
        <v>6357</v>
      </c>
      <c r="AH141" s="124" t="s">
        <v>6358</v>
      </c>
    </row>
    <row r="142" spans="1:38" s="124" customFormat="1">
      <c r="A142" s="124">
        <v>51570</v>
      </c>
      <c r="B142" s="124" t="s">
        <v>6455</v>
      </c>
      <c r="C142" s="124">
        <v>5</v>
      </c>
      <c r="E142" s="124" t="s">
        <v>1157</v>
      </c>
      <c r="F142" s="124">
        <v>1</v>
      </c>
      <c r="G142" s="124" t="s">
        <v>6463</v>
      </c>
      <c r="H142" s="124">
        <v>304</v>
      </c>
      <c r="I142" s="127" t="s">
        <v>6221</v>
      </c>
      <c r="J142" s="124">
        <v>1</v>
      </c>
      <c r="K142" s="124">
        <v>10781</v>
      </c>
      <c r="L142" s="124">
        <v>410784</v>
      </c>
      <c r="M142" s="124">
        <v>7</v>
      </c>
      <c r="N142" s="124">
        <v>23</v>
      </c>
      <c r="S142" s="124" t="s">
        <v>6464</v>
      </c>
      <c r="T142" s="124" t="s">
        <v>6592</v>
      </c>
      <c r="U142" s="124" t="s">
        <v>6456</v>
      </c>
      <c r="W142" s="124">
        <v>6</v>
      </c>
      <c r="X142" s="124" t="s">
        <v>564</v>
      </c>
      <c r="Z142" s="124">
        <v>4</v>
      </c>
      <c r="AA142" s="124" t="s">
        <v>540</v>
      </c>
      <c r="AB142" s="124" t="s">
        <v>6457</v>
      </c>
      <c r="AC142" s="124">
        <v>6</v>
      </c>
      <c r="AD142" s="124" t="s">
        <v>6458</v>
      </c>
      <c r="AE142" s="124" t="s">
        <v>6459</v>
      </c>
      <c r="AF142" s="124" t="s">
        <v>6460</v>
      </c>
      <c r="AG142" s="124" t="s">
        <v>6461</v>
      </c>
      <c r="AH142" s="124" t="s">
        <v>6462</v>
      </c>
    </row>
    <row r="143" spans="1:38" s="124" customFormat="1">
      <c r="A143" s="124">
        <v>63060</v>
      </c>
      <c r="B143" s="124" t="s">
        <v>6348</v>
      </c>
      <c r="C143" s="124">
        <v>6</v>
      </c>
      <c r="E143" s="124" t="s">
        <v>6593</v>
      </c>
      <c r="F143" s="124">
        <v>3</v>
      </c>
      <c r="H143" s="124">
        <v>304</v>
      </c>
      <c r="I143" s="127" t="s">
        <v>6479</v>
      </c>
      <c r="J143" s="124">
        <v>3</v>
      </c>
      <c r="K143" s="124">
        <v>35061</v>
      </c>
      <c r="L143" s="124">
        <v>435062</v>
      </c>
      <c r="M143" s="124">
        <v>57</v>
      </c>
      <c r="N143" s="124">
        <v>71</v>
      </c>
      <c r="T143" s="124" t="s">
        <v>6452</v>
      </c>
      <c r="U143" s="124" t="s">
        <v>6351</v>
      </c>
      <c r="W143" s="124">
        <v>7</v>
      </c>
      <c r="X143" s="124" t="s">
        <v>522</v>
      </c>
      <c r="Z143" s="124">
        <v>8</v>
      </c>
      <c r="AA143" s="124" t="s">
        <v>575</v>
      </c>
      <c r="AB143" s="124" t="s">
        <v>6359</v>
      </c>
      <c r="AC143" s="124">
        <v>11</v>
      </c>
      <c r="AD143" s="124" t="s">
        <v>6360</v>
      </c>
      <c r="AE143" s="124" t="s">
        <v>6361</v>
      </c>
      <c r="AF143" s="124" t="s">
        <v>6362</v>
      </c>
      <c r="AG143" s="124" t="s">
        <v>6363</v>
      </c>
      <c r="AH143" s="124" t="s">
        <v>6364</v>
      </c>
      <c r="AI143" s="124" t="s">
        <v>6365</v>
      </c>
      <c r="AJ143" s="124">
        <v>4</v>
      </c>
      <c r="AL143" s="124">
        <v>1</v>
      </c>
    </row>
    <row r="144" spans="1:38" s="124" customFormat="1">
      <c r="I144" s="127"/>
    </row>
    <row r="145" spans="1:38" s="247" customFormat="1" ht="22.5" customHeight="1">
      <c r="E145" s="248"/>
      <c r="I145" s="251"/>
      <c r="U145" s="250"/>
      <c r="AB145" s="250"/>
      <c r="AD145" s="250"/>
      <c r="AE145" s="250"/>
      <c r="AF145" s="250"/>
      <c r="AG145" s="250"/>
      <c r="AH145" s="250"/>
    </row>
    <row r="146" spans="1:38" s="124" customFormat="1" ht="14.25" customHeight="1">
      <c r="A146" s="124">
        <v>62060</v>
      </c>
      <c r="B146" s="124" t="s">
        <v>6319</v>
      </c>
      <c r="C146" s="124">
        <v>6</v>
      </c>
      <c r="E146" s="124" t="s">
        <v>6327</v>
      </c>
      <c r="F146" s="124">
        <v>2</v>
      </c>
      <c r="H146" s="124">
        <v>303</v>
      </c>
      <c r="I146" s="127" t="s">
        <v>6322</v>
      </c>
      <c r="J146" s="124">
        <v>3</v>
      </c>
      <c r="K146" s="124">
        <v>25061</v>
      </c>
      <c r="L146" s="124">
        <v>425062</v>
      </c>
      <c r="M146" s="124">
        <v>90</v>
      </c>
      <c r="N146" s="124">
        <v>103</v>
      </c>
      <c r="T146" s="124" t="s">
        <v>6376</v>
      </c>
      <c r="U146" s="124" t="s">
        <v>6320</v>
      </c>
      <c r="W146" s="124">
        <v>4</v>
      </c>
      <c r="X146" s="124" t="s">
        <v>5457</v>
      </c>
      <c r="Z146" s="124">
        <v>0</v>
      </c>
      <c r="AA146" s="124" t="s">
        <v>563</v>
      </c>
      <c r="AB146" s="124" t="s">
        <v>6373</v>
      </c>
      <c r="AC146" s="124">
        <v>9</v>
      </c>
      <c r="AD146" s="124" t="s">
        <v>6335</v>
      </c>
      <c r="AE146" s="124" t="s">
        <v>6336</v>
      </c>
      <c r="AF146" s="124" t="s">
        <v>6337</v>
      </c>
      <c r="AG146" s="124" t="s">
        <v>6338</v>
      </c>
      <c r="AH146" s="124" t="s">
        <v>6339</v>
      </c>
      <c r="AI146" s="124" t="s">
        <v>6340</v>
      </c>
      <c r="AJ146" s="124">
        <v>4</v>
      </c>
      <c r="AK146" s="124">
        <v>0</v>
      </c>
      <c r="AL146" s="124">
        <v>1</v>
      </c>
    </row>
    <row r="147" spans="1:38" s="124" customFormat="1" ht="14.25" customHeight="1">
      <c r="A147" s="124">
        <v>63050</v>
      </c>
      <c r="B147" s="124" t="s">
        <v>6321</v>
      </c>
      <c r="C147" s="124">
        <v>6</v>
      </c>
      <c r="E147" s="124" t="s">
        <v>6328</v>
      </c>
      <c r="F147" s="124">
        <v>3</v>
      </c>
      <c r="G147" s="142"/>
      <c r="H147" s="124">
        <v>303</v>
      </c>
      <c r="I147" s="127" t="s">
        <v>6322</v>
      </c>
      <c r="J147" s="124">
        <v>3</v>
      </c>
      <c r="K147" s="124">
        <v>35051</v>
      </c>
      <c r="L147" s="124">
        <v>435053</v>
      </c>
      <c r="M147" s="124">
        <v>70</v>
      </c>
      <c r="N147" s="124">
        <v>82</v>
      </c>
      <c r="T147" s="124" t="s">
        <v>6377</v>
      </c>
      <c r="U147" s="124" t="s">
        <v>6323</v>
      </c>
      <c r="W147" s="124">
        <v>4</v>
      </c>
      <c r="X147" s="124" t="s">
        <v>5460</v>
      </c>
      <c r="Z147" s="124">
        <v>0</v>
      </c>
      <c r="AA147" s="124" t="s">
        <v>5237</v>
      </c>
      <c r="AB147" s="124" t="s">
        <v>6374</v>
      </c>
      <c r="AC147" s="124">
        <v>9</v>
      </c>
      <c r="AD147" s="124" t="s">
        <v>6380</v>
      </c>
      <c r="AE147" s="124" t="s">
        <v>6381</v>
      </c>
      <c r="AF147" s="124" t="s">
        <v>6382</v>
      </c>
      <c r="AG147" s="124" t="s">
        <v>6383</v>
      </c>
      <c r="AH147" s="124" t="s">
        <v>6384</v>
      </c>
      <c r="AI147" s="124" t="s">
        <v>6385</v>
      </c>
      <c r="AJ147" s="124">
        <v>4</v>
      </c>
      <c r="AK147" s="124">
        <v>0</v>
      </c>
      <c r="AL147" s="124">
        <v>1</v>
      </c>
    </row>
    <row r="148" spans="1:38" s="124" customFormat="1" ht="14.25" customHeight="1">
      <c r="A148" s="124">
        <v>64060</v>
      </c>
      <c r="B148" s="124" t="s">
        <v>6324</v>
      </c>
      <c r="C148" s="124">
        <v>6</v>
      </c>
      <c r="E148" s="124" t="s">
        <v>6329</v>
      </c>
      <c r="F148" s="124">
        <v>4</v>
      </c>
      <c r="H148" s="124">
        <v>303</v>
      </c>
      <c r="I148" s="127" t="s">
        <v>6322</v>
      </c>
      <c r="J148" s="124">
        <v>3</v>
      </c>
      <c r="K148" s="124">
        <v>45061</v>
      </c>
      <c r="L148" s="124">
        <v>445064</v>
      </c>
      <c r="M148" s="124">
        <v>41</v>
      </c>
      <c r="N148" s="124">
        <v>52</v>
      </c>
      <c r="T148" s="124" t="s">
        <v>6612</v>
      </c>
      <c r="U148" s="124" t="s">
        <v>6325</v>
      </c>
      <c r="W148" s="124">
        <v>4</v>
      </c>
      <c r="X148" s="124" t="s">
        <v>5457</v>
      </c>
      <c r="Z148" s="124">
        <v>0</v>
      </c>
      <c r="AA148" s="124" t="s">
        <v>586</v>
      </c>
      <c r="AB148" s="124" t="s">
        <v>6375</v>
      </c>
      <c r="AC148" s="124">
        <v>9</v>
      </c>
      <c r="AD148" s="124" t="s">
        <v>6341</v>
      </c>
      <c r="AE148" s="124" t="s">
        <v>6342</v>
      </c>
      <c r="AF148" s="124" t="s">
        <v>6343</v>
      </c>
      <c r="AG148" s="124" t="s">
        <v>6344</v>
      </c>
      <c r="AH148" s="124" t="s">
        <v>6345</v>
      </c>
      <c r="AI148" s="124" t="s">
        <v>6346</v>
      </c>
      <c r="AJ148" s="124">
        <v>4</v>
      </c>
      <c r="AK148" s="124">
        <v>0</v>
      </c>
      <c r="AL148" s="124">
        <v>1</v>
      </c>
    </row>
    <row r="149" spans="1:38" s="124" customFormat="1" ht="14.25" customHeight="1">
      <c r="I149" s="127"/>
    </row>
    <row r="150" spans="1:38" s="124" customFormat="1" ht="15.75" customHeight="1">
      <c r="I150" s="128"/>
      <c r="AB150" s="105"/>
    </row>
    <row r="151" spans="1:38" s="247" customFormat="1" ht="22.5" customHeight="1">
      <c r="I151" s="249"/>
    </row>
    <row r="152" spans="1:38" s="124" customFormat="1">
      <c r="A152" s="124">
        <v>31800</v>
      </c>
      <c r="B152" s="124" t="s">
        <v>6378</v>
      </c>
      <c r="C152" s="124">
        <v>3</v>
      </c>
      <c r="E152" s="124" t="s">
        <v>6271</v>
      </c>
      <c r="F152" s="124">
        <v>1</v>
      </c>
      <c r="G152" s="124" t="s">
        <v>6465</v>
      </c>
      <c r="H152" s="124">
        <v>302</v>
      </c>
      <c r="I152" s="128" t="s">
        <v>6272</v>
      </c>
      <c r="J152" s="124">
        <v>0</v>
      </c>
      <c r="T152" s="124" t="s">
        <v>6466</v>
      </c>
      <c r="U152" s="124" t="s">
        <v>6379</v>
      </c>
      <c r="W152" s="124">
        <v>3</v>
      </c>
      <c r="X152" s="124" t="s">
        <v>3436</v>
      </c>
      <c r="Z152" s="124">
        <v>5</v>
      </c>
      <c r="AA152" s="124" t="s">
        <v>5240</v>
      </c>
    </row>
    <row r="153" spans="1:38" s="124" customFormat="1">
      <c r="A153" s="124">
        <v>31790</v>
      </c>
      <c r="B153" s="124" t="s">
        <v>6261</v>
      </c>
      <c r="C153" s="124">
        <v>3</v>
      </c>
      <c r="E153" s="124" t="s">
        <v>6220</v>
      </c>
      <c r="F153" s="124">
        <v>1</v>
      </c>
      <c r="G153" s="124" t="s">
        <v>6467</v>
      </c>
      <c r="H153" s="124">
        <v>306</v>
      </c>
      <c r="I153" s="128" t="s">
        <v>6221</v>
      </c>
      <c r="J153" s="124">
        <v>0</v>
      </c>
      <c r="T153" s="124" t="s">
        <v>6468</v>
      </c>
      <c r="U153" s="124" t="s">
        <v>6262</v>
      </c>
      <c r="W153" s="124">
        <v>7</v>
      </c>
      <c r="X153" s="124" t="s">
        <v>3834</v>
      </c>
      <c r="Z153" s="124">
        <v>9</v>
      </c>
      <c r="AA153" s="124" t="s">
        <v>443</v>
      </c>
    </row>
    <row r="154" spans="1:38" s="124" customFormat="1" ht="15.75" customHeight="1">
      <c r="A154" s="124">
        <v>32790</v>
      </c>
      <c r="B154" s="124" t="s">
        <v>6263</v>
      </c>
      <c r="C154" s="124">
        <v>3</v>
      </c>
      <c r="E154" s="124" t="s">
        <v>6220</v>
      </c>
      <c r="F154" s="124">
        <v>2</v>
      </c>
      <c r="G154" s="124" t="s">
        <v>6469</v>
      </c>
      <c r="H154" s="124">
        <v>306</v>
      </c>
      <c r="I154" s="128" t="s">
        <v>6221</v>
      </c>
      <c r="J154" s="124">
        <v>0</v>
      </c>
      <c r="T154" s="124" t="s">
        <v>6470</v>
      </c>
      <c r="U154" s="124" t="s">
        <v>6264</v>
      </c>
      <c r="W154" s="124">
        <v>7</v>
      </c>
      <c r="X154" s="124" t="s">
        <v>4961</v>
      </c>
      <c r="Z154" s="124">
        <v>2</v>
      </c>
      <c r="AA154" s="124" t="s">
        <v>6306</v>
      </c>
      <c r="AB154" s="105"/>
    </row>
    <row r="155" spans="1:38" s="124" customFormat="1" ht="15.75" customHeight="1">
      <c r="A155" s="124">
        <v>33810</v>
      </c>
      <c r="B155" s="124" t="s">
        <v>6265</v>
      </c>
      <c r="C155" s="124">
        <v>3</v>
      </c>
      <c r="E155" s="124" t="s">
        <v>6220</v>
      </c>
      <c r="F155" s="124">
        <v>3</v>
      </c>
      <c r="G155" s="124" t="s">
        <v>6471</v>
      </c>
      <c r="H155" s="124">
        <v>305</v>
      </c>
      <c r="I155" s="128" t="s">
        <v>6221</v>
      </c>
      <c r="J155" s="124">
        <v>0</v>
      </c>
      <c r="T155" s="124" t="s">
        <v>6472</v>
      </c>
      <c r="U155" s="124" t="s">
        <v>6266</v>
      </c>
      <c r="W155" s="124">
        <v>7</v>
      </c>
      <c r="X155" s="124" t="s">
        <v>5453</v>
      </c>
      <c r="Z155" s="124">
        <v>4</v>
      </c>
      <c r="AA155" s="124" t="s">
        <v>565</v>
      </c>
      <c r="AB155" s="105"/>
    </row>
    <row r="156" spans="1:38" s="124" customFormat="1" ht="15.75" customHeight="1">
      <c r="A156" s="124">
        <v>34810</v>
      </c>
      <c r="B156" s="124" t="s">
        <v>6267</v>
      </c>
      <c r="C156" s="124">
        <v>3</v>
      </c>
      <c r="E156" s="124" t="s">
        <v>6220</v>
      </c>
      <c r="F156" s="124">
        <v>4</v>
      </c>
      <c r="G156" s="124" t="s">
        <v>6473</v>
      </c>
      <c r="H156" s="124">
        <v>307</v>
      </c>
      <c r="I156" s="128" t="s">
        <v>6221</v>
      </c>
      <c r="J156" s="124">
        <v>0</v>
      </c>
      <c r="T156" s="124" t="s">
        <v>6474</v>
      </c>
      <c r="U156" s="124" t="s">
        <v>6268</v>
      </c>
      <c r="W156" s="124">
        <v>7</v>
      </c>
      <c r="X156" s="124" t="s">
        <v>3605</v>
      </c>
      <c r="Z156" s="124">
        <v>8</v>
      </c>
      <c r="AA156" s="124" t="s">
        <v>6307</v>
      </c>
      <c r="AB156" s="105"/>
    </row>
    <row r="157" spans="1:38" s="124" customFormat="1" ht="15.75" customHeight="1">
      <c r="A157" s="124">
        <v>38240</v>
      </c>
      <c r="B157" s="124" t="s">
        <v>6269</v>
      </c>
      <c r="C157" s="124">
        <v>3</v>
      </c>
      <c r="E157" s="124" t="s">
        <v>6220</v>
      </c>
      <c r="F157" s="124">
        <v>8</v>
      </c>
      <c r="G157" s="124" t="s">
        <v>6475</v>
      </c>
      <c r="H157" s="124">
        <v>306</v>
      </c>
      <c r="I157" s="128" t="s">
        <v>6221</v>
      </c>
      <c r="J157" s="124">
        <v>0</v>
      </c>
      <c r="T157" s="124" t="s">
        <v>6476</v>
      </c>
      <c r="U157" s="124" t="s">
        <v>6270</v>
      </c>
      <c r="W157" s="124">
        <v>7</v>
      </c>
      <c r="X157" s="124" t="s">
        <v>3832</v>
      </c>
      <c r="Z157" s="124">
        <v>4</v>
      </c>
      <c r="AA157" s="124" t="s">
        <v>6308</v>
      </c>
      <c r="AB157" s="105"/>
    </row>
    <row r="158" spans="1:38" s="124" customFormat="1" ht="15.75" customHeight="1">
      <c r="I158" s="128"/>
      <c r="AB158" s="105"/>
    </row>
    <row r="159" spans="1:38" s="124" customFormat="1">
      <c r="A159" s="124">
        <v>44380</v>
      </c>
      <c r="B159" s="124" t="s">
        <v>6347</v>
      </c>
      <c r="C159" s="124">
        <v>4</v>
      </c>
      <c r="E159" s="124" t="s">
        <v>1157</v>
      </c>
      <c r="F159" s="124">
        <v>4</v>
      </c>
      <c r="G159" s="124" t="s">
        <v>6449</v>
      </c>
      <c r="H159" s="124">
        <v>304</v>
      </c>
      <c r="I159" s="127" t="s">
        <v>6221</v>
      </c>
      <c r="J159" s="124">
        <v>1</v>
      </c>
      <c r="K159" s="124">
        <v>40771</v>
      </c>
      <c r="L159" s="124">
        <v>440771</v>
      </c>
      <c r="M159" s="124">
        <v>5</v>
      </c>
      <c r="N159" s="124">
        <v>15</v>
      </c>
      <c r="S159" s="124" t="s">
        <v>6450</v>
      </c>
      <c r="T159" s="124" t="s">
        <v>6451</v>
      </c>
      <c r="U159" s="124" t="s">
        <v>6350</v>
      </c>
      <c r="W159" s="124">
        <v>7</v>
      </c>
      <c r="X159" s="124" t="s">
        <v>512</v>
      </c>
      <c r="Z159" s="124">
        <v>3</v>
      </c>
      <c r="AA159" s="124" t="s">
        <v>578</v>
      </c>
      <c r="AB159" s="124" t="s">
        <v>6353</v>
      </c>
      <c r="AC159" s="124">
        <v>8</v>
      </c>
      <c r="AD159" s="124" t="s">
        <v>6354</v>
      </c>
      <c r="AE159" s="124" t="s">
        <v>6355</v>
      </c>
      <c r="AF159" s="124" t="s">
        <v>6356</v>
      </c>
      <c r="AG159" s="124" t="s">
        <v>6357</v>
      </c>
      <c r="AH159" s="124" t="s">
        <v>6358</v>
      </c>
    </row>
    <row r="160" spans="1:38" s="124" customFormat="1">
      <c r="A160" s="124">
        <v>51570</v>
      </c>
      <c r="B160" s="124" t="s">
        <v>6455</v>
      </c>
      <c r="C160" s="124">
        <v>5</v>
      </c>
      <c r="E160" s="124" t="s">
        <v>1157</v>
      </c>
      <c r="F160" s="124">
        <v>1</v>
      </c>
      <c r="G160" s="124" t="s">
        <v>6463</v>
      </c>
      <c r="H160" s="124">
        <v>304</v>
      </c>
      <c r="I160" s="127" t="s">
        <v>6221</v>
      </c>
      <c r="J160" s="124">
        <v>1</v>
      </c>
      <c r="K160" s="124">
        <v>10781</v>
      </c>
      <c r="L160" s="124">
        <v>410784</v>
      </c>
      <c r="M160" s="124">
        <v>7</v>
      </c>
      <c r="N160" s="124">
        <v>23</v>
      </c>
      <c r="S160" s="124" t="s">
        <v>6464</v>
      </c>
      <c r="T160" s="124" t="s">
        <v>6592</v>
      </c>
      <c r="U160" s="124" t="s">
        <v>6456</v>
      </c>
      <c r="W160" s="124">
        <v>6</v>
      </c>
      <c r="X160" s="124" t="s">
        <v>564</v>
      </c>
      <c r="Z160" s="124">
        <v>4</v>
      </c>
      <c r="AA160" s="124" t="s">
        <v>540</v>
      </c>
      <c r="AB160" s="124" t="s">
        <v>6457</v>
      </c>
      <c r="AC160" s="124">
        <v>6</v>
      </c>
      <c r="AD160" s="124" t="s">
        <v>6458</v>
      </c>
      <c r="AE160" s="124" t="s">
        <v>6459</v>
      </c>
      <c r="AF160" s="124" t="s">
        <v>6460</v>
      </c>
      <c r="AG160" s="124" t="s">
        <v>6461</v>
      </c>
      <c r="AH160" s="124" t="s">
        <v>6462</v>
      </c>
    </row>
    <row r="161" spans="1:42" s="124" customFormat="1">
      <c r="A161" s="124">
        <v>63060</v>
      </c>
      <c r="B161" s="124" t="s">
        <v>6348</v>
      </c>
      <c r="C161" s="124">
        <v>6</v>
      </c>
      <c r="E161" s="124" t="s">
        <v>6593</v>
      </c>
      <c r="F161" s="124">
        <v>3</v>
      </c>
      <c r="H161" s="124">
        <v>304</v>
      </c>
      <c r="I161" s="127" t="s">
        <v>6479</v>
      </c>
      <c r="J161" s="124">
        <v>3</v>
      </c>
      <c r="K161" s="124">
        <v>35061</v>
      </c>
      <c r="L161" s="124">
        <v>435062</v>
      </c>
      <c r="M161" s="124">
        <v>57</v>
      </c>
      <c r="N161" s="124">
        <v>71</v>
      </c>
      <c r="T161" s="124" t="s">
        <v>6452</v>
      </c>
      <c r="U161" s="124" t="s">
        <v>6351</v>
      </c>
      <c r="W161" s="124">
        <v>7</v>
      </c>
      <c r="X161" s="124" t="s">
        <v>522</v>
      </c>
      <c r="Z161" s="124">
        <v>8</v>
      </c>
      <c r="AA161" s="124" t="s">
        <v>575</v>
      </c>
      <c r="AB161" s="124" t="s">
        <v>6359</v>
      </c>
      <c r="AC161" s="124">
        <v>11</v>
      </c>
      <c r="AD161" s="124" t="s">
        <v>6360</v>
      </c>
      <c r="AE161" s="124" t="s">
        <v>6361</v>
      </c>
      <c r="AF161" s="124" t="s">
        <v>6362</v>
      </c>
      <c r="AG161" s="124" t="s">
        <v>6363</v>
      </c>
      <c r="AH161" s="124" t="s">
        <v>6364</v>
      </c>
      <c r="AI161" s="124" t="s">
        <v>6365</v>
      </c>
      <c r="AJ161" s="124">
        <v>4</v>
      </c>
      <c r="AL161" s="124">
        <v>1</v>
      </c>
    </row>
    <row r="162" spans="1:42" s="124" customFormat="1">
      <c r="I162" s="127"/>
    </row>
    <row r="163" spans="1:42" s="124" customFormat="1">
      <c r="I163" s="127"/>
    </row>
    <row r="164" spans="1:42" s="124" customFormat="1">
      <c r="I164" s="127"/>
    </row>
    <row r="165" spans="1:42" s="124" customFormat="1">
      <c r="A165" s="124">
        <v>33800</v>
      </c>
      <c r="B165" s="124" t="s">
        <v>6171</v>
      </c>
      <c r="C165" s="124">
        <v>3</v>
      </c>
      <c r="E165" s="124" t="s">
        <v>5910</v>
      </c>
      <c r="F165" s="124">
        <v>3</v>
      </c>
      <c r="G165" s="124" t="s">
        <v>6173</v>
      </c>
      <c r="H165" s="124">
        <v>303</v>
      </c>
      <c r="I165" s="128" t="s">
        <v>5911</v>
      </c>
      <c r="J165" s="124">
        <v>0</v>
      </c>
      <c r="T165" s="124" t="s">
        <v>6174</v>
      </c>
      <c r="U165" s="124" t="s">
        <v>6172</v>
      </c>
      <c r="W165" s="124">
        <v>3</v>
      </c>
      <c r="X165" s="124" t="s">
        <v>3320</v>
      </c>
      <c r="Z165" s="124">
        <v>3</v>
      </c>
      <c r="AA165" s="124" t="s">
        <v>5916</v>
      </c>
    </row>
    <row r="166" spans="1:42" s="124" customFormat="1">
      <c r="A166" s="124">
        <v>71170</v>
      </c>
      <c r="B166" s="234" t="s">
        <v>5943</v>
      </c>
      <c r="C166" s="124">
        <v>7</v>
      </c>
      <c r="E166" s="124" t="s">
        <v>5919</v>
      </c>
      <c r="F166" s="124">
        <v>1</v>
      </c>
      <c r="G166" s="124" t="s">
        <v>5927</v>
      </c>
      <c r="H166" s="124">
        <v>302</v>
      </c>
      <c r="I166" s="128" t="s">
        <v>5909</v>
      </c>
      <c r="J166" s="124">
        <v>1</v>
      </c>
      <c r="K166" s="124">
        <v>10741</v>
      </c>
      <c r="L166" s="124">
        <v>410743</v>
      </c>
      <c r="M166" s="124">
        <v>80</v>
      </c>
      <c r="N166" s="124">
        <v>91</v>
      </c>
      <c r="P166" s="124" t="s">
        <v>6203</v>
      </c>
      <c r="T166" s="124" t="s">
        <v>5931</v>
      </c>
      <c r="U166" s="235" t="s">
        <v>5945</v>
      </c>
      <c r="V166" s="124">
        <v>3</v>
      </c>
      <c r="W166" s="124">
        <v>6</v>
      </c>
      <c r="X166" s="124" t="s">
        <v>3570</v>
      </c>
      <c r="Z166" s="124">
        <v>0</v>
      </c>
      <c r="AA166" s="124" t="s">
        <v>525</v>
      </c>
      <c r="AB166" s="107" t="s">
        <v>5944</v>
      </c>
      <c r="AC166" s="124">
        <v>6</v>
      </c>
      <c r="AD166" s="124" t="s">
        <v>5946</v>
      </c>
      <c r="AE166" s="124" t="s">
        <v>5947</v>
      </c>
      <c r="AF166" s="124" t="s">
        <v>5948</v>
      </c>
      <c r="AG166" s="124" t="s">
        <v>5949</v>
      </c>
      <c r="AH166" s="124" t="s">
        <v>5950</v>
      </c>
    </row>
    <row r="167" spans="1:42" s="124" customFormat="1">
      <c r="A167" s="124">
        <v>72170</v>
      </c>
      <c r="B167" s="234" t="s">
        <v>5951</v>
      </c>
      <c r="C167" s="124">
        <v>7</v>
      </c>
      <c r="E167" s="124" t="s">
        <v>5919</v>
      </c>
      <c r="F167" s="124">
        <v>2</v>
      </c>
      <c r="G167" s="124" t="s">
        <v>5928</v>
      </c>
      <c r="H167" s="124">
        <v>307</v>
      </c>
      <c r="I167" s="128" t="s">
        <v>5909</v>
      </c>
      <c r="J167" s="124">
        <v>1</v>
      </c>
      <c r="K167" s="124">
        <v>20731</v>
      </c>
      <c r="L167" s="124">
        <v>420732</v>
      </c>
      <c r="M167" s="124">
        <v>33</v>
      </c>
      <c r="N167" s="124">
        <v>49</v>
      </c>
      <c r="P167" s="124" t="s">
        <v>6202</v>
      </c>
      <c r="T167" s="124" t="s">
        <v>5932</v>
      </c>
      <c r="U167" s="235" t="s">
        <v>5952</v>
      </c>
      <c r="V167" s="124">
        <v>3</v>
      </c>
      <c r="W167" s="124">
        <v>6</v>
      </c>
      <c r="X167" s="124" t="s">
        <v>5239</v>
      </c>
      <c r="Z167" s="124">
        <v>0</v>
      </c>
      <c r="AA167" s="124" t="s">
        <v>552</v>
      </c>
      <c r="AB167" s="107" t="s">
        <v>6205</v>
      </c>
      <c r="AC167" s="124">
        <v>6</v>
      </c>
      <c r="AD167" s="124" t="s">
        <v>5953</v>
      </c>
      <c r="AE167" s="124" t="s">
        <v>5954</v>
      </c>
      <c r="AF167" s="124" t="s">
        <v>5955</v>
      </c>
      <c r="AG167" s="124" t="s">
        <v>5956</v>
      </c>
      <c r="AH167" s="124" t="s">
        <v>5957</v>
      </c>
    </row>
    <row r="168" spans="1:42" s="124" customFormat="1">
      <c r="A168" s="124">
        <v>73170</v>
      </c>
      <c r="B168" s="234" t="s">
        <v>5918</v>
      </c>
      <c r="C168" s="124">
        <v>7</v>
      </c>
      <c r="E168" s="124" t="s">
        <v>5919</v>
      </c>
      <c r="F168" s="124">
        <v>3</v>
      </c>
      <c r="G168" s="124" t="s">
        <v>5929</v>
      </c>
      <c r="H168" s="124">
        <v>303</v>
      </c>
      <c r="I168" s="128" t="s">
        <v>5909</v>
      </c>
      <c r="J168" s="124">
        <v>1</v>
      </c>
      <c r="K168" s="124">
        <v>30751</v>
      </c>
      <c r="L168" s="124">
        <v>430753</v>
      </c>
      <c r="M168" s="124">
        <v>32</v>
      </c>
      <c r="N168" s="124">
        <v>45</v>
      </c>
      <c r="P168" s="124" t="s">
        <v>6204</v>
      </c>
      <c r="T168" s="124" t="s">
        <v>5933</v>
      </c>
      <c r="U168" s="235" t="s">
        <v>5920</v>
      </c>
      <c r="V168" s="124">
        <v>3</v>
      </c>
      <c r="W168" s="124">
        <v>6</v>
      </c>
      <c r="X168" s="124" t="s">
        <v>3436</v>
      </c>
      <c r="Z168" s="124">
        <v>0</v>
      </c>
      <c r="AA168" s="124" t="s">
        <v>574</v>
      </c>
      <c r="AB168" s="107" t="s">
        <v>5926</v>
      </c>
      <c r="AC168" s="124">
        <v>6</v>
      </c>
      <c r="AD168" s="124" t="s">
        <v>5921</v>
      </c>
      <c r="AE168" s="124" t="s">
        <v>5922</v>
      </c>
      <c r="AF168" s="124" t="s">
        <v>5923</v>
      </c>
      <c r="AG168" s="124" t="s">
        <v>5924</v>
      </c>
      <c r="AH168" s="124" t="s">
        <v>5925</v>
      </c>
      <c r="AP168" s="124">
        <v>1</v>
      </c>
    </row>
    <row r="169" spans="1:42" s="124" customFormat="1">
      <c r="A169" s="124">
        <v>74170</v>
      </c>
      <c r="B169" s="234" t="s">
        <v>5935</v>
      </c>
      <c r="C169" s="124">
        <v>7</v>
      </c>
      <c r="E169" s="124" t="s">
        <v>5919</v>
      </c>
      <c r="F169" s="124">
        <v>4</v>
      </c>
      <c r="G169" s="124" t="s">
        <v>5930</v>
      </c>
      <c r="H169" s="124">
        <v>302</v>
      </c>
      <c r="I169" s="128" t="s">
        <v>5909</v>
      </c>
      <c r="J169" s="124">
        <v>1</v>
      </c>
      <c r="K169" s="124">
        <v>40731</v>
      </c>
      <c r="L169" s="124">
        <v>440733</v>
      </c>
      <c r="M169" s="124">
        <v>1</v>
      </c>
      <c r="N169" s="124">
        <v>17</v>
      </c>
      <c r="P169" s="124" t="s">
        <v>6201</v>
      </c>
      <c r="T169" s="124" t="s">
        <v>5934</v>
      </c>
      <c r="U169" s="235" t="s">
        <v>5936</v>
      </c>
      <c r="V169" s="124">
        <v>3</v>
      </c>
      <c r="W169" s="124">
        <v>6</v>
      </c>
      <c r="X169" s="124" t="s">
        <v>3572</v>
      </c>
      <c r="Z169" s="124">
        <v>0</v>
      </c>
      <c r="AA169" s="124" t="s">
        <v>584</v>
      </c>
      <c r="AB169" s="107" t="s">
        <v>5937</v>
      </c>
      <c r="AC169" s="124">
        <v>6</v>
      </c>
      <c r="AD169" s="124" t="s">
        <v>5938</v>
      </c>
      <c r="AE169" s="124" t="s">
        <v>5939</v>
      </c>
      <c r="AF169" s="124" t="s">
        <v>5940</v>
      </c>
      <c r="AG169" s="124" t="s">
        <v>5941</v>
      </c>
      <c r="AH169" s="124" t="s">
        <v>5942</v>
      </c>
    </row>
    <row r="170" spans="1:42" s="124" customFormat="1">
      <c r="A170" s="124">
        <v>810117</v>
      </c>
      <c r="B170" s="234" t="s">
        <v>5958</v>
      </c>
      <c r="C170" s="124">
        <v>8</v>
      </c>
      <c r="E170" s="124" t="s">
        <v>747</v>
      </c>
      <c r="F170" s="124">
        <v>1</v>
      </c>
      <c r="H170" s="124">
        <v>304</v>
      </c>
      <c r="I170" s="128" t="s">
        <v>748</v>
      </c>
      <c r="R170" s="124" t="s">
        <v>5959</v>
      </c>
      <c r="U170" s="235"/>
      <c r="W170" s="124" t="s">
        <v>5960</v>
      </c>
      <c r="X170" s="124" t="s">
        <v>499</v>
      </c>
      <c r="AA170" s="124" t="s">
        <v>525</v>
      </c>
      <c r="AB170" s="107"/>
    </row>
    <row r="171" spans="1:42" s="124" customFormat="1">
      <c r="A171" s="124">
        <v>810217</v>
      </c>
      <c r="B171" s="234" t="s">
        <v>5961</v>
      </c>
      <c r="C171" s="124">
        <v>8</v>
      </c>
      <c r="E171" s="124" t="s">
        <v>747</v>
      </c>
      <c r="F171" s="124">
        <v>1</v>
      </c>
      <c r="H171" s="124">
        <v>307</v>
      </c>
      <c r="I171" s="128" t="s">
        <v>748</v>
      </c>
      <c r="R171" s="124" t="s">
        <v>5962</v>
      </c>
      <c r="U171" s="235"/>
      <c r="W171" s="124" t="s">
        <v>5963</v>
      </c>
      <c r="X171" s="124" t="s">
        <v>499</v>
      </c>
      <c r="AA171" s="124" t="s">
        <v>525</v>
      </c>
      <c r="AB171" s="107"/>
    </row>
    <row r="172" spans="1:42" s="124" customFormat="1">
      <c r="A172" s="124">
        <v>810317</v>
      </c>
      <c r="B172" s="234" t="s">
        <v>5964</v>
      </c>
      <c r="C172" s="124">
        <v>8</v>
      </c>
      <c r="E172" s="124" t="s">
        <v>747</v>
      </c>
      <c r="F172" s="124">
        <v>1</v>
      </c>
      <c r="H172" s="124">
        <v>305</v>
      </c>
      <c r="I172" s="128" t="s">
        <v>748</v>
      </c>
      <c r="R172" s="124" t="s">
        <v>5965</v>
      </c>
      <c r="U172" s="235"/>
      <c r="W172" s="124" t="s">
        <v>5966</v>
      </c>
      <c r="X172" s="124" t="s">
        <v>531</v>
      </c>
      <c r="AA172" s="124" t="s">
        <v>525</v>
      </c>
      <c r="AB172" s="107"/>
    </row>
    <row r="173" spans="1:42" s="124" customFormat="1">
      <c r="A173" s="124">
        <v>810417</v>
      </c>
      <c r="B173" s="234" t="s">
        <v>5967</v>
      </c>
      <c r="C173" s="124">
        <v>8</v>
      </c>
      <c r="E173" s="124" t="s">
        <v>747</v>
      </c>
      <c r="F173" s="124">
        <v>1</v>
      </c>
      <c r="H173" s="124">
        <v>306</v>
      </c>
      <c r="I173" s="128" t="s">
        <v>748</v>
      </c>
      <c r="R173" s="124" t="s">
        <v>5968</v>
      </c>
      <c r="U173" s="235"/>
      <c r="W173" s="124" t="s">
        <v>5969</v>
      </c>
      <c r="X173" s="124" t="s">
        <v>522</v>
      </c>
      <c r="AA173" s="124" t="s">
        <v>525</v>
      </c>
      <c r="AB173" s="107"/>
    </row>
    <row r="174" spans="1:42" s="124" customFormat="1">
      <c r="A174" s="124">
        <v>810517</v>
      </c>
      <c r="B174" s="234" t="s">
        <v>5970</v>
      </c>
      <c r="C174" s="124">
        <v>8</v>
      </c>
      <c r="E174" s="124" t="s">
        <v>747</v>
      </c>
      <c r="F174" s="124">
        <v>1</v>
      </c>
      <c r="H174" s="124">
        <v>307</v>
      </c>
      <c r="I174" s="128" t="s">
        <v>748</v>
      </c>
      <c r="R174" s="124" t="s">
        <v>5971</v>
      </c>
      <c r="U174" s="235"/>
      <c r="W174" s="124" t="s">
        <v>5972</v>
      </c>
      <c r="X174" s="124" t="s">
        <v>522</v>
      </c>
      <c r="AA174" s="124" t="s">
        <v>525</v>
      </c>
      <c r="AB174" s="107"/>
    </row>
    <row r="175" spans="1:42" s="124" customFormat="1">
      <c r="A175" s="124">
        <v>810617</v>
      </c>
      <c r="B175" s="234" t="s">
        <v>5973</v>
      </c>
      <c r="C175" s="124">
        <v>8</v>
      </c>
      <c r="E175" s="124" t="s">
        <v>747</v>
      </c>
      <c r="F175" s="124">
        <v>1</v>
      </c>
      <c r="H175" s="124">
        <v>301</v>
      </c>
      <c r="I175" s="128" t="s">
        <v>748</v>
      </c>
      <c r="R175" s="124" t="s">
        <v>5974</v>
      </c>
      <c r="U175" s="235"/>
      <c r="W175" s="124" t="s">
        <v>5975</v>
      </c>
      <c r="X175" s="124" t="s">
        <v>531</v>
      </c>
      <c r="AA175" s="124" t="s">
        <v>525</v>
      </c>
      <c r="AB175" s="107"/>
    </row>
    <row r="176" spans="1:42" s="124" customFormat="1">
      <c r="A176" s="124">
        <v>810717</v>
      </c>
      <c r="B176" s="234" t="s">
        <v>5976</v>
      </c>
      <c r="C176" s="124">
        <v>8</v>
      </c>
      <c r="E176" s="124" t="s">
        <v>747</v>
      </c>
      <c r="F176" s="124">
        <v>1</v>
      </c>
      <c r="H176" s="124">
        <v>308</v>
      </c>
      <c r="I176" s="128" t="s">
        <v>748</v>
      </c>
      <c r="R176" s="124" t="s">
        <v>5977</v>
      </c>
      <c r="U176" s="235"/>
      <c r="W176" s="124" t="s">
        <v>5978</v>
      </c>
      <c r="X176" s="124" t="s">
        <v>522</v>
      </c>
      <c r="AA176" s="124" t="s">
        <v>525</v>
      </c>
      <c r="AB176" s="107"/>
    </row>
    <row r="177" spans="1:28" s="124" customFormat="1">
      <c r="A177" s="124">
        <v>810817</v>
      </c>
      <c r="B177" s="234" t="s">
        <v>5979</v>
      </c>
      <c r="C177" s="124">
        <v>8</v>
      </c>
      <c r="E177" s="124" t="s">
        <v>747</v>
      </c>
      <c r="F177" s="124">
        <v>1</v>
      </c>
      <c r="H177" s="124">
        <v>303</v>
      </c>
      <c r="I177" s="128" t="s">
        <v>748</v>
      </c>
      <c r="R177" s="124" t="s">
        <v>5980</v>
      </c>
      <c r="U177" s="235"/>
      <c r="W177" s="124" t="s">
        <v>5981</v>
      </c>
      <c r="X177" s="124" t="s">
        <v>512</v>
      </c>
      <c r="AA177" s="124" t="s">
        <v>525</v>
      </c>
      <c r="AB177" s="107"/>
    </row>
    <row r="178" spans="1:28" s="124" customFormat="1">
      <c r="A178" s="124">
        <v>810917</v>
      </c>
      <c r="B178" s="234" t="s">
        <v>5982</v>
      </c>
      <c r="C178" s="124">
        <v>8</v>
      </c>
      <c r="E178" s="124" t="s">
        <v>747</v>
      </c>
      <c r="F178" s="124">
        <v>1</v>
      </c>
      <c r="H178" s="124">
        <v>301</v>
      </c>
      <c r="I178" s="128" t="s">
        <v>748</v>
      </c>
      <c r="R178" s="124" t="s">
        <v>5983</v>
      </c>
      <c r="U178" s="235"/>
      <c r="W178" s="124" t="s">
        <v>5984</v>
      </c>
      <c r="X178" s="124" t="s">
        <v>564</v>
      </c>
      <c r="AA178" s="124" t="s">
        <v>525</v>
      </c>
      <c r="AB178" s="107"/>
    </row>
    <row r="179" spans="1:28" s="124" customFormat="1">
      <c r="A179" s="124">
        <v>811017</v>
      </c>
      <c r="B179" s="234" t="s">
        <v>5985</v>
      </c>
      <c r="C179" s="124">
        <v>8</v>
      </c>
      <c r="E179" s="124" t="s">
        <v>747</v>
      </c>
      <c r="F179" s="124">
        <v>1</v>
      </c>
      <c r="H179" s="124">
        <v>304</v>
      </c>
      <c r="I179" s="128" t="s">
        <v>748</v>
      </c>
      <c r="R179" s="124" t="s">
        <v>5986</v>
      </c>
      <c r="U179" s="235"/>
      <c r="W179" s="124" t="s">
        <v>5987</v>
      </c>
      <c r="X179" s="124" t="s">
        <v>536</v>
      </c>
      <c r="AA179" s="124" t="s">
        <v>525</v>
      </c>
      <c r="AB179" s="107"/>
    </row>
    <row r="180" spans="1:28" s="124" customFormat="1">
      <c r="A180" s="124">
        <v>811117</v>
      </c>
      <c r="B180" s="234" t="s">
        <v>5988</v>
      </c>
      <c r="C180" s="124">
        <v>8</v>
      </c>
      <c r="E180" s="124" t="s">
        <v>747</v>
      </c>
      <c r="F180" s="124">
        <v>1</v>
      </c>
      <c r="H180" s="124">
        <v>302</v>
      </c>
      <c r="I180" s="128" t="s">
        <v>748</v>
      </c>
      <c r="R180" s="124" t="s">
        <v>5989</v>
      </c>
      <c r="U180" s="235"/>
      <c r="W180" s="124" t="s">
        <v>5990</v>
      </c>
      <c r="X180" s="124" t="s">
        <v>452</v>
      </c>
      <c r="AA180" s="124" t="s">
        <v>525</v>
      </c>
      <c r="AB180" s="107"/>
    </row>
    <row r="181" spans="1:28" s="124" customFormat="1">
      <c r="A181" s="124">
        <v>811217</v>
      </c>
      <c r="B181" s="234" t="s">
        <v>5991</v>
      </c>
      <c r="C181" s="124">
        <v>8</v>
      </c>
      <c r="E181" s="124" t="s">
        <v>747</v>
      </c>
      <c r="F181" s="124">
        <v>1</v>
      </c>
      <c r="H181" s="124">
        <v>305</v>
      </c>
      <c r="I181" s="128" t="s">
        <v>748</v>
      </c>
      <c r="R181" s="124" t="s">
        <v>5992</v>
      </c>
      <c r="U181" s="235"/>
      <c r="W181" s="124" t="s">
        <v>5993</v>
      </c>
      <c r="X181" s="124" t="s">
        <v>499</v>
      </c>
      <c r="AA181" s="124" t="s">
        <v>525</v>
      </c>
      <c r="AB181" s="107"/>
    </row>
    <row r="182" spans="1:28" s="124" customFormat="1">
      <c r="A182" s="124">
        <v>811317</v>
      </c>
      <c r="B182" s="234" t="s">
        <v>5994</v>
      </c>
      <c r="C182" s="124">
        <v>8</v>
      </c>
      <c r="E182" s="124" t="s">
        <v>747</v>
      </c>
      <c r="F182" s="124">
        <v>1</v>
      </c>
      <c r="H182" s="124">
        <v>308</v>
      </c>
      <c r="I182" s="128" t="s">
        <v>748</v>
      </c>
      <c r="R182" s="124" t="s">
        <v>5995</v>
      </c>
      <c r="U182" s="235"/>
      <c r="W182" s="124" t="s">
        <v>5996</v>
      </c>
      <c r="X182" s="124" t="s">
        <v>439</v>
      </c>
      <c r="AA182" s="124" t="s">
        <v>525</v>
      </c>
      <c r="AB182" s="107"/>
    </row>
    <row r="183" spans="1:28" s="124" customFormat="1">
      <c r="A183" s="124">
        <v>811417</v>
      </c>
      <c r="B183" s="234" t="s">
        <v>5997</v>
      </c>
      <c r="C183" s="124">
        <v>8</v>
      </c>
      <c r="E183" s="124" t="s">
        <v>747</v>
      </c>
      <c r="F183" s="124">
        <v>1</v>
      </c>
      <c r="H183" s="124">
        <v>306</v>
      </c>
      <c r="I183" s="128" t="s">
        <v>748</v>
      </c>
      <c r="R183" s="124" t="s">
        <v>5998</v>
      </c>
      <c r="U183" s="235"/>
      <c r="W183" s="124" t="s">
        <v>5999</v>
      </c>
      <c r="X183" s="124" t="s">
        <v>452</v>
      </c>
      <c r="AA183" s="124" t="s">
        <v>525</v>
      </c>
      <c r="AB183" s="107"/>
    </row>
    <row r="184" spans="1:28" s="124" customFormat="1">
      <c r="A184" s="124">
        <v>811517</v>
      </c>
      <c r="B184" s="234" t="s">
        <v>6000</v>
      </c>
      <c r="C184" s="124">
        <v>8</v>
      </c>
      <c r="E184" s="124" t="s">
        <v>747</v>
      </c>
      <c r="F184" s="124">
        <v>1</v>
      </c>
      <c r="H184" s="124">
        <v>303</v>
      </c>
      <c r="I184" s="128" t="s">
        <v>748</v>
      </c>
      <c r="R184" s="124" t="s">
        <v>6001</v>
      </c>
      <c r="U184" s="235"/>
      <c r="W184" s="124" t="s">
        <v>6002</v>
      </c>
      <c r="X184" s="124" t="s">
        <v>531</v>
      </c>
      <c r="AA184" s="124" t="s">
        <v>525</v>
      </c>
      <c r="AB184" s="107"/>
    </row>
    <row r="185" spans="1:28" s="124" customFormat="1">
      <c r="A185" s="124">
        <v>811617</v>
      </c>
      <c r="B185" s="234" t="s">
        <v>6003</v>
      </c>
      <c r="C185" s="124">
        <v>8</v>
      </c>
      <c r="E185" s="124" t="s">
        <v>747</v>
      </c>
      <c r="F185" s="124">
        <v>1</v>
      </c>
      <c r="H185" s="124">
        <v>302</v>
      </c>
      <c r="I185" s="128" t="s">
        <v>748</v>
      </c>
      <c r="R185" s="124" t="s">
        <v>6004</v>
      </c>
      <c r="U185" s="235"/>
      <c r="W185" s="124" t="s">
        <v>6005</v>
      </c>
      <c r="X185" s="124" t="s">
        <v>439</v>
      </c>
      <c r="AA185" s="124" t="s">
        <v>525</v>
      </c>
      <c r="AB185" s="107"/>
    </row>
    <row r="186" spans="1:28" s="124" customFormat="1">
      <c r="A186" s="124">
        <v>820117</v>
      </c>
      <c r="B186" s="234" t="s">
        <v>6032</v>
      </c>
      <c r="C186" s="124">
        <v>8</v>
      </c>
      <c r="E186" s="124" t="s">
        <v>747</v>
      </c>
      <c r="F186" s="124">
        <v>2</v>
      </c>
      <c r="H186" s="124">
        <v>305</v>
      </c>
      <c r="I186" s="128" t="s">
        <v>748</v>
      </c>
      <c r="R186" s="124" t="s">
        <v>6033</v>
      </c>
      <c r="U186" s="235"/>
      <c r="W186" s="124" t="s">
        <v>6034</v>
      </c>
      <c r="X186" s="124" t="s">
        <v>522</v>
      </c>
      <c r="AA186" s="124" t="s">
        <v>552</v>
      </c>
      <c r="AB186" s="107"/>
    </row>
    <row r="187" spans="1:28" s="124" customFormat="1">
      <c r="A187" s="124">
        <v>820217</v>
      </c>
      <c r="B187" s="234" t="s">
        <v>6035</v>
      </c>
      <c r="C187" s="124">
        <v>8</v>
      </c>
      <c r="E187" s="124" t="s">
        <v>747</v>
      </c>
      <c r="F187" s="124">
        <v>2</v>
      </c>
      <c r="H187" s="124">
        <v>303</v>
      </c>
      <c r="I187" s="128" t="s">
        <v>748</v>
      </c>
      <c r="R187" s="124" t="s">
        <v>6036</v>
      </c>
      <c r="U187" s="235"/>
      <c r="W187" s="124" t="s">
        <v>6037</v>
      </c>
      <c r="X187" s="124" t="s">
        <v>522</v>
      </c>
      <c r="AA187" s="124" t="s">
        <v>552</v>
      </c>
      <c r="AB187" s="107"/>
    </row>
    <row r="188" spans="1:28" s="124" customFormat="1">
      <c r="A188" s="124">
        <v>820317</v>
      </c>
      <c r="B188" s="234" t="s">
        <v>6038</v>
      </c>
      <c r="C188" s="124">
        <v>8</v>
      </c>
      <c r="E188" s="124" t="s">
        <v>747</v>
      </c>
      <c r="F188" s="124">
        <v>2</v>
      </c>
      <c r="H188" s="124">
        <v>301</v>
      </c>
      <c r="I188" s="128" t="s">
        <v>748</v>
      </c>
      <c r="R188" s="124" t="s">
        <v>6039</v>
      </c>
      <c r="U188" s="235"/>
      <c r="W188" s="124" t="s">
        <v>6040</v>
      </c>
      <c r="X188" s="124" t="s">
        <v>551</v>
      </c>
      <c r="AA188" s="124" t="s">
        <v>552</v>
      </c>
      <c r="AB188" s="107"/>
    </row>
    <row r="189" spans="1:28" s="124" customFormat="1">
      <c r="A189" s="124">
        <v>820417</v>
      </c>
      <c r="B189" s="234" t="s">
        <v>6041</v>
      </c>
      <c r="C189" s="124">
        <v>8</v>
      </c>
      <c r="E189" s="124" t="s">
        <v>747</v>
      </c>
      <c r="F189" s="124">
        <v>2</v>
      </c>
      <c r="H189" s="124">
        <v>306</v>
      </c>
      <c r="I189" s="128" t="s">
        <v>748</v>
      </c>
      <c r="R189" s="124" t="s">
        <v>6042</v>
      </c>
      <c r="U189" s="235"/>
      <c r="W189" s="124" t="s">
        <v>6043</v>
      </c>
      <c r="X189" s="124" t="s">
        <v>553</v>
      </c>
      <c r="AA189" s="124" t="s">
        <v>552</v>
      </c>
      <c r="AB189" s="107"/>
    </row>
    <row r="190" spans="1:28" s="124" customFormat="1">
      <c r="A190" s="124">
        <v>820517</v>
      </c>
      <c r="B190" s="234" t="s">
        <v>6044</v>
      </c>
      <c r="C190" s="124">
        <v>8</v>
      </c>
      <c r="E190" s="124" t="s">
        <v>747</v>
      </c>
      <c r="F190" s="124">
        <v>2</v>
      </c>
      <c r="H190" s="124">
        <v>303</v>
      </c>
      <c r="I190" s="128" t="s">
        <v>748</v>
      </c>
      <c r="R190" s="124" t="s">
        <v>6045</v>
      </c>
      <c r="U190" s="235"/>
      <c r="W190" s="124" t="s">
        <v>6046</v>
      </c>
      <c r="X190" s="124" t="s">
        <v>553</v>
      </c>
      <c r="AA190" s="124" t="s">
        <v>552</v>
      </c>
      <c r="AB190" s="107"/>
    </row>
    <row r="191" spans="1:28" s="124" customFormat="1">
      <c r="A191" s="124">
        <v>820617</v>
      </c>
      <c r="B191" s="234" t="s">
        <v>6047</v>
      </c>
      <c r="C191" s="124">
        <v>8</v>
      </c>
      <c r="E191" s="124" t="s">
        <v>747</v>
      </c>
      <c r="F191" s="124">
        <v>2</v>
      </c>
      <c r="H191" s="124">
        <v>307</v>
      </c>
      <c r="I191" s="128" t="s">
        <v>748</v>
      </c>
      <c r="R191" s="124" t="s">
        <v>6048</v>
      </c>
      <c r="U191" s="235"/>
      <c r="W191" s="124" t="s">
        <v>6049</v>
      </c>
      <c r="X191" s="124" t="s">
        <v>553</v>
      </c>
      <c r="AA191" s="124" t="s">
        <v>552</v>
      </c>
      <c r="AB191" s="107"/>
    </row>
    <row r="192" spans="1:28" s="124" customFormat="1">
      <c r="A192" s="124">
        <v>820717</v>
      </c>
      <c r="B192" s="234" t="s">
        <v>6050</v>
      </c>
      <c r="C192" s="124">
        <v>8</v>
      </c>
      <c r="E192" s="124" t="s">
        <v>747</v>
      </c>
      <c r="F192" s="124">
        <v>2</v>
      </c>
      <c r="H192" s="124">
        <v>308</v>
      </c>
      <c r="I192" s="128" t="s">
        <v>748</v>
      </c>
      <c r="R192" s="124" t="s">
        <v>6051</v>
      </c>
      <c r="U192" s="235"/>
      <c r="W192" s="124" t="s">
        <v>2399</v>
      </c>
      <c r="X192" s="124" t="s">
        <v>551</v>
      </c>
      <c r="AA192" s="124" t="s">
        <v>552</v>
      </c>
      <c r="AB192" s="107"/>
    </row>
    <row r="193" spans="1:28" s="124" customFormat="1">
      <c r="A193" s="124">
        <v>820817</v>
      </c>
      <c r="B193" s="234" t="s">
        <v>6052</v>
      </c>
      <c r="C193" s="124">
        <v>8</v>
      </c>
      <c r="E193" s="124" t="s">
        <v>747</v>
      </c>
      <c r="F193" s="124">
        <v>2</v>
      </c>
      <c r="H193" s="124">
        <v>304</v>
      </c>
      <c r="I193" s="128" t="s">
        <v>748</v>
      </c>
      <c r="R193" s="124" t="s">
        <v>6053</v>
      </c>
      <c r="U193" s="235"/>
      <c r="W193" s="124" t="s">
        <v>6054</v>
      </c>
      <c r="X193" s="124" t="s">
        <v>531</v>
      </c>
      <c r="AA193" s="124" t="s">
        <v>552</v>
      </c>
      <c r="AB193" s="107"/>
    </row>
    <row r="194" spans="1:28" s="124" customFormat="1">
      <c r="A194" s="124">
        <v>820917</v>
      </c>
      <c r="B194" s="234" t="s">
        <v>6055</v>
      </c>
      <c r="C194" s="124">
        <v>8</v>
      </c>
      <c r="E194" s="124" t="s">
        <v>747</v>
      </c>
      <c r="F194" s="124">
        <v>2</v>
      </c>
      <c r="H194" s="124">
        <v>301</v>
      </c>
      <c r="I194" s="128" t="s">
        <v>748</v>
      </c>
      <c r="R194" s="124" t="s">
        <v>6056</v>
      </c>
      <c r="U194" s="235"/>
      <c r="W194" s="124" t="s">
        <v>6057</v>
      </c>
      <c r="X194" s="124" t="s">
        <v>468</v>
      </c>
      <c r="AA194" s="124" t="s">
        <v>552</v>
      </c>
      <c r="AB194" s="107"/>
    </row>
    <row r="195" spans="1:28" s="124" customFormat="1">
      <c r="A195" s="124">
        <v>821017</v>
      </c>
      <c r="B195" s="234" t="s">
        <v>6058</v>
      </c>
      <c r="C195" s="124">
        <v>8</v>
      </c>
      <c r="E195" s="124" t="s">
        <v>747</v>
      </c>
      <c r="F195" s="124">
        <v>2</v>
      </c>
      <c r="H195" s="124">
        <v>302</v>
      </c>
      <c r="I195" s="128" t="s">
        <v>748</v>
      </c>
      <c r="R195" s="124" t="s">
        <v>6059</v>
      </c>
      <c r="U195" s="235"/>
      <c r="W195" s="124" t="s">
        <v>6060</v>
      </c>
      <c r="X195" s="124" t="s">
        <v>522</v>
      </c>
      <c r="AA195" s="124" t="s">
        <v>552</v>
      </c>
      <c r="AB195" s="107"/>
    </row>
    <row r="196" spans="1:28" s="124" customFormat="1">
      <c r="A196" s="124">
        <v>821117</v>
      </c>
      <c r="B196" s="234" t="s">
        <v>6061</v>
      </c>
      <c r="C196" s="124">
        <v>8</v>
      </c>
      <c r="E196" s="124" t="s">
        <v>747</v>
      </c>
      <c r="F196" s="124">
        <v>2</v>
      </c>
      <c r="H196" s="124">
        <v>302</v>
      </c>
      <c r="I196" s="128" t="s">
        <v>748</v>
      </c>
      <c r="R196" s="124" t="s">
        <v>6062</v>
      </c>
      <c r="U196" s="235"/>
      <c r="W196" s="124" t="s">
        <v>6063</v>
      </c>
      <c r="X196" s="124" t="s">
        <v>536</v>
      </c>
      <c r="AA196" s="124" t="s">
        <v>552</v>
      </c>
      <c r="AB196" s="107"/>
    </row>
    <row r="197" spans="1:28" s="124" customFormat="1">
      <c r="A197" s="124">
        <v>821217</v>
      </c>
      <c r="B197" s="234" t="s">
        <v>6064</v>
      </c>
      <c r="C197" s="124">
        <v>8</v>
      </c>
      <c r="E197" s="124" t="s">
        <v>747</v>
      </c>
      <c r="F197" s="124">
        <v>2</v>
      </c>
      <c r="H197" s="124">
        <v>304</v>
      </c>
      <c r="I197" s="128" t="s">
        <v>748</v>
      </c>
      <c r="R197" s="124" t="s">
        <v>6065</v>
      </c>
      <c r="U197" s="235"/>
      <c r="W197" s="124" t="s">
        <v>6066</v>
      </c>
      <c r="X197" s="124" t="s">
        <v>558</v>
      </c>
      <c r="AA197" s="124" t="s">
        <v>552</v>
      </c>
      <c r="AB197" s="107"/>
    </row>
    <row r="198" spans="1:28" s="124" customFormat="1">
      <c r="A198" s="124">
        <v>821317</v>
      </c>
      <c r="B198" s="234" t="s">
        <v>6067</v>
      </c>
      <c r="C198" s="124">
        <v>8</v>
      </c>
      <c r="E198" s="124" t="s">
        <v>747</v>
      </c>
      <c r="F198" s="124">
        <v>2</v>
      </c>
      <c r="H198" s="124">
        <v>305</v>
      </c>
      <c r="I198" s="128" t="s">
        <v>748</v>
      </c>
      <c r="R198" s="124" t="s">
        <v>6068</v>
      </c>
      <c r="U198" s="235"/>
      <c r="W198" s="124" t="s">
        <v>6069</v>
      </c>
      <c r="X198" s="124" t="s">
        <v>551</v>
      </c>
      <c r="AA198" s="124" t="s">
        <v>552</v>
      </c>
      <c r="AB198" s="107"/>
    </row>
    <row r="199" spans="1:28" s="124" customFormat="1">
      <c r="A199" s="124">
        <v>821417</v>
      </c>
      <c r="B199" s="234" t="s">
        <v>6070</v>
      </c>
      <c r="C199" s="124">
        <v>8</v>
      </c>
      <c r="E199" s="124" t="s">
        <v>747</v>
      </c>
      <c r="F199" s="124">
        <v>2</v>
      </c>
      <c r="H199" s="124">
        <v>306</v>
      </c>
      <c r="I199" s="128" t="s">
        <v>748</v>
      </c>
      <c r="R199" s="124" t="s">
        <v>6071</v>
      </c>
      <c r="U199" s="235"/>
      <c r="W199" s="124" t="s">
        <v>6072</v>
      </c>
      <c r="X199" s="124" t="s">
        <v>539</v>
      </c>
      <c r="AA199" s="124" t="s">
        <v>552</v>
      </c>
      <c r="AB199" s="107"/>
    </row>
    <row r="200" spans="1:28" s="124" customFormat="1">
      <c r="A200" s="124">
        <v>821517</v>
      </c>
      <c r="B200" s="234" t="s">
        <v>6073</v>
      </c>
      <c r="C200" s="124">
        <v>8</v>
      </c>
      <c r="E200" s="124" t="s">
        <v>747</v>
      </c>
      <c r="F200" s="124">
        <v>2</v>
      </c>
      <c r="H200" s="124">
        <v>307</v>
      </c>
      <c r="I200" s="128" t="s">
        <v>748</v>
      </c>
      <c r="R200" s="124" t="s">
        <v>6074</v>
      </c>
      <c r="U200" s="235"/>
      <c r="W200" s="124" t="s">
        <v>6075</v>
      </c>
      <c r="X200" s="124" t="s">
        <v>539</v>
      </c>
      <c r="AA200" s="124" t="s">
        <v>552</v>
      </c>
      <c r="AB200" s="107"/>
    </row>
    <row r="201" spans="1:28" s="124" customFormat="1">
      <c r="A201" s="124">
        <v>830117</v>
      </c>
      <c r="B201" s="234" t="s">
        <v>6077</v>
      </c>
      <c r="C201" s="124">
        <v>8</v>
      </c>
      <c r="E201" s="124" t="s">
        <v>747</v>
      </c>
      <c r="F201" s="124">
        <v>3</v>
      </c>
      <c r="H201" s="124">
        <v>304</v>
      </c>
      <c r="I201" s="128" t="s">
        <v>748</v>
      </c>
      <c r="R201" s="124" t="s">
        <v>6078</v>
      </c>
      <c r="U201" s="235"/>
      <c r="W201" s="124" t="s">
        <v>6079</v>
      </c>
      <c r="X201" s="124" t="s">
        <v>570</v>
      </c>
      <c r="AA201" s="124" t="s">
        <v>574</v>
      </c>
      <c r="AB201" s="107"/>
    </row>
    <row r="202" spans="1:28" s="124" customFormat="1">
      <c r="A202" s="124">
        <v>830217</v>
      </c>
      <c r="B202" s="234" t="s">
        <v>6080</v>
      </c>
      <c r="C202" s="124">
        <v>8</v>
      </c>
      <c r="E202" s="124" t="s">
        <v>747</v>
      </c>
      <c r="F202" s="124">
        <v>3</v>
      </c>
      <c r="H202" s="124">
        <v>302</v>
      </c>
      <c r="I202" s="128" t="s">
        <v>748</v>
      </c>
      <c r="R202" s="124" t="s">
        <v>6081</v>
      </c>
      <c r="U202" s="235"/>
      <c r="W202" s="124" t="s">
        <v>6082</v>
      </c>
      <c r="X202" s="124" t="s">
        <v>570</v>
      </c>
      <c r="AA202" s="124" t="s">
        <v>574</v>
      </c>
      <c r="AB202" s="107"/>
    </row>
    <row r="203" spans="1:28" s="124" customFormat="1">
      <c r="A203" s="124">
        <v>830317</v>
      </c>
      <c r="B203" s="234" t="s">
        <v>6083</v>
      </c>
      <c r="C203" s="124">
        <v>8</v>
      </c>
      <c r="E203" s="124" t="s">
        <v>747</v>
      </c>
      <c r="F203" s="124">
        <v>3</v>
      </c>
      <c r="H203" s="124">
        <v>306</v>
      </c>
      <c r="I203" s="128" t="s">
        <v>748</v>
      </c>
      <c r="R203" s="124" t="s">
        <v>6084</v>
      </c>
      <c r="U203" s="235"/>
      <c r="W203" s="124" t="s">
        <v>6085</v>
      </c>
      <c r="X203" s="124" t="s">
        <v>545</v>
      </c>
      <c r="AA203" s="124" t="s">
        <v>574</v>
      </c>
      <c r="AB203" s="107"/>
    </row>
    <row r="204" spans="1:28" s="124" customFormat="1">
      <c r="A204" s="124">
        <v>830417</v>
      </c>
      <c r="B204" s="234" t="s">
        <v>6086</v>
      </c>
      <c r="C204" s="124">
        <v>8</v>
      </c>
      <c r="E204" s="124" t="s">
        <v>747</v>
      </c>
      <c r="F204" s="124">
        <v>3</v>
      </c>
      <c r="H204" s="124">
        <v>303</v>
      </c>
      <c r="I204" s="128" t="s">
        <v>748</v>
      </c>
      <c r="R204" s="124" t="s">
        <v>6087</v>
      </c>
      <c r="U204" s="235"/>
      <c r="W204" s="124" t="s">
        <v>6088</v>
      </c>
      <c r="X204" s="124" t="s">
        <v>542</v>
      </c>
      <c r="AA204" s="124" t="s">
        <v>574</v>
      </c>
      <c r="AB204" s="107"/>
    </row>
    <row r="205" spans="1:28" s="124" customFormat="1">
      <c r="A205" s="124">
        <v>830517</v>
      </c>
      <c r="B205" s="234" t="s">
        <v>6089</v>
      </c>
      <c r="C205" s="124">
        <v>8</v>
      </c>
      <c r="E205" s="124" t="s">
        <v>747</v>
      </c>
      <c r="F205" s="124">
        <v>3</v>
      </c>
      <c r="H205" s="124">
        <v>307</v>
      </c>
      <c r="I205" s="128" t="s">
        <v>748</v>
      </c>
      <c r="R205" s="124" t="s">
        <v>6090</v>
      </c>
      <c r="U205" s="235"/>
      <c r="W205" s="124" t="s">
        <v>6091</v>
      </c>
      <c r="X205" s="124" t="s">
        <v>542</v>
      </c>
      <c r="AA205" s="124" t="s">
        <v>574</v>
      </c>
      <c r="AB205" s="107"/>
    </row>
    <row r="206" spans="1:28" s="124" customFormat="1">
      <c r="A206" s="124">
        <v>830617</v>
      </c>
      <c r="B206" s="234" t="s">
        <v>6092</v>
      </c>
      <c r="C206" s="124">
        <v>8</v>
      </c>
      <c r="E206" s="124" t="s">
        <v>747</v>
      </c>
      <c r="F206" s="124">
        <v>3</v>
      </c>
      <c r="H206" s="124">
        <v>301</v>
      </c>
      <c r="I206" s="128" t="s">
        <v>748</v>
      </c>
      <c r="R206" s="124" t="s">
        <v>6093</v>
      </c>
      <c r="U206" s="235"/>
      <c r="W206" s="124" t="s">
        <v>6094</v>
      </c>
      <c r="X206" s="124" t="s">
        <v>545</v>
      </c>
      <c r="AA206" s="124" t="s">
        <v>574</v>
      </c>
      <c r="AB206" s="107"/>
    </row>
    <row r="207" spans="1:28" s="124" customFormat="1">
      <c r="A207" s="124">
        <v>830717</v>
      </c>
      <c r="B207" s="234" t="s">
        <v>6095</v>
      </c>
      <c r="C207" s="124">
        <v>8</v>
      </c>
      <c r="E207" s="124" t="s">
        <v>747</v>
      </c>
      <c r="F207" s="124">
        <v>3</v>
      </c>
      <c r="H207" s="124">
        <v>302</v>
      </c>
      <c r="I207" s="128" t="s">
        <v>748</v>
      </c>
      <c r="R207" s="124" t="s">
        <v>6096</v>
      </c>
      <c r="U207" s="235"/>
      <c r="W207" s="124" t="s">
        <v>6097</v>
      </c>
      <c r="X207" s="124" t="s">
        <v>545</v>
      </c>
      <c r="AA207" s="124" t="s">
        <v>574</v>
      </c>
      <c r="AB207" s="107"/>
    </row>
    <row r="208" spans="1:28" s="124" customFormat="1">
      <c r="A208" s="124">
        <v>830817</v>
      </c>
      <c r="B208" s="234" t="s">
        <v>6098</v>
      </c>
      <c r="C208" s="124">
        <v>8</v>
      </c>
      <c r="E208" s="124" t="s">
        <v>747</v>
      </c>
      <c r="F208" s="124">
        <v>3</v>
      </c>
      <c r="H208" s="124">
        <v>305</v>
      </c>
      <c r="I208" s="128" t="s">
        <v>748</v>
      </c>
      <c r="R208" s="124" t="s">
        <v>6099</v>
      </c>
      <c r="U208" s="235"/>
      <c r="W208" s="124" t="s">
        <v>6100</v>
      </c>
      <c r="X208" s="124" t="s">
        <v>568</v>
      </c>
      <c r="AA208" s="124" t="s">
        <v>574</v>
      </c>
      <c r="AB208" s="107"/>
    </row>
    <row r="209" spans="1:28" s="124" customFormat="1">
      <c r="A209" s="124">
        <v>830917</v>
      </c>
      <c r="B209" s="234" t="s">
        <v>6101</v>
      </c>
      <c r="C209" s="124">
        <v>8</v>
      </c>
      <c r="E209" s="124" t="s">
        <v>747</v>
      </c>
      <c r="F209" s="124">
        <v>3</v>
      </c>
      <c r="H209" s="124">
        <v>301</v>
      </c>
      <c r="I209" s="128" t="s">
        <v>748</v>
      </c>
      <c r="R209" s="124" t="s">
        <v>6102</v>
      </c>
      <c r="U209" s="235"/>
      <c r="W209" s="124" t="s">
        <v>6103</v>
      </c>
      <c r="X209" s="124" t="s">
        <v>553</v>
      </c>
      <c r="AA209" s="124" t="s">
        <v>574</v>
      </c>
      <c r="AB209" s="107"/>
    </row>
    <row r="210" spans="1:28" s="124" customFormat="1">
      <c r="A210" s="124">
        <v>831017</v>
      </c>
      <c r="B210" s="234" t="s">
        <v>6104</v>
      </c>
      <c r="C210" s="124">
        <v>8</v>
      </c>
      <c r="E210" s="124" t="s">
        <v>747</v>
      </c>
      <c r="F210" s="124">
        <v>3</v>
      </c>
      <c r="H210" s="124">
        <v>304</v>
      </c>
      <c r="I210" s="128" t="s">
        <v>748</v>
      </c>
      <c r="R210" s="124" t="s">
        <v>6105</v>
      </c>
      <c r="U210" s="235"/>
      <c r="W210" s="124" t="s">
        <v>6106</v>
      </c>
      <c r="X210" s="124" t="s">
        <v>566</v>
      </c>
      <c r="AA210" s="124" t="s">
        <v>574</v>
      </c>
      <c r="AB210" s="107"/>
    </row>
    <row r="211" spans="1:28" s="124" customFormat="1">
      <c r="A211" s="124">
        <v>831117</v>
      </c>
      <c r="B211" s="234" t="s">
        <v>6107</v>
      </c>
      <c r="C211" s="124">
        <v>8</v>
      </c>
      <c r="E211" s="124" t="s">
        <v>747</v>
      </c>
      <c r="F211" s="124">
        <v>3</v>
      </c>
      <c r="H211" s="124">
        <v>305</v>
      </c>
      <c r="I211" s="128" t="s">
        <v>748</v>
      </c>
      <c r="R211" s="124" t="s">
        <v>6108</v>
      </c>
      <c r="U211" s="235"/>
      <c r="W211" s="124" t="s">
        <v>6109</v>
      </c>
      <c r="X211" s="124" t="s">
        <v>542</v>
      </c>
      <c r="AA211" s="124" t="s">
        <v>574</v>
      </c>
      <c r="AB211" s="107"/>
    </row>
    <row r="212" spans="1:28" s="124" customFormat="1">
      <c r="A212" s="124">
        <v>831217</v>
      </c>
      <c r="B212" s="234" t="s">
        <v>6110</v>
      </c>
      <c r="C212" s="124">
        <v>8</v>
      </c>
      <c r="E212" s="124" t="s">
        <v>747</v>
      </c>
      <c r="F212" s="124">
        <v>3</v>
      </c>
      <c r="H212" s="124">
        <v>304</v>
      </c>
      <c r="I212" s="128" t="s">
        <v>748</v>
      </c>
      <c r="R212" s="124" t="s">
        <v>6111</v>
      </c>
      <c r="U212" s="235"/>
      <c r="W212" s="124" t="s">
        <v>6112</v>
      </c>
      <c r="X212" s="124" t="s">
        <v>531</v>
      </c>
      <c r="AA212" s="124" t="s">
        <v>574</v>
      </c>
      <c r="AB212" s="107"/>
    </row>
    <row r="213" spans="1:28" s="124" customFormat="1">
      <c r="A213" s="124">
        <v>831317</v>
      </c>
      <c r="B213" s="234" t="s">
        <v>6113</v>
      </c>
      <c r="C213" s="124">
        <v>8</v>
      </c>
      <c r="E213" s="124" t="s">
        <v>747</v>
      </c>
      <c r="F213" s="124">
        <v>3</v>
      </c>
      <c r="H213" s="124">
        <v>308</v>
      </c>
      <c r="I213" s="128" t="s">
        <v>748</v>
      </c>
      <c r="R213" s="124" t="s">
        <v>6114</v>
      </c>
      <c r="U213" s="235"/>
      <c r="W213" s="124" t="s">
        <v>6115</v>
      </c>
      <c r="X213" s="124" t="s">
        <v>566</v>
      </c>
      <c r="AA213" s="124" t="s">
        <v>574</v>
      </c>
      <c r="AB213" s="107"/>
    </row>
    <row r="214" spans="1:28" s="124" customFormat="1">
      <c r="A214" s="124">
        <v>831417</v>
      </c>
      <c r="B214" s="234" t="s">
        <v>6116</v>
      </c>
      <c r="C214" s="124">
        <v>8</v>
      </c>
      <c r="E214" s="124" t="s">
        <v>747</v>
      </c>
      <c r="F214" s="124">
        <v>3</v>
      </c>
      <c r="H214" s="124">
        <v>307</v>
      </c>
      <c r="I214" s="128" t="s">
        <v>748</v>
      </c>
      <c r="R214" s="124" t="s">
        <v>6117</v>
      </c>
      <c r="U214" s="235"/>
      <c r="W214" s="124" t="s">
        <v>6118</v>
      </c>
      <c r="X214" s="124" t="s">
        <v>564</v>
      </c>
      <c r="AA214" s="124" t="s">
        <v>574</v>
      </c>
      <c r="AB214" s="107"/>
    </row>
    <row r="215" spans="1:28" s="124" customFormat="1">
      <c r="A215" s="124">
        <v>831517</v>
      </c>
      <c r="B215" s="234" t="s">
        <v>6119</v>
      </c>
      <c r="C215" s="124">
        <v>8</v>
      </c>
      <c r="E215" s="124" t="s">
        <v>747</v>
      </c>
      <c r="F215" s="124">
        <v>3</v>
      </c>
      <c r="H215" s="124">
        <v>308</v>
      </c>
      <c r="I215" s="128" t="s">
        <v>748</v>
      </c>
      <c r="R215" s="124" t="s">
        <v>6120</v>
      </c>
      <c r="U215" s="235"/>
      <c r="W215" s="124" t="s">
        <v>6121</v>
      </c>
      <c r="X215" s="124" t="s">
        <v>570</v>
      </c>
      <c r="AA215" s="124" t="s">
        <v>574</v>
      </c>
      <c r="AB215" s="107"/>
    </row>
    <row r="216" spans="1:28" s="124" customFormat="1">
      <c r="A216" s="124">
        <v>831617</v>
      </c>
      <c r="B216" s="234" t="s">
        <v>6122</v>
      </c>
      <c r="C216" s="124">
        <v>8</v>
      </c>
      <c r="E216" s="124" t="s">
        <v>747</v>
      </c>
      <c r="F216" s="124">
        <v>3</v>
      </c>
      <c r="H216" s="124">
        <v>303</v>
      </c>
      <c r="I216" s="128" t="s">
        <v>748</v>
      </c>
      <c r="R216" s="124" t="s">
        <v>6123</v>
      </c>
      <c r="U216" s="235"/>
      <c r="W216" s="124" t="s">
        <v>5505</v>
      </c>
      <c r="X216" s="124" t="s">
        <v>564</v>
      </c>
      <c r="AA216" s="124" t="s">
        <v>574</v>
      </c>
      <c r="AB216" s="107"/>
    </row>
    <row r="217" spans="1:28" s="124" customFormat="1">
      <c r="A217" s="124">
        <v>840117</v>
      </c>
      <c r="B217" s="234" t="s">
        <v>6124</v>
      </c>
      <c r="C217" s="124">
        <v>8</v>
      </c>
      <c r="E217" s="124" t="s">
        <v>747</v>
      </c>
      <c r="F217" s="124">
        <v>4</v>
      </c>
      <c r="H217" s="124">
        <v>303</v>
      </c>
      <c r="I217" s="128" t="s">
        <v>748</v>
      </c>
      <c r="R217" s="124" t="s">
        <v>6125</v>
      </c>
      <c r="U217" s="235"/>
      <c r="W217" s="124" t="s">
        <v>6126</v>
      </c>
      <c r="X217" s="124" t="s">
        <v>558</v>
      </c>
      <c r="AA217" s="124" t="s">
        <v>584</v>
      </c>
      <c r="AB217" s="107"/>
    </row>
    <row r="218" spans="1:28" s="124" customFormat="1">
      <c r="A218" s="124">
        <v>840217</v>
      </c>
      <c r="B218" s="234" t="s">
        <v>6127</v>
      </c>
      <c r="C218" s="124">
        <v>8</v>
      </c>
      <c r="E218" s="124" t="s">
        <v>747</v>
      </c>
      <c r="F218" s="124">
        <v>4</v>
      </c>
      <c r="H218" s="124">
        <v>302</v>
      </c>
      <c r="I218" s="128" t="s">
        <v>748</v>
      </c>
      <c r="R218" s="124" t="s">
        <v>6128</v>
      </c>
      <c r="U218" s="235"/>
      <c r="W218" s="124" t="s">
        <v>6129</v>
      </c>
      <c r="X218" s="124" t="s">
        <v>558</v>
      </c>
      <c r="AA218" s="124" t="s">
        <v>584</v>
      </c>
      <c r="AB218" s="107"/>
    </row>
    <row r="219" spans="1:28" s="124" customFormat="1">
      <c r="A219" s="124">
        <v>840317</v>
      </c>
      <c r="B219" s="234" t="s">
        <v>6130</v>
      </c>
      <c r="C219" s="124">
        <v>8</v>
      </c>
      <c r="E219" s="124" t="s">
        <v>747</v>
      </c>
      <c r="F219" s="124">
        <v>4</v>
      </c>
      <c r="H219" s="124">
        <v>305</v>
      </c>
      <c r="I219" s="128" t="s">
        <v>748</v>
      </c>
      <c r="R219" s="124" t="s">
        <v>6131</v>
      </c>
      <c r="U219" s="235"/>
      <c r="W219" s="124" t="s">
        <v>6132</v>
      </c>
      <c r="X219" s="124" t="s">
        <v>558</v>
      </c>
      <c r="AA219" s="124" t="s">
        <v>584</v>
      </c>
      <c r="AB219" s="107"/>
    </row>
    <row r="220" spans="1:28" s="124" customFormat="1">
      <c r="A220" s="124">
        <v>840417</v>
      </c>
      <c r="B220" s="234" t="s">
        <v>6133</v>
      </c>
      <c r="C220" s="124">
        <v>8</v>
      </c>
      <c r="E220" s="124" t="s">
        <v>747</v>
      </c>
      <c r="F220" s="124">
        <v>4</v>
      </c>
      <c r="H220" s="124">
        <v>307</v>
      </c>
      <c r="I220" s="128" t="s">
        <v>748</v>
      </c>
      <c r="R220" s="124" t="s">
        <v>6134</v>
      </c>
      <c r="U220" s="235"/>
      <c r="W220" s="124" t="s">
        <v>6135</v>
      </c>
      <c r="X220" s="124" t="s">
        <v>570</v>
      </c>
      <c r="AA220" s="124" t="s">
        <v>584</v>
      </c>
      <c r="AB220" s="107"/>
    </row>
    <row r="221" spans="1:28" s="124" customFormat="1">
      <c r="A221" s="124">
        <v>840517</v>
      </c>
      <c r="B221" s="234" t="s">
        <v>6136</v>
      </c>
      <c r="C221" s="124">
        <v>8</v>
      </c>
      <c r="E221" s="124" t="s">
        <v>747</v>
      </c>
      <c r="F221" s="124">
        <v>4</v>
      </c>
      <c r="H221" s="124">
        <v>307</v>
      </c>
      <c r="I221" s="128" t="s">
        <v>748</v>
      </c>
      <c r="R221" s="124" t="s">
        <v>6137</v>
      </c>
      <c r="U221" s="235"/>
      <c r="W221" s="124" t="s">
        <v>6138</v>
      </c>
      <c r="X221" s="124" t="s">
        <v>562</v>
      </c>
      <c r="AA221" s="124" t="s">
        <v>584</v>
      </c>
      <c r="AB221" s="107"/>
    </row>
    <row r="222" spans="1:28" s="124" customFormat="1">
      <c r="A222" s="124">
        <v>840617</v>
      </c>
      <c r="B222" s="234" t="s">
        <v>6139</v>
      </c>
      <c r="C222" s="124">
        <v>8</v>
      </c>
      <c r="E222" s="124" t="s">
        <v>747</v>
      </c>
      <c r="F222" s="124">
        <v>4</v>
      </c>
      <c r="H222" s="124">
        <v>306</v>
      </c>
      <c r="I222" s="128" t="s">
        <v>748</v>
      </c>
      <c r="R222" s="124" t="s">
        <v>6140</v>
      </c>
      <c r="U222" s="235"/>
      <c r="W222" s="124" t="s">
        <v>6141</v>
      </c>
      <c r="X222" s="124" t="s">
        <v>562</v>
      </c>
      <c r="AA222" s="124" t="s">
        <v>584</v>
      </c>
      <c r="AB222" s="107"/>
    </row>
    <row r="223" spans="1:28" s="124" customFormat="1">
      <c r="A223" s="124">
        <v>840717</v>
      </c>
      <c r="B223" s="234" t="s">
        <v>6142</v>
      </c>
      <c r="C223" s="124">
        <v>8</v>
      </c>
      <c r="E223" s="124" t="s">
        <v>747</v>
      </c>
      <c r="F223" s="124">
        <v>4</v>
      </c>
      <c r="H223" s="124">
        <v>304</v>
      </c>
      <c r="I223" s="128" t="s">
        <v>748</v>
      </c>
      <c r="R223" s="124" t="s">
        <v>6143</v>
      </c>
      <c r="U223" s="235"/>
      <c r="W223" s="124" t="s">
        <v>6144</v>
      </c>
      <c r="X223" s="124" t="s">
        <v>562</v>
      </c>
      <c r="AA223" s="124" t="s">
        <v>584</v>
      </c>
      <c r="AB223" s="107"/>
    </row>
    <row r="224" spans="1:28" s="124" customFormat="1">
      <c r="A224" s="124">
        <v>840817</v>
      </c>
      <c r="B224" s="234" t="s">
        <v>6145</v>
      </c>
      <c r="C224" s="124">
        <v>8</v>
      </c>
      <c r="E224" s="124" t="s">
        <v>747</v>
      </c>
      <c r="F224" s="124">
        <v>4</v>
      </c>
      <c r="H224" s="124">
        <v>301</v>
      </c>
      <c r="I224" s="128" t="s">
        <v>748</v>
      </c>
      <c r="R224" s="124" t="s">
        <v>6146</v>
      </c>
      <c r="U224" s="235"/>
      <c r="W224" s="124" t="s">
        <v>6147</v>
      </c>
      <c r="X224" s="124" t="s">
        <v>484</v>
      </c>
      <c r="AA224" s="124" t="s">
        <v>584</v>
      </c>
      <c r="AB224" s="107"/>
    </row>
    <row r="225" spans="1:35" s="124" customFormat="1">
      <c r="A225" s="124">
        <v>840917</v>
      </c>
      <c r="B225" s="234" t="s">
        <v>6148</v>
      </c>
      <c r="C225" s="124">
        <v>8</v>
      </c>
      <c r="E225" s="124" t="s">
        <v>747</v>
      </c>
      <c r="F225" s="124">
        <v>4</v>
      </c>
      <c r="H225" s="124">
        <v>305</v>
      </c>
      <c r="I225" s="128" t="s">
        <v>748</v>
      </c>
      <c r="R225" s="124" t="s">
        <v>6149</v>
      </c>
      <c r="U225" s="235"/>
      <c r="W225" s="124" t="s">
        <v>6150</v>
      </c>
      <c r="X225" s="124" t="s">
        <v>568</v>
      </c>
      <c r="AA225" s="124" t="s">
        <v>584</v>
      </c>
      <c r="AB225" s="107"/>
    </row>
    <row r="226" spans="1:35" s="124" customFormat="1">
      <c r="A226" s="124">
        <v>841017</v>
      </c>
      <c r="B226" s="234" t="s">
        <v>6151</v>
      </c>
      <c r="C226" s="124">
        <v>8</v>
      </c>
      <c r="E226" s="124" t="s">
        <v>747</v>
      </c>
      <c r="F226" s="124">
        <v>4</v>
      </c>
      <c r="H226" s="124">
        <v>301</v>
      </c>
      <c r="I226" s="128" t="s">
        <v>748</v>
      </c>
      <c r="R226" s="124" t="s">
        <v>6152</v>
      </c>
      <c r="U226" s="235"/>
      <c r="W226" s="124" t="s">
        <v>6153</v>
      </c>
      <c r="X226" s="124" t="s">
        <v>560</v>
      </c>
      <c r="AA226" s="124" t="s">
        <v>584</v>
      </c>
      <c r="AB226" s="107"/>
    </row>
    <row r="227" spans="1:35" s="124" customFormat="1">
      <c r="A227" s="124">
        <v>841117</v>
      </c>
      <c r="B227" s="234" t="s">
        <v>6154</v>
      </c>
      <c r="C227" s="124">
        <v>8</v>
      </c>
      <c r="E227" s="124" t="s">
        <v>747</v>
      </c>
      <c r="F227" s="124">
        <v>4</v>
      </c>
      <c r="H227" s="124">
        <v>308</v>
      </c>
      <c r="I227" s="128" t="s">
        <v>748</v>
      </c>
      <c r="R227" s="124" t="s">
        <v>6155</v>
      </c>
      <c r="U227" s="235"/>
      <c r="W227" s="124" t="s">
        <v>6156</v>
      </c>
      <c r="X227" s="124" t="s">
        <v>570</v>
      </c>
      <c r="AA227" s="124" t="s">
        <v>584</v>
      </c>
      <c r="AB227" s="107"/>
    </row>
    <row r="228" spans="1:35" s="124" customFormat="1">
      <c r="A228" s="124">
        <v>841217</v>
      </c>
      <c r="B228" s="234" t="s">
        <v>6157</v>
      </c>
      <c r="C228" s="124">
        <v>8</v>
      </c>
      <c r="E228" s="124" t="s">
        <v>747</v>
      </c>
      <c r="F228" s="124">
        <v>4</v>
      </c>
      <c r="H228" s="124">
        <v>304</v>
      </c>
      <c r="I228" s="128" t="s">
        <v>748</v>
      </c>
      <c r="R228" s="124" t="s">
        <v>6158</v>
      </c>
      <c r="U228" s="235"/>
      <c r="W228" s="124" t="s">
        <v>6159</v>
      </c>
      <c r="X228" s="124" t="s">
        <v>562</v>
      </c>
      <c r="AA228" s="124" t="s">
        <v>584</v>
      </c>
      <c r="AB228" s="107"/>
    </row>
    <row r="229" spans="1:35" s="124" customFormat="1">
      <c r="A229" s="124">
        <v>841317</v>
      </c>
      <c r="B229" s="234" t="s">
        <v>6160</v>
      </c>
      <c r="C229" s="124">
        <v>8</v>
      </c>
      <c r="E229" s="124" t="s">
        <v>747</v>
      </c>
      <c r="F229" s="124">
        <v>4</v>
      </c>
      <c r="H229" s="124">
        <v>308</v>
      </c>
      <c r="I229" s="128" t="s">
        <v>748</v>
      </c>
      <c r="R229" s="124" t="s">
        <v>6161</v>
      </c>
      <c r="U229" s="235"/>
      <c r="W229" s="124" t="s">
        <v>6162</v>
      </c>
      <c r="X229" s="124" t="s">
        <v>570</v>
      </c>
      <c r="AA229" s="124" t="s">
        <v>584</v>
      </c>
      <c r="AB229" s="107"/>
    </row>
    <row r="230" spans="1:35" s="124" customFormat="1">
      <c r="A230" s="124">
        <v>841417</v>
      </c>
      <c r="B230" s="234" t="s">
        <v>6163</v>
      </c>
      <c r="C230" s="124">
        <v>8</v>
      </c>
      <c r="E230" s="124" t="s">
        <v>747</v>
      </c>
      <c r="F230" s="124">
        <v>4</v>
      </c>
      <c r="H230" s="124">
        <v>303</v>
      </c>
      <c r="I230" s="128" t="s">
        <v>748</v>
      </c>
      <c r="R230" s="124" t="s">
        <v>6164</v>
      </c>
      <c r="U230" s="235"/>
      <c r="W230" s="124" t="s">
        <v>2085</v>
      </c>
      <c r="X230" s="124" t="s">
        <v>558</v>
      </c>
      <c r="AA230" s="124" t="s">
        <v>584</v>
      </c>
      <c r="AB230" s="107"/>
    </row>
    <row r="231" spans="1:35" s="124" customFormat="1">
      <c r="A231" s="124">
        <v>841517</v>
      </c>
      <c r="B231" s="234" t="s">
        <v>6165</v>
      </c>
      <c r="C231" s="124">
        <v>8</v>
      </c>
      <c r="E231" s="124" t="s">
        <v>747</v>
      </c>
      <c r="F231" s="124">
        <v>4</v>
      </c>
      <c r="H231" s="124">
        <v>306</v>
      </c>
      <c r="I231" s="128" t="s">
        <v>748</v>
      </c>
      <c r="R231" s="124" t="s">
        <v>6166</v>
      </c>
      <c r="U231" s="235"/>
      <c r="W231" s="124" t="s">
        <v>6167</v>
      </c>
      <c r="X231" s="124" t="s">
        <v>556</v>
      </c>
      <c r="AA231" s="124" t="s">
        <v>584</v>
      </c>
      <c r="AB231" s="107"/>
    </row>
    <row r="232" spans="1:35" s="124" customFormat="1">
      <c r="A232" s="124">
        <v>841617</v>
      </c>
      <c r="B232" s="234" t="s">
        <v>6168</v>
      </c>
      <c r="C232" s="124">
        <v>8</v>
      </c>
      <c r="E232" s="124" t="s">
        <v>747</v>
      </c>
      <c r="F232" s="124">
        <v>4</v>
      </c>
      <c r="H232" s="124">
        <v>302</v>
      </c>
      <c r="I232" s="128" t="s">
        <v>748</v>
      </c>
      <c r="R232" s="124" t="s">
        <v>6169</v>
      </c>
      <c r="U232" s="235"/>
      <c r="W232" s="124" t="s">
        <v>6170</v>
      </c>
      <c r="X232" s="124" t="s">
        <v>556</v>
      </c>
      <c r="AA232" s="124" t="s">
        <v>584</v>
      </c>
      <c r="AB232" s="107"/>
    </row>
    <row r="233" spans="1:35" s="124" customFormat="1">
      <c r="B233" s="234"/>
      <c r="I233" s="128"/>
      <c r="U233" s="235"/>
      <c r="AB233" s="107"/>
    </row>
    <row r="234" spans="1:35" s="124" customFormat="1">
      <c r="A234" s="98">
        <v>72160</v>
      </c>
      <c r="B234" s="107" t="s">
        <v>6175</v>
      </c>
      <c r="C234" s="98">
        <v>7</v>
      </c>
      <c r="D234" s="98"/>
      <c r="E234" s="107" t="s">
        <v>706</v>
      </c>
      <c r="F234" s="98">
        <v>2</v>
      </c>
      <c r="G234" s="236" t="s">
        <v>6208</v>
      </c>
      <c r="H234" s="98">
        <v>307</v>
      </c>
      <c r="I234" s="230" t="s">
        <v>5911</v>
      </c>
      <c r="J234" s="98">
        <v>1</v>
      </c>
      <c r="K234" s="107">
        <v>20741</v>
      </c>
      <c r="L234" s="98"/>
      <c r="M234" s="98"/>
      <c r="N234" s="98"/>
      <c r="O234" s="98"/>
      <c r="P234" s="98"/>
      <c r="Q234" s="98"/>
      <c r="R234" s="98"/>
      <c r="S234" s="98"/>
      <c r="T234" s="107" t="s">
        <v>6176</v>
      </c>
      <c r="U234" s="107" t="s">
        <v>6177</v>
      </c>
      <c r="V234" s="124">
        <v>2</v>
      </c>
      <c r="W234" s="124">
        <v>5</v>
      </c>
      <c r="X234" s="124" t="s">
        <v>5917</v>
      </c>
      <c r="Z234" s="124">
        <v>0</v>
      </c>
      <c r="AA234" s="124" t="s">
        <v>552</v>
      </c>
      <c r="AB234" s="107" t="s">
        <v>6178</v>
      </c>
      <c r="AC234" s="124">
        <v>6</v>
      </c>
      <c r="AD234" s="107" t="s">
        <v>6179</v>
      </c>
      <c r="AE234" s="107" t="s">
        <v>6180</v>
      </c>
      <c r="AF234" s="107" t="s">
        <v>6181</v>
      </c>
      <c r="AG234" s="107" t="s">
        <v>6182</v>
      </c>
      <c r="AH234" s="107" t="s">
        <v>6183</v>
      </c>
      <c r="AI234" s="107"/>
    </row>
    <row r="235" spans="1:35" s="124" customFormat="1">
      <c r="A235" s="98">
        <v>820116</v>
      </c>
      <c r="B235" s="227" t="s">
        <v>6184</v>
      </c>
      <c r="C235" s="98">
        <v>8</v>
      </c>
      <c r="D235" s="98"/>
      <c r="E235" s="98" t="s">
        <v>747</v>
      </c>
      <c r="F235" s="98">
        <v>2</v>
      </c>
      <c r="G235" s="98"/>
      <c r="H235" s="98">
        <v>305</v>
      </c>
      <c r="I235" s="206" t="s">
        <v>748</v>
      </c>
      <c r="J235" s="98"/>
      <c r="K235" s="98"/>
      <c r="L235" s="98"/>
      <c r="M235" s="98"/>
      <c r="N235" s="98"/>
      <c r="O235" s="98"/>
      <c r="P235" s="98"/>
      <c r="Q235" s="98"/>
      <c r="R235" s="98" t="s">
        <v>6006</v>
      </c>
      <c r="S235" s="98"/>
      <c r="T235" s="98"/>
      <c r="U235" s="228"/>
      <c r="W235" s="124" t="s">
        <v>6007</v>
      </c>
      <c r="X235" s="124" t="s">
        <v>522</v>
      </c>
      <c r="AA235" s="124" t="s">
        <v>552</v>
      </c>
      <c r="AB235" s="107"/>
    </row>
    <row r="236" spans="1:35" s="124" customFormat="1">
      <c r="A236" s="98">
        <v>820216</v>
      </c>
      <c r="B236" s="227" t="s">
        <v>6185</v>
      </c>
      <c r="C236" s="98">
        <v>8</v>
      </c>
      <c r="D236" s="98"/>
      <c r="E236" s="98" t="s">
        <v>747</v>
      </c>
      <c r="F236" s="98">
        <v>2</v>
      </c>
      <c r="G236" s="98"/>
      <c r="H236" s="98">
        <v>303</v>
      </c>
      <c r="I236" s="206" t="s">
        <v>748</v>
      </c>
      <c r="J236" s="98"/>
      <c r="K236" s="98"/>
      <c r="L236" s="98"/>
      <c r="M236" s="98"/>
      <c r="N236" s="98"/>
      <c r="O236" s="98"/>
      <c r="P236" s="98"/>
      <c r="Q236" s="98"/>
      <c r="R236" s="98" t="s">
        <v>6008</v>
      </c>
      <c r="S236" s="98"/>
      <c r="T236" s="98"/>
      <c r="U236" s="228"/>
      <c r="W236" s="124" t="s">
        <v>3719</v>
      </c>
      <c r="X236" s="124" t="s">
        <v>522</v>
      </c>
      <c r="AA236" s="124" t="s">
        <v>552</v>
      </c>
      <c r="AB236" s="107"/>
    </row>
    <row r="237" spans="1:35" s="124" customFormat="1">
      <c r="A237" s="98">
        <v>820316</v>
      </c>
      <c r="B237" s="227" t="s">
        <v>6186</v>
      </c>
      <c r="C237" s="98">
        <v>8</v>
      </c>
      <c r="D237" s="98"/>
      <c r="E237" s="98" t="s">
        <v>747</v>
      </c>
      <c r="F237" s="98">
        <v>2</v>
      </c>
      <c r="G237" s="98"/>
      <c r="H237" s="98">
        <v>301</v>
      </c>
      <c r="I237" s="206" t="s">
        <v>748</v>
      </c>
      <c r="J237" s="98"/>
      <c r="K237" s="98"/>
      <c r="L237" s="98"/>
      <c r="M237" s="98"/>
      <c r="N237" s="98"/>
      <c r="O237" s="98"/>
      <c r="P237" s="98"/>
      <c r="Q237" s="98"/>
      <c r="R237" s="98" t="s">
        <v>6009</v>
      </c>
      <c r="S237" s="98"/>
      <c r="T237" s="98"/>
      <c r="U237" s="228"/>
      <c r="W237" s="124" t="s">
        <v>6010</v>
      </c>
      <c r="X237" s="124" t="s">
        <v>547</v>
      </c>
      <c r="AA237" s="124" t="s">
        <v>552</v>
      </c>
      <c r="AB237" s="107"/>
    </row>
    <row r="238" spans="1:35" s="124" customFormat="1">
      <c r="A238" s="98">
        <v>820416</v>
      </c>
      <c r="B238" s="227" t="s">
        <v>6187</v>
      </c>
      <c r="C238" s="98">
        <v>8</v>
      </c>
      <c r="D238" s="98"/>
      <c r="E238" s="98" t="s">
        <v>747</v>
      </c>
      <c r="F238" s="98">
        <v>2</v>
      </c>
      <c r="G238" s="98"/>
      <c r="H238" s="98">
        <v>306</v>
      </c>
      <c r="I238" s="206" t="s">
        <v>748</v>
      </c>
      <c r="J238" s="98"/>
      <c r="K238" s="98"/>
      <c r="L238" s="98"/>
      <c r="M238" s="98"/>
      <c r="N238" s="98"/>
      <c r="O238" s="98"/>
      <c r="P238" s="98"/>
      <c r="Q238" s="98"/>
      <c r="R238" s="98" t="s">
        <v>6011</v>
      </c>
      <c r="S238" s="98"/>
      <c r="T238" s="98"/>
      <c r="U238" s="228"/>
      <c r="W238" s="124" t="s">
        <v>6012</v>
      </c>
      <c r="X238" s="124" t="s">
        <v>553</v>
      </c>
      <c r="AA238" s="124" t="s">
        <v>552</v>
      </c>
      <c r="AB238" s="107"/>
    </row>
    <row r="239" spans="1:35" s="124" customFormat="1">
      <c r="A239" s="98">
        <v>820516</v>
      </c>
      <c r="B239" s="227" t="s">
        <v>6188</v>
      </c>
      <c r="C239" s="98">
        <v>8</v>
      </c>
      <c r="D239" s="98"/>
      <c r="E239" s="98" t="s">
        <v>747</v>
      </c>
      <c r="F239" s="98">
        <v>2</v>
      </c>
      <c r="G239" s="98"/>
      <c r="H239" s="98">
        <v>303</v>
      </c>
      <c r="I239" s="206" t="s">
        <v>748</v>
      </c>
      <c r="J239" s="98"/>
      <c r="K239" s="98"/>
      <c r="L239" s="98"/>
      <c r="M239" s="98"/>
      <c r="N239" s="98"/>
      <c r="O239" s="98"/>
      <c r="P239" s="98"/>
      <c r="Q239" s="98"/>
      <c r="R239" s="98" t="s">
        <v>6013</v>
      </c>
      <c r="S239" s="98"/>
      <c r="T239" s="98"/>
      <c r="U239" s="228"/>
      <c r="W239" s="124" t="s">
        <v>5044</v>
      </c>
      <c r="X239" s="124" t="s">
        <v>558</v>
      </c>
      <c r="AA239" s="124" t="s">
        <v>552</v>
      </c>
      <c r="AB239" s="107"/>
    </row>
    <row r="240" spans="1:35" s="124" customFormat="1">
      <c r="A240" s="98">
        <v>820616</v>
      </c>
      <c r="B240" s="227" t="s">
        <v>6189</v>
      </c>
      <c r="C240" s="98">
        <v>8</v>
      </c>
      <c r="D240" s="98"/>
      <c r="E240" s="98" t="s">
        <v>747</v>
      </c>
      <c r="F240" s="98">
        <v>2</v>
      </c>
      <c r="G240" s="98"/>
      <c r="H240" s="98">
        <v>307</v>
      </c>
      <c r="I240" s="206" t="s">
        <v>748</v>
      </c>
      <c r="J240" s="98"/>
      <c r="K240" s="98"/>
      <c r="L240" s="98"/>
      <c r="M240" s="98"/>
      <c r="N240" s="98"/>
      <c r="O240" s="98"/>
      <c r="P240" s="98"/>
      <c r="Q240" s="98"/>
      <c r="R240" s="98" t="s">
        <v>6014</v>
      </c>
      <c r="S240" s="98"/>
      <c r="T240" s="98"/>
      <c r="U240" s="228"/>
      <c r="W240" s="124" t="s">
        <v>6015</v>
      </c>
      <c r="X240" s="124" t="s">
        <v>553</v>
      </c>
      <c r="AA240" s="124" t="s">
        <v>552</v>
      </c>
      <c r="AB240" s="107"/>
    </row>
    <row r="241" spans="1:34" s="124" customFormat="1">
      <c r="A241" s="98">
        <v>820716</v>
      </c>
      <c r="B241" s="227" t="s">
        <v>6190</v>
      </c>
      <c r="C241" s="98">
        <v>8</v>
      </c>
      <c r="D241" s="98"/>
      <c r="E241" s="98" t="s">
        <v>747</v>
      </c>
      <c r="F241" s="98">
        <v>2</v>
      </c>
      <c r="G241" s="98"/>
      <c r="H241" s="98">
        <v>308</v>
      </c>
      <c r="I241" s="206" t="s">
        <v>748</v>
      </c>
      <c r="J241" s="98"/>
      <c r="K241" s="98"/>
      <c r="L241" s="98"/>
      <c r="M241" s="98"/>
      <c r="N241" s="98"/>
      <c r="O241" s="98"/>
      <c r="P241" s="98"/>
      <c r="Q241" s="98"/>
      <c r="R241" s="98" t="s">
        <v>6016</v>
      </c>
      <c r="S241" s="98"/>
      <c r="T241" s="98"/>
      <c r="U241" s="228"/>
      <c r="W241" s="124" t="s">
        <v>6017</v>
      </c>
      <c r="X241" s="124" t="s">
        <v>549</v>
      </c>
      <c r="AA241" s="124" t="s">
        <v>552</v>
      </c>
      <c r="AB241" s="107"/>
    </row>
    <row r="242" spans="1:34" s="124" customFormat="1">
      <c r="A242" s="98">
        <v>820816</v>
      </c>
      <c r="B242" s="227" t="s">
        <v>6191</v>
      </c>
      <c r="C242" s="98">
        <v>8</v>
      </c>
      <c r="D242" s="98"/>
      <c r="E242" s="98" t="s">
        <v>747</v>
      </c>
      <c r="F242" s="98">
        <v>2</v>
      </c>
      <c r="G242" s="98"/>
      <c r="H242" s="98">
        <v>304</v>
      </c>
      <c r="I242" s="206" t="s">
        <v>748</v>
      </c>
      <c r="J242" s="98"/>
      <c r="K242" s="98"/>
      <c r="L242" s="98"/>
      <c r="M242" s="98"/>
      <c r="N242" s="98"/>
      <c r="O242" s="98"/>
      <c r="P242" s="98"/>
      <c r="Q242" s="98"/>
      <c r="R242" s="98" t="s">
        <v>6018</v>
      </c>
      <c r="S242" s="98"/>
      <c r="T242" s="98"/>
      <c r="U242" s="228"/>
      <c r="W242" s="124" t="s">
        <v>2382</v>
      </c>
      <c r="X242" s="124" t="s">
        <v>468</v>
      </c>
      <c r="AA242" s="124" t="s">
        <v>552</v>
      </c>
      <c r="AB242" s="107"/>
    </row>
    <row r="243" spans="1:34" s="124" customFormat="1">
      <c r="A243" s="98">
        <v>820916</v>
      </c>
      <c r="B243" s="227" t="s">
        <v>6192</v>
      </c>
      <c r="C243" s="98">
        <v>8</v>
      </c>
      <c r="D243" s="98"/>
      <c r="E243" s="98" t="s">
        <v>747</v>
      </c>
      <c r="F243" s="98">
        <v>2</v>
      </c>
      <c r="G243" s="98"/>
      <c r="H243" s="98">
        <v>301</v>
      </c>
      <c r="I243" s="206" t="s">
        <v>748</v>
      </c>
      <c r="J243" s="98"/>
      <c r="K243" s="98"/>
      <c r="L243" s="98"/>
      <c r="M243" s="98"/>
      <c r="N243" s="98"/>
      <c r="O243" s="98"/>
      <c r="P243" s="98"/>
      <c r="Q243" s="98"/>
      <c r="R243" s="98" t="s">
        <v>6019</v>
      </c>
      <c r="S243" s="98"/>
      <c r="T243" s="98"/>
      <c r="U243" s="228"/>
      <c r="W243" s="124" t="s">
        <v>6020</v>
      </c>
      <c r="X243" s="124" t="s">
        <v>484</v>
      </c>
      <c r="AA243" s="124" t="s">
        <v>552</v>
      </c>
      <c r="AB243" s="107"/>
    </row>
    <row r="244" spans="1:34" s="124" customFormat="1">
      <c r="A244" s="98">
        <v>821016</v>
      </c>
      <c r="B244" s="227" t="s">
        <v>6193</v>
      </c>
      <c r="C244" s="98">
        <v>8</v>
      </c>
      <c r="D244" s="98"/>
      <c r="E244" s="98" t="s">
        <v>747</v>
      </c>
      <c r="F244" s="98">
        <v>2</v>
      </c>
      <c r="G244" s="98"/>
      <c r="H244" s="98">
        <v>302</v>
      </c>
      <c r="I244" s="206" t="s">
        <v>748</v>
      </c>
      <c r="J244" s="98"/>
      <c r="K244" s="98"/>
      <c r="L244" s="98"/>
      <c r="M244" s="98"/>
      <c r="N244" s="98"/>
      <c r="O244" s="98"/>
      <c r="P244" s="98"/>
      <c r="Q244" s="98"/>
      <c r="R244" s="98" t="s">
        <v>6021</v>
      </c>
      <c r="S244" s="98"/>
      <c r="T244" s="98"/>
      <c r="U244" s="228"/>
      <c r="W244" s="124" t="s">
        <v>6022</v>
      </c>
      <c r="X244" s="124" t="s">
        <v>522</v>
      </c>
      <c r="AA244" s="124" t="s">
        <v>552</v>
      </c>
      <c r="AB244" s="107"/>
    </row>
    <row r="245" spans="1:34" s="124" customFormat="1">
      <c r="A245" s="98">
        <v>821116</v>
      </c>
      <c r="B245" s="227" t="s">
        <v>6194</v>
      </c>
      <c r="C245" s="98">
        <v>8</v>
      </c>
      <c r="D245" s="98"/>
      <c r="E245" s="98" t="s">
        <v>747</v>
      </c>
      <c r="F245" s="98">
        <v>2</v>
      </c>
      <c r="G245" s="98"/>
      <c r="H245" s="98">
        <v>302</v>
      </c>
      <c r="I245" s="206" t="s">
        <v>748</v>
      </c>
      <c r="J245" s="98"/>
      <c r="K245" s="98"/>
      <c r="L245" s="98"/>
      <c r="M245" s="98"/>
      <c r="N245" s="98"/>
      <c r="O245" s="98"/>
      <c r="P245" s="98"/>
      <c r="Q245" s="98"/>
      <c r="R245" s="98" t="s">
        <v>6023</v>
      </c>
      <c r="S245" s="98"/>
      <c r="T245" s="98"/>
      <c r="U245" s="228"/>
      <c r="W245" s="124" t="s">
        <v>6024</v>
      </c>
      <c r="X245" s="124" t="s">
        <v>551</v>
      </c>
      <c r="AA245" s="124" t="s">
        <v>552</v>
      </c>
      <c r="AB245" s="107"/>
    </row>
    <row r="246" spans="1:34" s="124" customFormat="1">
      <c r="A246" s="98">
        <v>821216</v>
      </c>
      <c r="B246" s="227" t="s">
        <v>6195</v>
      </c>
      <c r="C246" s="98">
        <v>8</v>
      </c>
      <c r="D246" s="98"/>
      <c r="E246" s="98" t="s">
        <v>747</v>
      </c>
      <c r="F246" s="98">
        <v>2</v>
      </c>
      <c r="G246" s="98"/>
      <c r="H246" s="98">
        <v>304</v>
      </c>
      <c r="I246" s="206" t="s">
        <v>748</v>
      </c>
      <c r="J246" s="98"/>
      <c r="K246" s="98"/>
      <c r="L246" s="98"/>
      <c r="M246" s="98"/>
      <c r="N246" s="98"/>
      <c r="O246" s="98"/>
      <c r="P246" s="98"/>
      <c r="Q246" s="98"/>
      <c r="R246" s="98" t="s">
        <v>6025</v>
      </c>
      <c r="S246" s="98"/>
      <c r="T246" s="98"/>
      <c r="U246" s="228"/>
      <c r="W246" s="124" t="s">
        <v>6026</v>
      </c>
      <c r="X246" s="124" t="s">
        <v>558</v>
      </c>
      <c r="AA246" s="124" t="s">
        <v>552</v>
      </c>
      <c r="AB246" s="107"/>
    </row>
    <row r="247" spans="1:34" s="124" customFormat="1">
      <c r="A247" s="98">
        <v>821316</v>
      </c>
      <c r="B247" s="227" t="s">
        <v>6196</v>
      </c>
      <c r="C247" s="98">
        <v>8</v>
      </c>
      <c r="D247" s="98"/>
      <c r="E247" s="98" t="s">
        <v>747</v>
      </c>
      <c r="F247" s="98">
        <v>2</v>
      </c>
      <c r="G247" s="98"/>
      <c r="H247" s="98">
        <v>305</v>
      </c>
      <c r="I247" s="206" t="s">
        <v>748</v>
      </c>
      <c r="J247" s="98"/>
      <c r="K247" s="98"/>
      <c r="L247" s="98"/>
      <c r="M247" s="98"/>
      <c r="N247" s="98"/>
      <c r="O247" s="98"/>
      <c r="P247" s="98"/>
      <c r="Q247" s="98"/>
      <c r="R247" s="98" t="s">
        <v>6027</v>
      </c>
      <c r="S247" s="98"/>
      <c r="T247" s="98"/>
      <c r="U247" s="228"/>
      <c r="W247" s="124" t="s">
        <v>6028</v>
      </c>
      <c r="X247" s="124" t="s">
        <v>547</v>
      </c>
      <c r="AA247" s="124" t="s">
        <v>552</v>
      </c>
      <c r="AB247" s="107"/>
    </row>
    <row r="248" spans="1:34" s="124" customFormat="1">
      <c r="A248" s="98">
        <v>821416</v>
      </c>
      <c r="B248" s="227" t="s">
        <v>6197</v>
      </c>
      <c r="C248" s="98">
        <v>8</v>
      </c>
      <c r="D248" s="98"/>
      <c r="E248" s="98" t="s">
        <v>747</v>
      </c>
      <c r="F248" s="98">
        <v>2</v>
      </c>
      <c r="G248" s="98"/>
      <c r="H248" s="98">
        <v>306</v>
      </c>
      <c r="I248" s="206" t="s">
        <v>748</v>
      </c>
      <c r="J248" s="98"/>
      <c r="K248" s="98"/>
      <c r="L248" s="98"/>
      <c r="M248" s="98"/>
      <c r="N248" s="98"/>
      <c r="O248" s="98"/>
      <c r="P248" s="98"/>
      <c r="Q248" s="98"/>
      <c r="R248" s="98" t="s">
        <v>6029</v>
      </c>
      <c r="S248" s="98"/>
      <c r="T248" s="98"/>
      <c r="U248" s="228"/>
      <c r="W248" s="124" t="s">
        <v>2391</v>
      </c>
      <c r="X248" s="124" t="s">
        <v>536</v>
      </c>
      <c r="AA248" s="124" t="s">
        <v>552</v>
      </c>
      <c r="AB248" s="107"/>
    </row>
    <row r="249" spans="1:34" s="124" customFormat="1">
      <c r="A249" s="98">
        <v>821516</v>
      </c>
      <c r="B249" s="227" t="s">
        <v>6198</v>
      </c>
      <c r="C249" s="98">
        <v>8</v>
      </c>
      <c r="D249" s="98"/>
      <c r="E249" s="98" t="s">
        <v>747</v>
      </c>
      <c r="F249" s="98">
        <v>2</v>
      </c>
      <c r="G249" s="98"/>
      <c r="H249" s="98">
        <v>307</v>
      </c>
      <c r="I249" s="206" t="s">
        <v>748</v>
      </c>
      <c r="J249" s="98"/>
      <c r="K249" s="98"/>
      <c r="L249" s="98"/>
      <c r="M249" s="98"/>
      <c r="N249" s="98"/>
      <c r="O249" s="98"/>
      <c r="P249" s="98"/>
      <c r="Q249" s="98"/>
      <c r="R249" s="98" t="s">
        <v>6030</v>
      </c>
      <c r="S249" s="98"/>
      <c r="T249" s="98"/>
      <c r="U249" s="228"/>
      <c r="W249" s="124" t="s">
        <v>6031</v>
      </c>
      <c r="X249" s="124" t="s">
        <v>539</v>
      </c>
      <c r="AA249" s="124" t="s">
        <v>552</v>
      </c>
      <c r="AB249" s="107"/>
    </row>
    <row r="250" spans="1:34" s="124" customFormat="1">
      <c r="A250" s="98">
        <v>821617</v>
      </c>
      <c r="B250" s="227" t="s">
        <v>6199</v>
      </c>
      <c r="C250" s="98">
        <v>8</v>
      </c>
      <c r="D250" s="98"/>
      <c r="E250" s="98" t="s">
        <v>747</v>
      </c>
      <c r="F250" s="98">
        <v>2</v>
      </c>
      <c r="G250" s="98"/>
      <c r="H250" s="98">
        <v>307</v>
      </c>
      <c r="I250" s="206" t="s">
        <v>748</v>
      </c>
      <c r="J250" s="98"/>
      <c r="K250" s="98"/>
      <c r="L250" s="98"/>
      <c r="M250" s="98"/>
      <c r="N250" s="98"/>
      <c r="O250" s="98"/>
      <c r="P250" s="98"/>
      <c r="Q250" s="98"/>
      <c r="R250" s="98" t="s">
        <v>6076</v>
      </c>
      <c r="S250" s="98"/>
      <c r="T250" s="98"/>
      <c r="U250" s="228"/>
      <c r="W250" s="124" t="s">
        <v>2411</v>
      </c>
      <c r="X250" s="124" t="s">
        <v>551</v>
      </c>
      <c r="AA250" s="124" t="s">
        <v>552</v>
      </c>
      <c r="AB250" s="107"/>
    </row>
    <row r="251" spans="1:34" s="124" customFormat="1">
      <c r="A251" s="98"/>
      <c r="B251" s="227"/>
      <c r="C251" s="98"/>
      <c r="D251" s="98"/>
      <c r="E251" s="98"/>
      <c r="F251" s="98"/>
      <c r="G251" s="98"/>
      <c r="H251" s="98"/>
      <c r="I251" s="206"/>
      <c r="J251" s="98"/>
      <c r="K251" s="98"/>
      <c r="L251" s="98"/>
      <c r="M251" s="98"/>
      <c r="N251" s="98"/>
      <c r="O251" s="98"/>
      <c r="P251" s="98"/>
      <c r="Q251" s="98"/>
      <c r="R251" s="98"/>
      <c r="S251" s="98"/>
      <c r="T251" s="98"/>
      <c r="U251" s="228"/>
      <c r="AB251" s="107"/>
    </row>
    <row r="252" spans="1:34" s="124" customFormat="1" ht="14.25" customHeight="1">
      <c r="A252" s="124">
        <v>41390</v>
      </c>
      <c r="B252" s="124" t="s">
        <v>6209</v>
      </c>
      <c r="C252" s="124">
        <v>4</v>
      </c>
      <c r="D252" s="124">
        <v>2</v>
      </c>
      <c r="E252" s="124" t="s">
        <v>6210</v>
      </c>
      <c r="F252" s="124">
        <v>1</v>
      </c>
      <c r="H252" s="124">
        <v>303</v>
      </c>
      <c r="I252" s="127" t="s">
        <v>5912</v>
      </c>
      <c r="J252" s="124">
        <v>0</v>
      </c>
      <c r="U252" s="237" t="s">
        <v>6211</v>
      </c>
      <c r="W252" s="124">
        <v>6</v>
      </c>
      <c r="X252" s="124" t="s">
        <v>512</v>
      </c>
      <c r="Z252" s="124">
        <v>6</v>
      </c>
      <c r="AA252" s="124" t="s">
        <v>5913</v>
      </c>
      <c r="AB252" s="238" t="s">
        <v>6212</v>
      </c>
      <c r="AC252" s="124">
        <v>4</v>
      </c>
      <c r="AD252" s="124" t="s">
        <v>5584</v>
      </c>
      <c r="AE252" s="237" t="s">
        <v>6213</v>
      </c>
      <c r="AF252" s="237" t="s">
        <v>6214</v>
      </c>
      <c r="AG252" s="237" t="s">
        <v>6215</v>
      </c>
      <c r="AH252" s="237" t="s">
        <v>6216</v>
      </c>
    </row>
    <row r="253" spans="1:34" s="124" customFormat="1" ht="14.25" customHeight="1">
      <c r="A253" s="124">
        <v>31780</v>
      </c>
      <c r="B253" s="124" t="s">
        <v>6217</v>
      </c>
      <c r="C253" s="124">
        <v>3</v>
      </c>
      <c r="E253" s="124" t="s">
        <v>6210</v>
      </c>
      <c r="F253" s="124">
        <v>1</v>
      </c>
      <c r="H253" s="124">
        <v>303</v>
      </c>
      <c r="I253" s="127" t="s">
        <v>5912</v>
      </c>
      <c r="J253" s="124">
        <v>0</v>
      </c>
      <c r="U253" s="237" t="s">
        <v>6218</v>
      </c>
      <c r="W253" s="124">
        <v>6</v>
      </c>
      <c r="X253" s="124" t="s">
        <v>3605</v>
      </c>
      <c r="Z253" s="124">
        <v>7</v>
      </c>
      <c r="AA253" s="124" t="s">
        <v>5240</v>
      </c>
      <c r="AB253" s="238" t="s">
        <v>6212</v>
      </c>
      <c r="AC253" s="124">
        <v>4</v>
      </c>
      <c r="AD253" s="124" t="s">
        <v>5584</v>
      </c>
      <c r="AE253" s="237" t="s">
        <v>6213</v>
      </c>
      <c r="AF253" s="237" t="s">
        <v>6214</v>
      </c>
      <c r="AG253" s="237" t="s">
        <v>6215</v>
      </c>
      <c r="AH253" s="237" t="s">
        <v>6216</v>
      </c>
    </row>
    <row r="254" spans="1:34" s="124" customFormat="1">
      <c r="A254" s="124">
        <v>44370</v>
      </c>
      <c r="B254" s="124" t="s">
        <v>5914</v>
      </c>
      <c r="C254" s="124">
        <v>4</v>
      </c>
      <c r="E254" s="124" t="s">
        <v>716</v>
      </c>
      <c r="F254" s="124">
        <v>4</v>
      </c>
      <c r="H254" s="124">
        <v>302</v>
      </c>
      <c r="I254" s="127" t="s">
        <v>6219</v>
      </c>
      <c r="J254" s="124">
        <v>0</v>
      </c>
      <c r="L254" s="145"/>
      <c r="S254" s="142"/>
      <c r="U254" s="124" t="s">
        <v>742</v>
      </c>
      <c r="W254" s="124">
        <v>2</v>
      </c>
      <c r="X254" s="124" t="s">
        <v>3319</v>
      </c>
      <c r="Z254" s="124">
        <v>5</v>
      </c>
      <c r="AA254" s="124" t="s">
        <v>5915</v>
      </c>
      <c r="AB254" s="124" t="s">
        <v>5584</v>
      </c>
      <c r="AC254" s="124">
        <v>7</v>
      </c>
      <c r="AD254" s="124" t="s">
        <v>5584</v>
      </c>
      <c r="AE254" s="124" t="s">
        <v>5584</v>
      </c>
      <c r="AF254" s="124" t="s">
        <v>5584</v>
      </c>
      <c r="AG254" s="124" t="s">
        <v>5584</v>
      </c>
      <c r="AH254" s="124" t="s">
        <v>5584</v>
      </c>
    </row>
    <row r="255" spans="1:34" s="124" customFormat="1" ht="14.25" customHeight="1">
      <c r="I255" s="127"/>
    </row>
    <row r="256" spans="1:34">
      <c r="I256" s="206"/>
      <c r="U256" s="229"/>
    </row>
    <row r="257" spans="1:42" s="205" customFormat="1">
      <c r="A257" s="98">
        <v>43350</v>
      </c>
      <c r="B257" s="98" t="s">
        <v>5717</v>
      </c>
      <c r="C257" s="98">
        <v>4</v>
      </c>
      <c r="D257" s="98"/>
      <c r="E257" s="98" t="s">
        <v>1157</v>
      </c>
      <c r="F257" s="98">
        <v>3</v>
      </c>
      <c r="G257" s="98" t="s">
        <v>5722</v>
      </c>
      <c r="H257" s="98">
        <v>302</v>
      </c>
      <c r="I257" s="206" t="s">
        <v>5455</v>
      </c>
      <c r="J257" s="98">
        <v>1</v>
      </c>
      <c r="K257" s="98">
        <v>30741</v>
      </c>
      <c r="L257" s="98">
        <v>430741</v>
      </c>
      <c r="M257" s="98">
        <v>5</v>
      </c>
      <c r="N257" s="98">
        <v>15</v>
      </c>
      <c r="O257" s="98"/>
      <c r="P257" s="98"/>
      <c r="Q257" s="98"/>
      <c r="R257" s="98"/>
      <c r="S257" s="98" t="s">
        <v>5724</v>
      </c>
      <c r="T257" s="98" t="s">
        <v>5723</v>
      </c>
      <c r="U257" s="229" t="s">
        <v>5718</v>
      </c>
      <c r="W257" s="205">
        <v>7</v>
      </c>
      <c r="X257" s="205" t="s">
        <v>5590</v>
      </c>
      <c r="Z257" s="205">
        <v>2</v>
      </c>
      <c r="AA257" s="205" t="s">
        <v>567</v>
      </c>
      <c r="AB257" s="215" t="s">
        <v>5753</v>
      </c>
      <c r="AC257" s="205">
        <v>5</v>
      </c>
      <c r="AD257" s="205" t="s">
        <v>5754</v>
      </c>
      <c r="AE257" s="205" t="s">
        <v>5755</v>
      </c>
      <c r="AF257" s="205" t="s">
        <v>5756</v>
      </c>
      <c r="AG257" s="205" t="s">
        <v>5757</v>
      </c>
      <c r="AH257" s="205" t="s">
        <v>5758</v>
      </c>
    </row>
    <row r="258" spans="1:42" s="205" customFormat="1">
      <c r="A258" s="98">
        <v>54550</v>
      </c>
      <c r="B258" s="98" t="s">
        <v>5719</v>
      </c>
      <c r="C258" s="98">
        <v>5</v>
      </c>
      <c r="D258" s="98"/>
      <c r="E258" s="98" t="s">
        <v>1157</v>
      </c>
      <c r="F258" s="98">
        <v>4</v>
      </c>
      <c r="G258" s="98" t="s">
        <v>5725</v>
      </c>
      <c r="H258" s="98">
        <v>302</v>
      </c>
      <c r="I258" s="206" t="s">
        <v>5455</v>
      </c>
      <c r="J258" s="98">
        <v>1</v>
      </c>
      <c r="K258" s="98">
        <v>40741</v>
      </c>
      <c r="L258" s="98">
        <v>440742</v>
      </c>
      <c r="M258" s="98">
        <v>40</v>
      </c>
      <c r="N258" s="98">
        <v>55</v>
      </c>
      <c r="O258" s="98"/>
      <c r="P258" s="98"/>
      <c r="Q258" s="98"/>
      <c r="R258" s="98"/>
      <c r="S258" s="98" t="s">
        <v>5721</v>
      </c>
      <c r="T258" s="98" t="s">
        <v>5726</v>
      </c>
      <c r="U258" s="229" t="s">
        <v>5720</v>
      </c>
      <c r="W258" s="205">
        <v>6</v>
      </c>
      <c r="X258" s="205" t="s">
        <v>5589</v>
      </c>
      <c r="Z258" s="205">
        <v>2</v>
      </c>
      <c r="AA258" s="205" t="s">
        <v>587</v>
      </c>
      <c r="AB258" s="215" t="s">
        <v>5747</v>
      </c>
      <c r="AC258" s="205">
        <v>6</v>
      </c>
      <c r="AD258" s="205" t="s">
        <v>5748</v>
      </c>
      <c r="AE258" s="205" t="s">
        <v>5749</v>
      </c>
      <c r="AF258" s="205" t="s">
        <v>5750</v>
      </c>
      <c r="AG258" s="205" t="s">
        <v>5751</v>
      </c>
      <c r="AH258" s="205" t="s">
        <v>5752</v>
      </c>
    </row>
    <row r="259" spans="1:42" s="124" customFormat="1" ht="15.75" customHeight="1">
      <c r="A259" s="98">
        <v>51550</v>
      </c>
      <c r="B259" s="98" t="s">
        <v>5595</v>
      </c>
      <c r="C259" s="98">
        <v>5</v>
      </c>
      <c r="D259" s="98"/>
      <c r="E259" s="98" t="s">
        <v>5597</v>
      </c>
      <c r="F259" s="98">
        <v>1</v>
      </c>
      <c r="G259" s="98" t="s">
        <v>5697</v>
      </c>
      <c r="H259" s="98">
        <v>308</v>
      </c>
      <c r="I259" s="226" t="s">
        <v>5455</v>
      </c>
      <c r="J259" s="98">
        <v>2</v>
      </c>
      <c r="K259" s="98">
        <v>12</v>
      </c>
      <c r="L259" s="98"/>
      <c r="M259" s="98"/>
      <c r="N259" s="98"/>
      <c r="O259" s="98"/>
      <c r="P259" s="98"/>
      <c r="Q259" s="98"/>
      <c r="R259" s="98"/>
      <c r="S259" s="98" t="s">
        <v>5908</v>
      </c>
      <c r="T259" s="98" t="s">
        <v>5698</v>
      </c>
      <c r="U259" s="229" t="s">
        <v>5696</v>
      </c>
      <c r="W259" s="124">
        <v>7</v>
      </c>
      <c r="X259" s="124" t="s">
        <v>5451</v>
      </c>
      <c r="Z259" s="124">
        <v>2</v>
      </c>
      <c r="AA259" s="124" t="s">
        <v>503</v>
      </c>
      <c r="AB259" s="105"/>
    </row>
    <row r="260" spans="1:42" s="124" customFormat="1" ht="15.75" customHeight="1">
      <c r="A260" s="98">
        <v>52530</v>
      </c>
      <c r="B260" s="98" t="s">
        <v>5712</v>
      </c>
      <c r="C260" s="98">
        <v>5</v>
      </c>
      <c r="D260" s="98"/>
      <c r="E260" s="98" t="s">
        <v>5597</v>
      </c>
      <c r="F260" s="98">
        <v>2</v>
      </c>
      <c r="G260" s="98" t="s">
        <v>5699</v>
      </c>
      <c r="H260" s="98">
        <v>308</v>
      </c>
      <c r="I260" s="226" t="s">
        <v>5455</v>
      </c>
      <c r="J260" s="98">
        <v>2</v>
      </c>
      <c r="K260" s="98">
        <v>22</v>
      </c>
      <c r="L260" s="98"/>
      <c r="M260" s="98"/>
      <c r="N260" s="98"/>
      <c r="O260" s="98"/>
      <c r="P260" s="98"/>
      <c r="Q260" s="98"/>
      <c r="R260" s="98"/>
      <c r="S260" s="98" t="s">
        <v>5707</v>
      </c>
      <c r="T260" s="98" t="s">
        <v>5700</v>
      </c>
      <c r="U260" s="229" t="s">
        <v>5713</v>
      </c>
      <c r="W260" s="124">
        <v>7</v>
      </c>
      <c r="X260" s="124" t="s">
        <v>5452</v>
      </c>
      <c r="Z260" s="124">
        <v>2</v>
      </c>
      <c r="AA260" s="124" t="s">
        <v>563</v>
      </c>
      <c r="AB260" s="106"/>
    </row>
    <row r="261" spans="1:42" s="124" customFormat="1">
      <c r="A261" s="98">
        <v>53560</v>
      </c>
      <c r="B261" s="98" t="s">
        <v>5596</v>
      </c>
      <c r="C261" s="98">
        <v>5</v>
      </c>
      <c r="D261" s="98"/>
      <c r="E261" s="98" t="s">
        <v>5597</v>
      </c>
      <c r="F261" s="98">
        <v>3</v>
      </c>
      <c r="G261" s="98" t="s">
        <v>5701</v>
      </c>
      <c r="H261" s="98">
        <v>308</v>
      </c>
      <c r="I261" s="226" t="s">
        <v>5455</v>
      </c>
      <c r="J261" s="98">
        <v>2</v>
      </c>
      <c r="K261" s="98">
        <v>32</v>
      </c>
      <c r="L261" s="98"/>
      <c r="M261" s="98"/>
      <c r="N261" s="98"/>
      <c r="O261" s="98"/>
      <c r="P261" s="98"/>
      <c r="Q261" s="98"/>
      <c r="R261" s="98"/>
      <c r="S261" s="98" t="s">
        <v>5708</v>
      </c>
      <c r="T261" s="98" t="s">
        <v>5702</v>
      </c>
      <c r="U261" s="229" t="s">
        <v>5714</v>
      </c>
      <c r="W261" s="124">
        <v>7</v>
      </c>
      <c r="X261" s="124" t="s">
        <v>5453</v>
      </c>
      <c r="Z261" s="124">
        <v>4</v>
      </c>
      <c r="AA261" s="124" t="s">
        <v>575</v>
      </c>
      <c r="AB261" s="105"/>
    </row>
    <row r="262" spans="1:42" s="124" customFormat="1">
      <c r="A262" s="98">
        <v>54540</v>
      </c>
      <c r="B262" s="98" t="s">
        <v>5593</v>
      </c>
      <c r="C262" s="98">
        <v>5</v>
      </c>
      <c r="D262" s="98"/>
      <c r="E262" s="98" t="s">
        <v>5597</v>
      </c>
      <c r="F262" s="98">
        <v>4</v>
      </c>
      <c r="G262" s="98" t="s">
        <v>5703</v>
      </c>
      <c r="H262" s="98">
        <v>301</v>
      </c>
      <c r="I262" s="226" t="s">
        <v>5455</v>
      </c>
      <c r="J262" s="98">
        <v>2</v>
      </c>
      <c r="K262" s="98">
        <v>42</v>
      </c>
      <c r="L262" s="98"/>
      <c r="M262" s="98"/>
      <c r="N262" s="98"/>
      <c r="O262" s="98"/>
      <c r="P262" s="98"/>
      <c r="Q262" s="98"/>
      <c r="R262" s="98"/>
      <c r="S262" s="98" t="s">
        <v>5709</v>
      </c>
      <c r="T262" s="98" t="s">
        <v>5704</v>
      </c>
      <c r="U262" s="229" t="s">
        <v>5711</v>
      </c>
      <c r="W262" s="124">
        <v>7</v>
      </c>
      <c r="X262" s="124" t="s">
        <v>5454</v>
      </c>
      <c r="Z262" s="124">
        <v>1</v>
      </c>
      <c r="AA262" s="124" t="s">
        <v>586</v>
      </c>
    </row>
    <row r="263" spans="1:42" s="124" customFormat="1">
      <c r="A263" s="98">
        <v>58090</v>
      </c>
      <c r="B263" s="98" t="s">
        <v>5594</v>
      </c>
      <c r="C263" s="98">
        <v>5</v>
      </c>
      <c r="D263" s="98"/>
      <c r="E263" s="98" t="s">
        <v>5597</v>
      </c>
      <c r="F263" s="98">
        <v>8</v>
      </c>
      <c r="G263" s="98" t="s">
        <v>5705</v>
      </c>
      <c r="H263" s="98">
        <v>308</v>
      </c>
      <c r="I263" s="226" t="s">
        <v>5455</v>
      </c>
      <c r="J263" s="98">
        <v>2</v>
      </c>
      <c r="K263" s="98">
        <v>82</v>
      </c>
      <c r="L263" s="98"/>
      <c r="M263" s="98"/>
      <c r="N263" s="98"/>
      <c r="O263" s="98"/>
      <c r="P263" s="98"/>
      <c r="Q263" s="98"/>
      <c r="R263" s="98"/>
      <c r="S263" s="98" t="s">
        <v>5710</v>
      </c>
      <c r="T263" s="98" t="s">
        <v>5706</v>
      </c>
      <c r="U263" s="229" t="s">
        <v>5715</v>
      </c>
      <c r="W263" s="124">
        <v>7</v>
      </c>
      <c r="X263" s="124" t="s">
        <v>5453</v>
      </c>
      <c r="Z263" s="124">
        <v>8</v>
      </c>
      <c r="AA263" s="124" t="s">
        <v>6312</v>
      </c>
      <c r="AB263" s="105"/>
      <c r="AD263" s="105"/>
      <c r="AF263" s="105"/>
      <c r="AG263" s="105"/>
      <c r="AH263" s="105"/>
    </row>
    <row r="264" spans="1:42" s="124" customFormat="1">
      <c r="A264" s="98"/>
      <c r="B264" s="98"/>
      <c r="C264" s="98"/>
      <c r="D264" s="98"/>
      <c r="E264" s="98"/>
      <c r="F264" s="98"/>
      <c r="G264" s="98"/>
      <c r="H264" s="98"/>
      <c r="I264" s="226"/>
      <c r="J264" s="98"/>
      <c r="K264" s="98"/>
      <c r="L264" s="98"/>
      <c r="M264" s="98"/>
      <c r="N264" s="98"/>
      <c r="O264" s="98"/>
      <c r="P264" s="98"/>
      <c r="Q264" s="98"/>
      <c r="R264" s="98"/>
      <c r="S264" s="98"/>
      <c r="T264" s="98"/>
      <c r="U264" s="229"/>
      <c r="AB264" s="105"/>
      <c r="AD264" s="105"/>
      <c r="AF264" s="105"/>
      <c r="AG264" s="105"/>
      <c r="AH264" s="105"/>
    </row>
    <row r="265" spans="1:42" s="124" customFormat="1">
      <c r="A265" s="98">
        <v>71160</v>
      </c>
      <c r="B265" s="227" t="s">
        <v>5598</v>
      </c>
      <c r="C265" s="98">
        <v>7</v>
      </c>
      <c r="D265" s="98"/>
      <c r="E265" s="98" t="s">
        <v>5602</v>
      </c>
      <c r="F265" s="98">
        <v>1</v>
      </c>
      <c r="G265" s="98"/>
      <c r="H265" s="98">
        <v>302</v>
      </c>
      <c r="I265" s="206" t="s">
        <v>5456</v>
      </c>
      <c r="J265" s="98">
        <v>1</v>
      </c>
      <c r="K265" s="98">
        <v>19031</v>
      </c>
      <c r="L265" s="98"/>
      <c r="M265" s="98"/>
      <c r="N265" s="98"/>
      <c r="O265" s="98"/>
      <c r="P265" s="98"/>
      <c r="Q265" s="98"/>
      <c r="R265" s="98"/>
      <c r="S265" s="98"/>
      <c r="T265" s="98"/>
      <c r="U265" s="228" t="s">
        <v>5603</v>
      </c>
      <c r="V265" s="124">
        <v>-2</v>
      </c>
      <c r="W265" s="124">
        <v>6</v>
      </c>
      <c r="X265" s="124" t="s">
        <v>5457</v>
      </c>
      <c r="Z265" s="124">
        <v>0</v>
      </c>
      <c r="AA265" s="124" t="s">
        <v>525</v>
      </c>
      <c r="AB265" s="107" t="s">
        <v>5607</v>
      </c>
      <c r="AC265" s="124">
        <v>6</v>
      </c>
      <c r="AD265" s="124" t="s">
        <v>5611</v>
      </c>
      <c r="AE265" s="124" t="s">
        <v>5612</v>
      </c>
      <c r="AF265" s="124" t="s">
        <v>5613</v>
      </c>
      <c r="AG265" s="124" t="s">
        <v>5614</v>
      </c>
      <c r="AH265" s="124" t="s">
        <v>5615</v>
      </c>
    </row>
    <row r="266" spans="1:42" s="124" customFormat="1">
      <c r="A266" s="98">
        <v>72150</v>
      </c>
      <c r="B266" s="227" t="s">
        <v>5599</v>
      </c>
      <c r="C266" s="98">
        <v>7</v>
      </c>
      <c r="D266" s="98"/>
      <c r="E266" s="98" t="s">
        <v>5602</v>
      </c>
      <c r="F266" s="98">
        <v>2</v>
      </c>
      <c r="G266" s="98"/>
      <c r="H266" s="98">
        <v>307</v>
      </c>
      <c r="I266" s="206" t="s">
        <v>5456</v>
      </c>
      <c r="J266" s="98">
        <v>1</v>
      </c>
      <c r="K266" s="98">
        <v>29031</v>
      </c>
      <c r="L266" s="98"/>
      <c r="M266" s="98"/>
      <c r="N266" s="98"/>
      <c r="O266" s="98"/>
      <c r="P266" s="98"/>
      <c r="Q266" s="98"/>
      <c r="R266" s="98"/>
      <c r="S266" s="98"/>
      <c r="T266" s="98"/>
      <c r="U266" s="228" t="s">
        <v>5604</v>
      </c>
      <c r="V266" s="124">
        <v>-2</v>
      </c>
      <c r="W266" s="124">
        <v>6</v>
      </c>
      <c r="X266" s="124" t="s">
        <v>5458</v>
      </c>
      <c r="Z266" s="124">
        <v>0</v>
      </c>
      <c r="AA266" s="124" t="s">
        <v>552</v>
      </c>
      <c r="AB266" s="107" t="s">
        <v>5608</v>
      </c>
      <c r="AC266" s="124">
        <v>6</v>
      </c>
      <c r="AD266" s="124" t="s">
        <v>5616</v>
      </c>
      <c r="AE266" s="124" t="s">
        <v>5617</v>
      </c>
      <c r="AF266" s="124" t="s">
        <v>5618</v>
      </c>
      <c r="AG266" s="124" t="s">
        <v>5619</v>
      </c>
      <c r="AH266" s="124" t="s">
        <v>5620</v>
      </c>
    </row>
    <row r="267" spans="1:42" s="124" customFormat="1">
      <c r="A267" s="98">
        <v>73160</v>
      </c>
      <c r="B267" s="227" t="s">
        <v>5600</v>
      </c>
      <c r="C267" s="98">
        <v>7</v>
      </c>
      <c r="D267" s="98"/>
      <c r="E267" s="98" t="s">
        <v>5602</v>
      </c>
      <c r="F267" s="98">
        <v>3</v>
      </c>
      <c r="G267" s="98"/>
      <c r="H267" s="98">
        <v>303</v>
      </c>
      <c r="I267" s="206" t="s">
        <v>5456</v>
      </c>
      <c r="J267" s="98">
        <v>1</v>
      </c>
      <c r="K267" s="98">
        <v>39031</v>
      </c>
      <c r="L267" s="98"/>
      <c r="M267" s="98"/>
      <c r="N267" s="98"/>
      <c r="O267" s="98"/>
      <c r="P267" s="98"/>
      <c r="Q267" s="98"/>
      <c r="R267" s="98"/>
      <c r="S267" s="98"/>
      <c r="T267" s="98"/>
      <c r="U267" s="228" t="s">
        <v>5605</v>
      </c>
      <c r="V267" s="124">
        <v>-2</v>
      </c>
      <c r="W267" s="124">
        <v>6</v>
      </c>
      <c r="X267" s="124" t="s">
        <v>5459</v>
      </c>
      <c r="Z267" s="124">
        <v>0</v>
      </c>
      <c r="AA267" s="124" t="s">
        <v>574</v>
      </c>
      <c r="AB267" s="107" t="s">
        <v>5609</v>
      </c>
      <c r="AC267" s="124">
        <v>6</v>
      </c>
      <c r="AD267" s="124" t="s">
        <v>5621</v>
      </c>
      <c r="AE267" s="124" t="s">
        <v>5622</v>
      </c>
      <c r="AF267" s="124" t="s">
        <v>5623</v>
      </c>
      <c r="AG267" s="124" t="s">
        <v>5624</v>
      </c>
      <c r="AH267" s="124" t="s">
        <v>5625</v>
      </c>
      <c r="AP267" s="124">
        <v>1</v>
      </c>
    </row>
    <row r="268" spans="1:42" s="124" customFormat="1">
      <c r="A268" s="98">
        <v>74160</v>
      </c>
      <c r="B268" s="227" t="s">
        <v>5601</v>
      </c>
      <c r="C268" s="98">
        <v>7</v>
      </c>
      <c r="D268" s="98"/>
      <c r="E268" s="98" t="s">
        <v>5602</v>
      </c>
      <c r="F268" s="98">
        <v>4</v>
      </c>
      <c r="G268" s="98"/>
      <c r="H268" s="98">
        <v>302</v>
      </c>
      <c r="I268" s="206" t="s">
        <v>5456</v>
      </c>
      <c r="J268" s="98">
        <v>1</v>
      </c>
      <c r="K268" s="98">
        <v>49031</v>
      </c>
      <c r="L268" s="98"/>
      <c r="M268" s="98"/>
      <c r="N268" s="98"/>
      <c r="O268" s="98"/>
      <c r="P268" s="98"/>
      <c r="Q268" s="98"/>
      <c r="R268" s="98"/>
      <c r="S268" s="98"/>
      <c r="T268" s="98"/>
      <c r="U268" s="228" t="s">
        <v>5606</v>
      </c>
      <c r="V268" s="124">
        <v>-2</v>
      </c>
      <c r="W268" s="124">
        <v>6</v>
      </c>
      <c r="X268" s="124" t="s">
        <v>5460</v>
      </c>
      <c r="Z268" s="124">
        <v>0</v>
      </c>
      <c r="AA268" s="124" t="s">
        <v>584</v>
      </c>
      <c r="AB268" s="107" t="s">
        <v>5610</v>
      </c>
      <c r="AC268" s="124">
        <v>6</v>
      </c>
      <c r="AD268" s="124" t="s">
        <v>5626</v>
      </c>
      <c r="AE268" s="124" t="s">
        <v>5627</v>
      </c>
      <c r="AF268" s="124" t="s">
        <v>5628</v>
      </c>
      <c r="AG268" s="124" t="s">
        <v>5629</v>
      </c>
      <c r="AH268" s="124" t="s">
        <v>5630</v>
      </c>
    </row>
    <row r="269" spans="1:42" s="124" customFormat="1">
      <c r="A269" s="124">
        <v>810116</v>
      </c>
      <c r="B269" s="124" t="s">
        <v>5631</v>
      </c>
      <c r="C269" s="124">
        <v>8</v>
      </c>
      <c r="E269" s="124" t="s">
        <v>747</v>
      </c>
      <c r="F269" s="124">
        <v>1</v>
      </c>
      <c r="H269" s="124">
        <v>304</v>
      </c>
      <c r="I269" s="128" t="s">
        <v>748</v>
      </c>
      <c r="R269" s="124" t="s">
        <v>5461</v>
      </c>
      <c r="U269" s="105"/>
      <c r="W269" s="124" t="s">
        <v>5462</v>
      </c>
      <c r="X269" s="124" t="s">
        <v>484</v>
      </c>
      <c r="AA269" s="124" t="s">
        <v>525</v>
      </c>
    </row>
    <row r="270" spans="1:42" s="124" customFormat="1">
      <c r="A270" s="124">
        <v>810216</v>
      </c>
      <c r="B270" s="124" t="s">
        <v>5632</v>
      </c>
      <c r="C270" s="124">
        <v>8</v>
      </c>
      <c r="E270" s="124" t="s">
        <v>747</v>
      </c>
      <c r="F270" s="124">
        <v>1</v>
      </c>
      <c r="H270" s="124">
        <v>307</v>
      </c>
      <c r="I270" s="128" t="s">
        <v>748</v>
      </c>
      <c r="R270" s="124" t="s">
        <v>5463</v>
      </c>
      <c r="U270" s="105"/>
      <c r="W270" s="124" t="s">
        <v>5464</v>
      </c>
      <c r="X270" s="124" t="s">
        <v>484</v>
      </c>
      <c r="AA270" s="124" t="s">
        <v>525</v>
      </c>
    </row>
    <row r="271" spans="1:42" s="124" customFormat="1">
      <c r="A271" s="124">
        <v>810316</v>
      </c>
      <c r="B271" s="124" t="s">
        <v>5633</v>
      </c>
      <c r="C271" s="124">
        <v>8</v>
      </c>
      <c r="E271" s="124" t="s">
        <v>747</v>
      </c>
      <c r="F271" s="124">
        <v>1</v>
      </c>
      <c r="H271" s="124">
        <v>305</v>
      </c>
      <c r="I271" s="128" t="s">
        <v>748</v>
      </c>
      <c r="R271" s="124" t="s">
        <v>5465</v>
      </c>
      <c r="U271" s="105"/>
      <c r="W271" s="124" t="s">
        <v>5466</v>
      </c>
      <c r="X271" s="124" t="s">
        <v>439</v>
      </c>
      <c r="AA271" s="124" t="s">
        <v>525</v>
      </c>
    </row>
    <row r="272" spans="1:42" s="124" customFormat="1">
      <c r="A272" s="124">
        <v>810416</v>
      </c>
      <c r="B272" s="124" t="s">
        <v>5634</v>
      </c>
      <c r="C272" s="124">
        <v>8</v>
      </c>
      <c r="E272" s="124" t="s">
        <v>747</v>
      </c>
      <c r="F272" s="124">
        <v>1</v>
      </c>
      <c r="H272" s="124">
        <v>306</v>
      </c>
      <c r="I272" s="128" t="s">
        <v>748</v>
      </c>
      <c r="R272" s="124" t="s">
        <v>5467</v>
      </c>
      <c r="U272" s="105"/>
      <c r="W272" s="124" t="s">
        <v>5468</v>
      </c>
      <c r="X272" s="124" t="s">
        <v>551</v>
      </c>
      <c r="AA272" s="124" t="s">
        <v>525</v>
      </c>
    </row>
    <row r="273" spans="1:27" s="124" customFormat="1">
      <c r="A273" s="124">
        <v>810516</v>
      </c>
      <c r="B273" s="124" t="s">
        <v>5635</v>
      </c>
      <c r="C273" s="124">
        <v>8</v>
      </c>
      <c r="E273" s="124" t="s">
        <v>747</v>
      </c>
      <c r="F273" s="124">
        <v>1</v>
      </c>
      <c r="H273" s="124">
        <v>307</v>
      </c>
      <c r="I273" s="128" t="s">
        <v>748</v>
      </c>
      <c r="R273" s="124" t="s">
        <v>5469</v>
      </c>
      <c r="U273" s="105"/>
      <c r="W273" s="124" t="s">
        <v>5470</v>
      </c>
      <c r="X273" s="124" t="s">
        <v>551</v>
      </c>
      <c r="AA273" s="124" t="s">
        <v>525</v>
      </c>
    </row>
    <row r="274" spans="1:27" s="124" customFormat="1">
      <c r="A274" s="124">
        <v>810616</v>
      </c>
      <c r="B274" s="124" t="s">
        <v>5636</v>
      </c>
      <c r="C274" s="124">
        <v>8</v>
      </c>
      <c r="E274" s="124" t="s">
        <v>747</v>
      </c>
      <c r="F274" s="124">
        <v>1</v>
      </c>
      <c r="H274" s="124">
        <v>301</v>
      </c>
      <c r="I274" s="128" t="s">
        <v>748</v>
      </c>
      <c r="R274" s="124" t="s">
        <v>5471</v>
      </c>
      <c r="U274" s="105"/>
      <c r="W274" s="124" t="s">
        <v>5472</v>
      </c>
      <c r="X274" s="124" t="s">
        <v>549</v>
      </c>
      <c r="AA274" s="124" t="s">
        <v>525</v>
      </c>
    </row>
    <row r="275" spans="1:27" s="124" customFormat="1">
      <c r="A275" s="124">
        <v>810716</v>
      </c>
      <c r="B275" s="124" t="s">
        <v>5637</v>
      </c>
      <c r="C275" s="124">
        <v>8</v>
      </c>
      <c r="E275" s="124" t="s">
        <v>747</v>
      </c>
      <c r="F275" s="124">
        <v>1</v>
      </c>
      <c r="H275" s="124">
        <v>308</v>
      </c>
      <c r="I275" s="128" t="s">
        <v>748</v>
      </c>
      <c r="R275" s="124" t="s">
        <v>5473</v>
      </c>
      <c r="U275" s="105"/>
      <c r="W275" s="124" t="s">
        <v>5474</v>
      </c>
      <c r="X275" s="124" t="s">
        <v>547</v>
      </c>
      <c r="AA275" s="124" t="s">
        <v>525</v>
      </c>
    </row>
    <row r="276" spans="1:27" s="124" customFormat="1">
      <c r="A276" s="124">
        <v>810816</v>
      </c>
      <c r="B276" s="124" t="s">
        <v>5638</v>
      </c>
      <c r="C276" s="124">
        <v>8</v>
      </c>
      <c r="E276" s="124" t="s">
        <v>747</v>
      </c>
      <c r="F276" s="124">
        <v>1</v>
      </c>
      <c r="H276" s="124">
        <v>303</v>
      </c>
      <c r="I276" s="128" t="s">
        <v>748</v>
      </c>
      <c r="R276" s="124" t="s">
        <v>5475</v>
      </c>
      <c r="U276" s="105"/>
      <c r="W276" s="124" t="s">
        <v>5476</v>
      </c>
      <c r="X276" s="124" t="s">
        <v>549</v>
      </c>
      <c r="AA276" s="124" t="s">
        <v>525</v>
      </c>
    </row>
    <row r="277" spans="1:27" s="124" customFormat="1">
      <c r="A277" s="124">
        <v>810916</v>
      </c>
      <c r="B277" s="124" t="s">
        <v>5639</v>
      </c>
      <c r="C277" s="124">
        <v>8</v>
      </c>
      <c r="E277" s="124" t="s">
        <v>747</v>
      </c>
      <c r="F277" s="124">
        <v>1</v>
      </c>
      <c r="H277" s="124">
        <v>301</v>
      </c>
      <c r="I277" s="128" t="s">
        <v>748</v>
      </c>
      <c r="R277" s="124" t="s">
        <v>5477</v>
      </c>
      <c r="U277" s="105"/>
      <c r="W277" s="124" t="s">
        <v>1717</v>
      </c>
      <c r="X277" s="124" t="s">
        <v>556</v>
      </c>
      <c r="AA277" s="124" t="s">
        <v>525</v>
      </c>
    </row>
    <row r="278" spans="1:27" s="124" customFormat="1">
      <c r="A278" s="124">
        <v>811016</v>
      </c>
      <c r="B278" s="124" t="s">
        <v>5640</v>
      </c>
      <c r="C278" s="124">
        <v>8</v>
      </c>
      <c r="E278" s="124" t="s">
        <v>747</v>
      </c>
      <c r="F278" s="124">
        <v>1</v>
      </c>
      <c r="H278" s="124">
        <v>304</v>
      </c>
      <c r="I278" s="128" t="s">
        <v>748</v>
      </c>
      <c r="R278" s="124" t="s">
        <v>5478</v>
      </c>
      <c r="U278" s="105"/>
      <c r="W278" s="124" t="s">
        <v>5479</v>
      </c>
      <c r="X278" s="124" t="s">
        <v>551</v>
      </c>
      <c r="AA278" s="124" t="s">
        <v>525</v>
      </c>
    </row>
    <row r="279" spans="1:27" s="124" customFormat="1">
      <c r="A279" s="124">
        <v>811116</v>
      </c>
      <c r="B279" s="124" t="s">
        <v>5641</v>
      </c>
      <c r="C279" s="124">
        <v>8</v>
      </c>
      <c r="E279" s="124" t="s">
        <v>747</v>
      </c>
      <c r="F279" s="124">
        <v>1</v>
      </c>
      <c r="H279" s="124">
        <v>302</v>
      </c>
      <c r="I279" s="128" t="s">
        <v>748</v>
      </c>
      <c r="R279" s="124" t="s">
        <v>5480</v>
      </c>
      <c r="U279" s="105"/>
      <c r="W279" s="124" t="s">
        <v>5481</v>
      </c>
      <c r="X279" s="124" t="s">
        <v>439</v>
      </c>
      <c r="AA279" s="124" t="s">
        <v>525</v>
      </c>
    </row>
    <row r="280" spans="1:27" s="124" customFormat="1">
      <c r="A280" s="124">
        <v>811216</v>
      </c>
      <c r="B280" s="124" t="s">
        <v>5642</v>
      </c>
      <c r="C280" s="124">
        <v>8</v>
      </c>
      <c r="E280" s="124" t="s">
        <v>747</v>
      </c>
      <c r="F280" s="124">
        <v>1</v>
      </c>
      <c r="H280" s="124">
        <v>305</v>
      </c>
      <c r="I280" s="128" t="s">
        <v>748</v>
      </c>
      <c r="R280" s="124" t="s">
        <v>5482</v>
      </c>
      <c r="U280" s="105"/>
      <c r="W280" s="124" t="s">
        <v>5483</v>
      </c>
      <c r="X280" s="124" t="s">
        <v>484</v>
      </c>
      <c r="AA280" s="124" t="s">
        <v>525</v>
      </c>
    </row>
    <row r="281" spans="1:27" s="124" customFormat="1">
      <c r="A281" s="124">
        <v>811316</v>
      </c>
      <c r="B281" s="124" t="s">
        <v>5643</v>
      </c>
      <c r="C281" s="124">
        <v>8</v>
      </c>
      <c r="E281" s="124" t="s">
        <v>747</v>
      </c>
      <c r="F281" s="124">
        <v>1</v>
      </c>
      <c r="H281" s="124">
        <v>308</v>
      </c>
      <c r="I281" s="128" t="s">
        <v>748</v>
      </c>
      <c r="R281" s="124" t="s">
        <v>5484</v>
      </c>
      <c r="U281" s="105"/>
      <c r="W281" s="124" t="s">
        <v>5485</v>
      </c>
      <c r="X281" s="124" t="s">
        <v>468</v>
      </c>
      <c r="AA281" s="124" t="s">
        <v>525</v>
      </c>
    </row>
    <row r="282" spans="1:27" s="124" customFormat="1">
      <c r="A282" s="124">
        <v>811416</v>
      </c>
      <c r="B282" s="124" t="s">
        <v>5644</v>
      </c>
      <c r="C282" s="124">
        <v>8</v>
      </c>
      <c r="E282" s="124" t="s">
        <v>747</v>
      </c>
      <c r="F282" s="124">
        <v>1</v>
      </c>
      <c r="H282" s="124">
        <v>306</v>
      </c>
      <c r="I282" s="128" t="s">
        <v>748</v>
      </c>
      <c r="R282" s="124" t="s">
        <v>5486</v>
      </c>
      <c r="U282" s="105"/>
      <c r="W282" s="124" t="s">
        <v>5487</v>
      </c>
      <c r="X282" s="124" t="s">
        <v>468</v>
      </c>
      <c r="AA282" s="124" t="s">
        <v>525</v>
      </c>
    </row>
    <row r="283" spans="1:27" s="124" customFormat="1">
      <c r="A283" s="124">
        <v>811516</v>
      </c>
      <c r="B283" s="124" t="s">
        <v>5645</v>
      </c>
      <c r="C283" s="124">
        <v>8</v>
      </c>
      <c r="E283" s="124" t="s">
        <v>747</v>
      </c>
      <c r="F283" s="124">
        <v>1</v>
      </c>
      <c r="H283" s="124">
        <v>303</v>
      </c>
      <c r="I283" s="128" t="s">
        <v>748</v>
      </c>
      <c r="R283" s="124" t="s">
        <v>5488</v>
      </c>
      <c r="U283" s="105"/>
      <c r="W283" s="124" t="s">
        <v>5489</v>
      </c>
      <c r="X283" s="124" t="s">
        <v>484</v>
      </c>
      <c r="AA283" s="124" t="s">
        <v>525</v>
      </c>
    </row>
    <row r="284" spans="1:27" s="124" customFormat="1">
      <c r="A284" s="124">
        <v>820115</v>
      </c>
      <c r="B284" s="124" t="s">
        <v>5646</v>
      </c>
      <c r="C284" s="124">
        <v>8</v>
      </c>
      <c r="E284" s="124" t="s">
        <v>747</v>
      </c>
      <c r="F284" s="124">
        <v>2</v>
      </c>
      <c r="H284" s="124">
        <v>305</v>
      </c>
      <c r="I284" s="128" t="s">
        <v>748</v>
      </c>
      <c r="R284" s="124" t="s">
        <v>5490</v>
      </c>
      <c r="U284" s="105"/>
      <c r="W284" s="124" t="s">
        <v>5491</v>
      </c>
      <c r="X284" s="124" t="s">
        <v>542</v>
      </c>
      <c r="AA284" s="124" t="s">
        <v>552</v>
      </c>
    </row>
    <row r="285" spans="1:27" s="124" customFormat="1">
      <c r="A285" s="124">
        <v>820215</v>
      </c>
      <c r="B285" s="124" t="s">
        <v>5647</v>
      </c>
      <c r="C285" s="124">
        <v>8</v>
      </c>
      <c r="E285" s="124" t="s">
        <v>747</v>
      </c>
      <c r="F285" s="124">
        <v>2</v>
      </c>
      <c r="H285" s="124">
        <v>303</v>
      </c>
      <c r="I285" s="128" t="s">
        <v>748</v>
      </c>
      <c r="R285" s="124" t="s">
        <v>5492</v>
      </c>
      <c r="U285" s="105"/>
      <c r="W285" s="124" t="s">
        <v>5493</v>
      </c>
      <c r="X285" s="124" t="s">
        <v>542</v>
      </c>
      <c r="AA285" s="124" t="s">
        <v>552</v>
      </c>
    </row>
    <row r="286" spans="1:27" s="124" customFormat="1">
      <c r="A286" s="124">
        <v>820315</v>
      </c>
      <c r="B286" s="124" t="s">
        <v>5648</v>
      </c>
      <c r="C286" s="124">
        <v>8</v>
      </c>
      <c r="E286" s="124" t="s">
        <v>747</v>
      </c>
      <c r="F286" s="124">
        <v>2</v>
      </c>
      <c r="H286" s="124">
        <v>301</v>
      </c>
      <c r="I286" s="128" t="s">
        <v>748</v>
      </c>
      <c r="R286" s="124" t="s">
        <v>5494</v>
      </c>
      <c r="U286" s="105"/>
      <c r="W286" s="124" t="s">
        <v>5495</v>
      </c>
      <c r="X286" s="124" t="s">
        <v>539</v>
      </c>
      <c r="AA286" s="124" t="s">
        <v>552</v>
      </c>
    </row>
    <row r="287" spans="1:27" s="124" customFormat="1">
      <c r="A287" s="124">
        <v>820415</v>
      </c>
      <c r="B287" s="124" t="s">
        <v>5649</v>
      </c>
      <c r="C287" s="124">
        <v>8</v>
      </c>
      <c r="E287" s="124" t="s">
        <v>747</v>
      </c>
      <c r="F287" s="124">
        <v>2</v>
      </c>
      <c r="H287" s="124">
        <v>306</v>
      </c>
      <c r="I287" s="128" t="s">
        <v>748</v>
      </c>
      <c r="R287" s="124" t="s">
        <v>5496</v>
      </c>
      <c r="U287" s="105"/>
      <c r="W287" s="124" t="s">
        <v>5497</v>
      </c>
      <c r="X287" s="124" t="s">
        <v>566</v>
      </c>
      <c r="AA287" s="124" t="s">
        <v>552</v>
      </c>
    </row>
    <row r="288" spans="1:27" s="124" customFormat="1">
      <c r="A288" s="124">
        <v>820515</v>
      </c>
      <c r="B288" s="124" t="s">
        <v>5650</v>
      </c>
      <c r="C288" s="124">
        <v>8</v>
      </c>
      <c r="E288" s="124" t="s">
        <v>747</v>
      </c>
      <c r="F288" s="124">
        <v>2</v>
      </c>
      <c r="H288" s="124">
        <v>303</v>
      </c>
      <c r="I288" s="128" t="s">
        <v>748</v>
      </c>
      <c r="R288" s="124" t="s">
        <v>5498</v>
      </c>
      <c r="U288" s="105"/>
      <c r="W288" s="124" t="s">
        <v>5499</v>
      </c>
      <c r="X288" s="124" t="s">
        <v>570</v>
      </c>
      <c r="AA288" s="124" t="s">
        <v>552</v>
      </c>
    </row>
    <row r="289" spans="1:27" s="124" customFormat="1">
      <c r="A289" s="124">
        <v>820615</v>
      </c>
      <c r="B289" s="124" t="s">
        <v>5651</v>
      </c>
      <c r="C289" s="124">
        <v>8</v>
      </c>
      <c r="E289" s="124" t="s">
        <v>747</v>
      </c>
      <c r="F289" s="124">
        <v>2</v>
      </c>
      <c r="H289" s="124">
        <v>307</v>
      </c>
      <c r="I289" s="128" t="s">
        <v>748</v>
      </c>
      <c r="R289" s="124" t="s">
        <v>5500</v>
      </c>
      <c r="U289" s="105"/>
      <c r="W289" s="124" t="s">
        <v>5501</v>
      </c>
      <c r="X289" s="124" t="s">
        <v>570</v>
      </c>
      <c r="AA289" s="124" t="s">
        <v>552</v>
      </c>
    </row>
    <row r="290" spans="1:27" s="124" customFormat="1">
      <c r="A290" s="124">
        <v>820715</v>
      </c>
      <c r="B290" s="124" t="s">
        <v>5652</v>
      </c>
      <c r="C290" s="124">
        <v>8</v>
      </c>
      <c r="E290" s="124" t="s">
        <v>747</v>
      </c>
      <c r="F290" s="124">
        <v>2</v>
      </c>
      <c r="H290" s="124">
        <v>308</v>
      </c>
      <c r="I290" s="128" t="s">
        <v>748</v>
      </c>
      <c r="R290" s="124" t="s">
        <v>5502</v>
      </c>
      <c r="U290" s="105"/>
      <c r="W290" s="124" t="s">
        <v>5503</v>
      </c>
      <c r="X290" s="124" t="s">
        <v>564</v>
      </c>
      <c r="AA290" s="124" t="s">
        <v>552</v>
      </c>
    </row>
    <row r="291" spans="1:27" s="124" customFormat="1">
      <c r="A291" s="124">
        <v>820815</v>
      </c>
      <c r="B291" s="124" t="s">
        <v>5653</v>
      </c>
      <c r="C291" s="124">
        <v>8</v>
      </c>
      <c r="E291" s="124" t="s">
        <v>747</v>
      </c>
      <c r="F291" s="124">
        <v>2</v>
      </c>
      <c r="H291" s="124">
        <v>304</v>
      </c>
      <c r="I291" s="128" t="s">
        <v>748</v>
      </c>
      <c r="R291" s="124" t="s">
        <v>5504</v>
      </c>
      <c r="U291" s="105"/>
      <c r="W291" s="124" t="s">
        <v>5505</v>
      </c>
      <c r="X291" s="124" t="s">
        <v>564</v>
      </c>
      <c r="AA291" s="124" t="s">
        <v>552</v>
      </c>
    </row>
    <row r="292" spans="1:27" s="124" customFormat="1">
      <c r="A292" s="124">
        <v>820915</v>
      </c>
      <c r="B292" s="124" t="s">
        <v>5654</v>
      </c>
      <c r="C292" s="124">
        <v>8</v>
      </c>
      <c r="E292" s="124" t="s">
        <v>747</v>
      </c>
      <c r="F292" s="124">
        <v>2</v>
      </c>
      <c r="H292" s="124">
        <v>301</v>
      </c>
      <c r="I292" s="128" t="s">
        <v>748</v>
      </c>
      <c r="R292" s="124" t="s">
        <v>5506</v>
      </c>
      <c r="U292" s="105"/>
      <c r="W292" s="124" t="s">
        <v>5507</v>
      </c>
      <c r="X292" s="124" t="s">
        <v>560</v>
      </c>
      <c r="AA292" s="124" t="s">
        <v>552</v>
      </c>
    </row>
    <row r="293" spans="1:27" s="124" customFormat="1">
      <c r="A293" s="124">
        <v>821015</v>
      </c>
      <c r="B293" s="124" t="s">
        <v>5655</v>
      </c>
      <c r="C293" s="124">
        <v>8</v>
      </c>
      <c r="E293" s="124" t="s">
        <v>747</v>
      </c>
      <c r="F293" s="124">
        <v>2</v>
      </c>
      <c r="H293" s="124">
        <v>302</v>
      </c>
      <c r="I293" s="128" t="s">
        <v>748</v>
      </c>
      <c r="R293" s="124" t="s">
        <v>5508</v>
      </c>
      <c r="U293" s="105"/>
      <c r="W293" s="124" t="s">
        <v>5509</v>
      </c>
      <c r="X293" s="124" t="s">
        <v>542</v>
      </c>
      <c r="AA293" s="124" t="s">
        <v>552</v>
      </c>
    </row>
    <row r="294" spans="1:27" s="124" customFormat="1">
      <c r="A294" s="124">
        <v>821115</v>
      </c>
      <c r="B294" s="124" t="s">
        <v>5656</v>
      </c>
      <c r="C294" s="124">
        <v>8</v>
      </c>
      <c r="E294" s="124" t="s">
        <v>747</v>
      </c>
      <c r="F294" s="124">
        <v>2</v>
      </c>
      <c r="H294" s="124">
        <v>302</v>
      </c>
      <c r="I294" s="128" t="s">
        <v>748</v>
      </c>
      <c r="R294" s="124" t="s">
        <v>5510</v>
      </c>
      <c r="U294" s="105"/>
      <c r="W294" s="124" t="s">
        <v>5511</v>
      </c>
      <c r="X294" s="124" t="s">
        <v>539</v>
      </c>
      <c r="AA294" s="124" t="s">
        <v>552</v>
      </c>
    </row>
    <row r="295" spans="1:27" s="124" customFormat="1">
      <c r="A295" s="124">
        <v>821215</v>
      </c>
      <c r="B295" s="124" t="s">
        <v>5657</v>
      </c>
      <c r="C295" s="124">
        <v>8</v>
      </c>
      <c r="E295" s="124" t="s">
        <v>747</v>
      </c>
      <c r="F295" s="124">
        <v>2</v>
      </c>
      <c r="H295" s="124">
        <v>304</v>
      </c>
      <c r="I295" s="128" t="s">
        <v>748</v>
      </c>
      <c r="R295" s="124" t="s">
        <v>5512</v>
      </c>
      <c r="U295" s="105"/>
      <c r="W295" s="124" t="s">
        <v>5513</v>
      </c>
      <c r="X295" s="124" t="s">
        <v>570</v>
      </c>
      <c r="AA295" s="124" t="s">
        <v>552</v>
      </c>
    </row>
    <row r="296" spans="1:27" s="124" customFormat="1">
      <c r="A296" s="124">
        <v>821315</v>
      </c>
      <c r="B296" s="124" t="s">
        <v>5658</v>
      </c>
      <c r="C296" s="124">
        <v>8</v>
      </c>
      <c r="E296" s="124" t="s">
        <v>747</v>
      </c>
      <c r="F296" s="124">
        <v>2</v>
      </c>
      <c r="H296" s="124">
        <v>305</v>
      </c>
      <c r="I296" s="128" t="s">
        <v>748</v>
      </c>
      <c r="R296" s="124" t="s">
        <v>5514</v>
      </c>
      <c r="U296" s="105"/>
      <c r="W296" s="124" t="s">
        <v>5515</v>
      </c>
      <c r="X296" s="124" t="s">
        <v>542</v>
      </c>
      <c r="AA296" s="124" t="s">
        <v>552</v>
      </c>
    </row>
    <row r="297" spans="1:27" s="124" customFormat="1">
      <c r="A297" s="124">
        <v>821415</v>
      </c>
      <c r="B297" s="124" t="s">
        <v>5659</v>
      </c>
      <c r="C297" s="124">
        <v>8</v>
      </c>
      <c r="E297" s="124" t="s">
        <v>747</v>
      </c>
      <c r="F297" s="124">
        <v>2</v>
      </c>
      <c r="H297" s="124">
        <v>306</v>
      </c>
      <c r="I297" s="128" t="s">
        <v>748</v>
      </c>
      <c r="R297" s="124" t="s">
        <v>5516</v>
      </c>
      <c r="U297" s="105"/>
      <c r="W297" s="124" t="s">
        <v>5517</v>
      </c>
      <c r="X297" s="124" t="s">
        <v>545</v>
      </c>
      <c r="AA297" s="124" t="s">
        <v>552</v>
      </c>
    </row>
    <row r="298" spans="1:27" s="124" customFormat="1">
      <c r="A298" s="124">
        <v>830116</v>
      </c>
      <c r="B298" s="124" t="s">
        <v>5660</v>
      </c>
      <c r="C298" s="124">
        <v>8</v>
      </c>
      <c r="E298" s="124" t="s">
        <v>747</v>
      </c>
      <c r="F298" s="124">
        <v>3</v>
      </c>
      <c r="H298" s="124">
        <v>304</v>
      </c>
      <c r="I298" s="128" t="s">
        <v>748</v>
      </c>
      <c r="R298" s="124" t="s">
        <v>5518</v>
      </c>
      <c r="U298" s="105"/>
      <c r="W298" s="124" t="s">
        <v>1657</v>
      </c>
      <c r="X298" s="124" t="s">
        <v>562</v>
      </c>
      <c r="AA298" s="124" t="s">
        <v>574</v>
      </c>
    </row>
    <row r="299" spans="1:27" s="124" customFormat="1">
      <c r="A299" s="124">
        <v>830216</v>
      </c>
      <c r="B299" s="124" t="s">
        <v>5661</v>
      </c>
      <c r="C299" s="124">
        <v>8</v>
      </c>
      <c r="E299" s="124" t="s">
        <v>747</v>
      </c>
      <c r="F299" s="124">
        <v>3</v>
      </c>
      <c r="H299" s="124">
        <v>302</v>
      </c>
      <c r="I299" s="128" t="s">
        <v>748</v>
      </c>
      <c r="R299" s="124" t="s">
        <v>5519</v>
      </c>
      <c r="U299" s="105"/>
      <c r="W299" s="124" t="s">
        <v>5520</v>
      </c>
      <c r="X299" s="124" t="s">
        <v>562</v>
      </c>
      <c r="AA299" s="124" t="s">
        <v>574</v>
      </c>
    </row>
    <row r="300" spans="1:27" s="124" customFormat="1">
      <c r="A300" s="124">
        <v>830316</v>
      </c>
      <c r="B300" s="124" t="s">
        <v>5662</v>
      </c>
      <c r="C300" s="124">
        <v>8</v>
      </c>
      <c r="E300" s="124" t="s">
        <v>747</v>
      </c>
      <c r="F300" s="124">
        <v>3</v>
      </c>
      <c r="H300" s="124">
        <v>306</v>
      </c>
      <c r="I300" s="128" t="s">
        <v>748</v>
      </c>
      <c r="R300" s="124" t="s">
        <v>5521</v>
      </c>
      <c r="U300" s="105"/>
      <c r="W300" s="124" t="s">
        <v>5522</v>
      </c>
      <c r="X300" s="124" t="s">
        <v>564</v>
      </c>
      <c r="AA300" s="124" t="s">
        <v>574</v>
      </c>
    </row>
    <row r="301" spans="1:27" s="124" customFormat="1">
      <c r="A301" s="124">
        <v>830416</v>
      </c>
      <c r="B301" s="124" t="s">
        <v>5663</v>
      </c>
      <c r="C301" s="124">
        <v>8</v>
      </c>
      <c r="E301" s="124" t="s">
        <v>747</v>
      </c>
      <c r="F301" s="124">
        <v>3</v>
      </c>
      <c r="H301" s="124">
        <v>303</v>
      </c>
      <c r="I301" s="128" t="s">
        <v>748</v>
      </c>
      <c r="R301" s="124" t="s">
        <v>5523</v>
      </c>
      <c r="U301" s="105"/>
      <c r="W301" s="124" t="s">
        <v>5524</v>
      </c>
      <c r="X301" s="124" t="s">
        <v>452</v>
      </c>
      <c r="AA301" s="124" t="s">
        <v>574</v>
      </c>
    </row>
    <row r="302" spans="1:27" s="124" customFormat="1">
      <c r="A302" s="124">
        <v>830516</v>
      </c>
      <c r="B302" s="124" t="s">
        <v>5664</v>
      </c>
      <c r="C302" s="124">
        <v>8</v>
      </c>
      <c r="E302" s="124" t="s">
        <v>747</v>
      </c>
      <c r="F302" s="124">
        <v>3</v>
      </c>
      <c r="H302" s="124">
        <v>307</v>
      </c>
      <c r="I302" s="128" t="s">
        <v>748</v>
      </c>
      <c r="R302" s="124" t="s">
        <v>5525</v>
      </c>
      <c r="U302" s="105"/>
      <c r="W302" s="124" t="s">
        <v>5526</v>
      </c>
      <c r="X302" s="124" t="s">
        <v>452</v>
      </c>
      <c r="AA302" s="124" t="s">
        <v>574</v>
      </c>
    </row>
    <row r="303" spans="1:27" s="124" customFormat="1">
      <c r="A303" s="124">
        <v>830616</v>
      </c>
      <c r="B303" s="124" t="s">
        <v>5665</v>
      </c>
      <c r="C303" s="124">
        <v>8</v>
      </c>
      <c r="E303" s="124" t="s">
        <v>747</v>
      </c>
      <c r="F303" s="124">
        <v>3</v>
      </c>
      <c r="H303" s="124">
        <v>301</v>
      </c>
      <c r="I303" s="128" t="s">
        <v>748</v>
      </c>
      <c r="R303" s="124" t="s">
        <v>5527</v>
      </c>
      <c r="U303" s="105"/>
      <c r="W303" s="124" t="s">
        <v>5528</v>
      </c>
      <c r="X303" s="124" t="s">
        <v>512</v>
      </c>
      <c r="AA303" s="124" t="s">
        <v>574</v>
      </c>
    </row>
    <row r="304" spans="1:27" s="124" customFormat="1">
      <c r="A304" s="124">
        <v>830716</v>
      </c>
      <c r="B304" s="124" t="s">
        <v>5666</v>
      </c>
      <c r="C304" s="124">
        <v>8</v>
      </c>
      <c r="E304" s="124" t="s">
        <v>747</v>
      </c>
      <c r="F304" s="124">
        <v>3</v>
      </c>
      <c r="H304" s="124">
        <v>302</v>
      </c>
      <c r="I304" s="128" t="s">
        <v>748</v>
      </c>
      <c r="R304" s="124" t="s">
        <v>5529</v>
      </c>
      <c r="U304" s="105"/>
      <c r="W304" s="124" t="s">
        <v>5530</v>
      </c>
      <c r="X304" s="124" t="s">
        <v>562</v>
      </c>
      <c r="AA304" s="124" t="s">
        <v>574</v>
      </c>
    </row>
    <row r="305" spans="1:27" s="124" customFormat="1">
      <c r="A305" s="124">
        <v>830816</v>
      </c>
      <c r="B305" s="124" t="s">
        <v>5667</v>
      </c>
      <c r="C305" s="124">
        <v>8</v>
      </c>
      <c r="E305" s="124" t="s">
        <v>747</v>
      </c>
      <c r="F305" s="124">
        <v>3</v>
      </c>
      <c r="H305" s="124">
        <v>305</v>
      </c>
      <c r="I305" s="128" t="s">
        <v>748</v>
      </c>
      <c r="R305" s="124" t="s">
        <v>5531</v>
      </c>
      <c r="U305" s="105"/>
      <c r="W305" s="124" t="s">
        <v>5532</v>
      </c>
      <c r="X305" s="124" t="s">
        <v>512</v>
      </c>
      <c r="AA305" s="124" t="s">
        <v>574</v>
      </c>
    </row>
    <row r="306" spans="1:27" s="124" customFormat="1">
      <c r="A306" s="124">
        <v>830916</v>
      </c>
      <c r="B306" s="124" t="s">
        <v>5668</v>
      </c>
      <c r="C306" s="124">
        <v>8</v>
      </c>
      <c r="E306" s="124" t="s">
        <v>747</v>
      </c>
      <c r="F306" s="124">
        <v>3</v>
      </c>
      <c r="H306" s="124">
        <v>301</v>
      </c>
      <c r="I306" s="128" t="s">
        <v>748</v>
      </c>
      <c r="R306" s="124" t="s">
        <v>5533</v>
      </c>
      <c r="U306" s="105"/>
      <c r="W306" s="124" t="s">
        <v>5462</v>
      </c>
      <c r="X306" s="124" t="s">
        <v>484</v>
      </c>
      <c r="AA306" s="124" t="s">
        <v>574</v>
      </c>
    </row>
    <row r="307" spans="1:27" s="124" customFormat="1">
      <c r="A307" s="124">
        <v>831016</v>
      </c>
      <c r="B307" s="124" t="s">
        <v>5669</v>
      </c>
      <c r="C307" s="124">
        <v>8</v>
      </c>
      <c r="E307" s="124" t="s">
        <v>747</v>
      </c>
      <c r="F307" s="124">
        <v>3</v>
      </c>
      <c r="H307" s="124">
        <v>304</v>
      </c>
      <c r="I307" s="128" t="s">
        <v>748</v>
      </c>
      <c r="R307" s="124" t="s">
        <v>5534</v>
      </c>
      <c r="U307" s="105"/>
      <c r="W307" s="124" t="s">
        <v>5535</v>
      </c>
      <c r="X307" s="124" t="s">
        <v>560</v>
      </c>
      <c r="AA307" s="124" t="s">
        <v>574</v>
      </c>
    </row>
    <row r="308" spans="1:27" s="124" customFormat="1">
      <c r="A308" s="124">
        <v>831116</v>
      </c>
      <c r="B308" s="124" t="s">
        <v>5670</v>
      </c>
      <c r="C308" s="124">
        <v>8</v>
      </c>
      <c r="E308" s="124" t="s">
        <v>747</v>
      </c>
      <c r="F308" s="124">
        <v>3</v>
      </c>
      <c r="H308" s="124">
        <v>305</v>
      </c>
      <c r="I308" s="128" t="s">
        <v>748</v>
      </c>
      <c r="R308" s="124" t="s">
        <v>5536</v>
      </c>
      <c r="U308" s="105"/>
      <c r="W308" s="124" t="s">
        <v>5537</v>
      </c>
      <c r="X308" s="124" t="s">
        <v>499</v>
      </c>
      <c r="AA308" s="124" t="s">
        <v>574</v>
      </c>
    </row>
    <row r="309" spans="1:27" s="124" customFormat="1">
      <c r="A309" s="124">
        <v>831216</v>
      </c>
      <c r="B309" s="124" t="s">
        <v>5671</v>
      </c>
      <c r="C309" s="124">
        <v>8</v>
      </c>
      <c r="E309" s="124" t="s">
        <v>747</v>
      </c>
      <c r="F309" s="124">
        <v>3</v>
      </c>
      <c r="H309" s="124">
        <v>304</v>
      </c>
      <c r="I309" s="128" t="s">
        <v>748</v>
      </c>
      <c r="R309" s="124" t="s">
        <v>5538</v>
      </c>
      <c r="U309" s="105"/>
      <c r="W309" s="124" t="s">
        <v>3366</v>
      </c>
      <c r="X309" s="124" t="s">
        <v>452</v>
      </c>
      <c r="AA309" s="124" t="s">
        <v>574</v>
      </c>
    </row>
    <row r="310" spans="1:27" s="124" customFormat="1">
      <c r="A310" s="124">
        <v>831316</v>
      </c>
      <c r="B310" s="124" t="s">
        <v>5672</v>
      </c>
      <c r="C310" s="124">
        <v>8</v>
      </c>
      <c r="E310" s="124" t="s">
        <v>747</v>
      </c>
      <c r="F310" s="124">
        <v>3</v>
      </c>
      <c r="H310" s="124">
        <v>308</v>
      </c>
      <c r="I310" s="128" t="s">
        <v>748</v>
      </c>
      <c r="R310" s="124" t="s">
        <v>5539</v>
      </c>
      <c r="U310" s="105"/>
      <c r="W310" s="124" t="s">
        <v>5540</v>
      </c>
      <c r="X310" s="124" t="s">
        <v>564</v>
      </c>
      <c r="AA310" s="124" t="s">
        <v>574</v>
      </c>
    </row>
    <row r="311" spans="1:27" s="124" customFormat="1">
      <c r="A311" s="124">
        <v>831416</v>
      </c>
      <c r="B311" s="124" t="s">
        <v>5673</v>
      </c>
      <c r="C311" s="124">
        <v>8</v>
      </c>
      <c r="E311" s="124" t="s">
        <v>747</v>
      </c>
      <c r="F311" s="124">
        <v>3</v>
      </c>
      <c r="H311" s="124">
        <v>307</v>
      </c>
      <c r="I311" s="128" t="s">
        <v>748</v>
      </c>
      <c r="R311" s="124" t="s">
        <v>5541</v>
      </c>
      <c r="U311" s="105"/>
      <c r="W311" s="124" t="s">
        <v>5542</v>
      </c>
      <c r="X311" s="124" t="s">
        <v>560</v>
      </c>
      <c r="AA311" s="124" t="s">
        <v>574</v>
      </c>
    </row>
    <row r="312" spans="1:27" s="124" customFormat="1">
      <c r="A312" s="124">
        <v>831516</v>
      </c>
      <c r="B312" s="124" t="s">
        <v>5674</v>
      </c>
      <c r="C312" s="124">
        <v>8</v>
      </c>
      <c r="E312" s="124" t="s">
        <v>747</v>
      </c>
      <c r="F312" s="124">
        <v>3</v>
      </c>
      <c r="H312" s="124">
        <v>308</v>
      </c>
      <c r="I312" s="128" t="s">
        <v>748</v>
      </c>
      <c r="R312" s="124" t="s">
        <v>5543</v>
      </c>
      <c r="U312" s="105"/>
      <c r="W312" s="124" t="s">
        <v>5544</v>
      </c>
      <c r="X312" s="124" t="s">
        <v>562</v>
      </c>
      <c r="AA312" s="124" t="s">
        <v>574</v>
      </c>
    </row>
    <row r="313" spans="1:27" s="124" customFormat="1">
      <c r="A313" s="124">
        <v>840116</v>
      </c>
      <c r="B313" s="124" t="s">
        <v>5675</v>
      </c>
      <c r="C313" s="124">
        <v>8</v>
      </c>
      <c r="E313" s="124" t="s">
        <v>747</v>
      </c>
      <c r="F313" s="124">
        <v>4</v>
      </c>
      <c r="H313" s="124">
        <v>303</v>
      </c>
      <c r="I313" s="128" t="s">
        <v>748</v>
      </c>
      <c r="R313" s="124" t="s">
        <v>5545</v>
      </c>
      <c r="U313" s="105"/>
      <c r="W313" s="124" t="s">
        <v>5546</v>
      </c>
      <c r="X313" s="124" t="s">
        <v>549</v>
      </c>
      <c r="AA313" s="124" t="s">
        <v>584</v>
      </c>
    </row>
    <row r="314" spans="1:27" s="124" customFormat="1">
      <c r="A314" s="124">
        <v>840216</v>
      </c>
      <c r="B314" s="124" t="s">
        <v>5676</v>
      </c>
      <c r="C314" s="124">
        <v>8</v>
      </c>
      <c r="E314" s="124" t="s">
        <v>747</v>
      </c>
      <c r="F314" s="124">
        <v>4</v>
      </c>
      <c r="H314" s="124">
        <v>302</v>
      </c>
      <c r="I314" s="128" t="s">
        <v>748</v>
      </c>
      <c r="R314" s="124" t="s">
        <v>5547</v>
      </c>
      <c r="U314" s="105"/>
      <c r="W314" s="124" t="s">
        <v>5548</v>
      </c>
      <c r="X314" s="124" t="s">
        <v>547</v>
      </c>
      <c r="AA314" s="124" t="s">
        <v>584</v>
      </c>
    </row>
    <row r="315" spans="1:27" s="124" customFormat="1">
      <c r="A315" s="124">
        <v>840316</v>
      </c>
      <c r="B315" s="124" t="s">
        <v>5677</v>
      </c>
      <c r="C315" s="124">
        <v>8</v>
      </c>
      <c r="E315" s="124" t="s">
        <v>747</v>
      </c>
      <c r="F315" s="124">
        <v>4</v>
      </c>
      <c r="H315" s="124">
        <v>305</v>
      </c>
      <c r="I315" s="128" t="s">
        <v>748</v>
      </c>
      <c r="R315" s="124" t="s">
        <v>5549</v>
      </c>
      <c r="U315" s="105"/>
      <c r="W315" s="124" t="s">
        <v>5550</v>
      </c>
      <c r="X315" s="124" t="s">
        <v>547</v>
      </c>
      <c r="AA315" s="124" t="s">
        <v>584</v>
      </c>
    </row>
    <row r="316" spans="1:27" s="124" customFormat="1">
      <c r="A316" s="124">
        <v>840416</v>
      </c>
      <c r="B316" s="124" t="s">
        <v>5678</v>
      </c>
      <c r="C316" s="124">
        <v>8</v>
      </c>
      <c r="E316" s="124" t="s">
        <v>747</v>
      </c>
      <c r="F316" s="124">
        <v>4</v>
      </c>
      <c r="H316" s="124">
        <v>307</v>
      </c>
      <c r="I316" s="128" t="s">
        <v>748</v>
      </c>
      <c r="R316" s="124" t="s">
        <v>5551</v>
      </c>
      <c r="U316" s="105"/>
      <c r="W316" s="124" t="s">
        <v>5552</v>
      </c>
      <c r="X316" s="124" t="s">
        <v>556</v>
      </c>
      <c r="AA316" s="124" t="s">
        <v>584</v>
      </c>
    </row>
    <row r="317" spans="1:27" s="124" customFormat="1">
      <c r="A317" s="124">
        <v>840516</v>
      </c>
      <c r="B317" s="124" t="s">
        <v>5679</v>
      </c>
      <c r="C317" s="124">
        <v>8</v>
      </c>
      <c r="E317" s="124" t="s">
        <v>747</v>
      </c>
      <c r="F317" s="124">
        <v>4</v>
      </c>
      <c r="H317" s="124">
        <v>307</v>
      </c>
      <c r="I317" s="128" t="s">
        <v>748</v>
      </c>
      <c r="R317" s="124" t="s">
        <v>5553</v>
      </c>
      <c r="U317" s="105"/>
      <c r="W317" s="124" t="s">
        <v>5554</v>
      </c>
      <c r="X317" s="124" t="s">
        <v>512</v>
      </c>
      <c r="AA317" s="124" t="s">
        <v>584</v>
      </c>
    </row>
    <row r="318" spans="1:27" s="124" customFormat="1">
      <c r="A318" s="124">
        <v>840616</v>
      </c>
      <c r="B318" s="124" t="s">
        <v>5680</v>
      </c>
      <c r="C318" s="124">
        <v>8</v>
      </c>
      <c r="E318" s="124" t="s">
        <v>747</v>
      </c>
      <c r="F318" s="124">
        <v>4</v>
      </c>
      <c r="H318" s="124">
        <v>306</v>
      </c>
      <c r="I318" s="128" t="s">
        <v>748</v>
      </c>
      <c r="R318" s="124" t="s">
        <v>5555</v>
      </c>
      <c r="U318" s="105"/>
      <c r="W318" s="124" t="s">
        <v>5556</v>
      </c>
      <c r="X318" s="124" t="s">
        <v>512</v>
      </c>
      <c r="AA318" s="124" t="s">
        <v>584</v>
      </c>
    </row>
    <row r="319" spans="1:27" s="124" customFormat="1">
      <c r="A319" s="124">
        <v>840716</v>
      </c>
      <c r="B319" s="124" t="s">
        <v>5681</v>
      </c>
      <c r="C319" s="124">
        <v>8</v>
      </c>
      <c r="E319" s="124" t="s">
        <v>747</v>
      </c>
      <c r="F319" s="124">
        <v>4</v>
      </c>
      <c r="H319" s="124">
        <v>304</v>
      </c>
      <c r="I319" s="128" t="s">
        <v>748</v>
      </c>
      <c r="R319" s="124" t="s">
        <v>5557</v>
      </c>
      <c r="U319" s="105"/>
      <c r="W319" s="124" t="s">
        <v>5558</v>
      </c>
      <c r="X319" s="124" t="s">
        <v>468</v>
      </c>
      <c r="AA319" s="124" t="s">
        <v>584</v>
      </c>
    </row>
    <row r="320" spans="1:27" s="124" customFormat="1">
      <c r="A320" s="124">
        <v>840816</v>
      </c>
      <c r="B320" s="124" t="s">
        <v>5682</v>
      </c>
      <c r="C320" s="124">
        <v>8</v>
      </c>
      <c r="E320" s="124" t="s">
        <v>747</v>
      </c>
      <c r="F320" s="124">
        <v>4</v>
      </c>
      <c r="H320" s="124">
        <v>301</v>
      </c>
      <c r="I320" s="128" t="s">
        <v>748</v>
      </c>
      <c r="R320" s="124" t="s">
        <v>5559</v>
      </c>
      <c r="U320" s="105"/>
      <c r="W320" s="124" t="s">
        <v>5560</v>
      </c>
      <c r="X320" s="124" t="s">
        <v>468</v>
      </c>
      <c r="AA320" s="124" t="s">
        <v>584</v>
      </c>
    </row>
    <row r="321" spans="1:34" s="124" customFormat="1">
      <c r="A321" s="124">
        <v>840916</v>
      </c>
      <c r="B321" s="124" t="s">
        <v>5683</v>
      </c>
      <c r="C321" s="124">
        <v>8</v>
      </c>
      <c r="E321" s="124" t="s">
        <v>747</v>
      </c>
      <c r="F321" s="124">
        <v>4</v>
      </c>
      <c r="H321" s="124">
        <v>305</v>
      </c>
      <c r="I321" s="128" t="s">
        <v>748</v>
      </c>
      <c r="R321" s="124" t="s">
        <v>5561</v>
      </c>
      <c r="U321" s="105"/>
      <c r="W321" s="124" t="s">
        <v>5562</v>
      </c>
      <c r="X321" s="124" t="s">
        <v>484</v>
      </c>
      <c r="AA321" s="124" t="s">
        <v>584</v>
      </c>
    </row>
    <row r="322" spans="1:34" s="124" customFormat="1">
      <c r="A322" s="124">
        <v>841016</v>
      </c>
      <c r="B322" s="124" t="s">
        <v>5684</v>
      </c>
      <c r="C322" s="124">
        <v>8</v>
      </c>
      <c r="E322" s="124" t="s">
        <v>747</v>
      </c>
      <c r="F322" s="124">
        <v>4</v>
      </c>
      <c r="H322" s="124">
        <v>301</v>
      </c>
      <c r="I322" s="128" t="s">
        <v>748</v>
      </c>
      <c r="R322" s="124" t="s">
        <v>5563</v>
      </c>
      <c r="U322" s="105"/>
      <c r="W322" s="124" t="s">
        <v>5564</v>
      </c>
      <c r="X322" s="124" t="s">
        <v>439</v>
      </c>
      <c r="AA322" s="124" t="s">
        <v>584</v>
      </c>
    </row>
    <row r="323" spans="1:34" s="124" customFormat="1">
      <c r="A323" s="124">
        <v>841116</v>
      </c>
      <c r="B323" s="124" t="s">
        <v>5685</v>
      </c>
      <c r="C323" s="124">
        <v>8</v>
      </c>
      <c r="E323" s="124" t="s">
        <v>747</v>
      </c>
      <c r="F323" s="124">
        <v>4</v>
      </c>
      <c r="H323" s="124">
        <v>308</v>
      </c>
      <c r="I323" s="128" t="s">
        <v>748</v>
      </c>
      <c r="R323" s="124" t="s">
        <v>5565</v>
      </c>
      <c r="U323" s="105"/>
      <c r="W323" s="124" t="s">
        <v>5566</v>
      </c>
      <c r="X323" s="124" t="s">
        <v>556</v>
      </c>
      <c r="AA323" s="124" t="s">
        <v>584</v>
      </c>
    </row>
    <row r="324" spans="1:34" s="124" customFormat="1">
      <c r="A324" s="124">
        <v>841216</v>
      </c>
      <c r="B324" s="124" t="s">
        <v>5686</v>
      </c>
      <c r="C324" s="124">
        <v>8</v>
      </c>
      <c r="E324" s="124" t="s">
        <v>747</v>
      </c>
      <c r="F324" s="124">
        <v>4</v>
      </c>
      <c r="H324" s="124">
        <v>304</v>
      </c>
      <c r="I324" s="128" t="s">
        <v>748</v>
      </c>
      <c r="R324" s="124" t="s">
        <v>5567</v>
      </c>
      <c r="U324" s="105"/>
      <c r="W324" s="124" t="s">
        <v>5568</v>
      </c>
      <c r="X324" s="124" t="s">
        <v>512</v>
      </c>
      <c r="AA324" s="124" t="s">
        <v>584</v>
      </c>
    </row>
    <row r="325" spans="1:34" s="124" customFormat="1">
      <c r="A325" s="124">
        <v>841316</v>
      </c>
      <c r="B325" s="124" t="s">
        <v>5687</v>
      </c>
      <c r="C325" s="124">
        <v>8</v>
      </c>
      <c r="E325" s="124" t="s">
        <v>747</v>
      </c>
      <c r="F325" s="124">
        <v>4</v>
      </c>
      <c r="H325" s="124">
        <v>308</v>
      </c>
      <c r="I325" s="128" t="s">
        <v>748</v>
      </c>
      <c r="R325" s="124" t="s">
        <v>5569</v>
      </c>
      <c r="U325" s="105"/>
      <c r="W325" s="124" t="s">
        <v>5570</v>
      </c>
      <c r="X325" s="124" t="s">
        <v>547</v>
      </c>
      <c r="AA325" s="124" t="s">
        <v>584</v>
      </c>
    </row>
    <row r="326" spans="1:34" s="124" customFormat="1">
      <c r="A326" s="124">
        <v>841416</v>
      </c>
      <c r="B326" s="124" t="s">
        <v>5688</v>
      </c>
      <c r="C326" s="124">
        <v>8</v>
      </c>
      <c r="E326" s="124" t="s">
        <v>747</v>
      </c>
      <c r="F326" s="124">
        <v>4</v>
      </c>
      <c r="H326" s="124">
        <v>303</v>
      </c>
      <c r="I326" s="128" t="s">
        <v>748</v>
      </c>
      <c r="R326" s="124" t="s">
        <v>5571</v>
      </c>
      <c r="U326" s="105"/>
      <c r="W326" s="124" t="s">
        <v>5572</v>
      </c>
      <c r="X326" s="124" t="s">
        <v>547</v>
      </c>
      <c r="AA326" s="124" t="s">
        <v>584</v>
      </c>
    </row>
    <row r="327" spans="1:34" s="124" customFormat="1">
      <c r="A327" s="124">
        <v>841516</v>
      </c>
      <c r="B327" s="124" t="s">
        <v>5689</v>
      </c>
      <c r="C327" s="124">
        <v>8</v>
      </c>
      <c r="E327" s="124" t="s">
        <v>747</v>
      </c>
      <c r="F327" s="124">
        <v>4</v>
      </c>
      <c r="H327" s="124">
        <v>306</v>
      </c>
      <c r="I327" s="128" t="s">
        <v>748</v>
      </c>
      <c r="R327" s="124" t="s">
        <v>5573</v>
      </c>
      <c r="U327" s="105"/>
      <c r="W327" s="124" t="s">
        <v>5574</v>
      </c>
      <c r="X327" s="124" t="s">
        <v>549</v>
      </c>
      <c r="AA327" s="124" t="s">
        <v>584</v>
      </c>
    </row>
    <row r="328" spans="1:34" s="124" customFormat="1">
      <c r="I328" s="128"/>
      <c r="U328" s="105"/>
    </row>
    <row r="329" spans="1:34" s="124" customFormat="1">
      <c r="A329" s="124">
        <v>32770</v>
      </c>
      <c r="B329" s="124" t="s">
        <v>5575</v>
      </c>
      <c r="C329" s="124">
        <v>3</v>
      </c>
      <c r="E329" s="124" t="s">
        <v>5448</v>
      </c>
      <c r="F329" s="124">
        <v>2</v>
      </c>
      <c r="G329" s="124" t="s">
        <v>5591</v>
      </c>
      <c r="H329" s="124">
        <v>306</v>
      </c>
      <c r="I329" s="128" t="s">
        <v>5449</v>
      </c>
      <c r="J329" s="124">
        <v>0</v>
      </c>
      <c r="T329" s="124" t="s">
        <v>5592</v>
      </c>
      <c r="U329" s="124" t="s">
        <v>5576</v>
      </c>
      <c r="W329" s="124">
        <v>3</v>
      </c>
      <c r="X329" s="124" t="s">
        <v>3574</v>
      </c>
      <c r="Z329" s="124">
        <v>9</v>
      </c>
      <c r="AA329" s="124" t="s">
        <v>546</v>
      </c>
    </row>
    <row r="330" spans="1:34" s="124" customFormat="1" ht="15.75" customHeight="1">
      <c r="A330" s="124">
        <v>31770</v>
      </c>
      <c r="B330" s="124" t="s">
        <v>5577</v>
      </c>
      <c r="C330" s="124">
        <v>3</v>
      </c>
      <c r="E330" s="124" t="s">
        <v>5582</v>
      </c>
      <c r="F330" s="124">
        <v>1</v>
      </c>
      <c r="H330" s="124">
        <v>303</v>
      </c>
      <c r="I330" s="128" t="s">
        <v>5583</v>
      </c>
      <c r="J330" s="124">
        <v>0</v>
      </c>
      <c r="U330" s="124" t="s">
        <v>5584</v>
      </c>
      <c r="W330" s="124">
        <v>5</v>
      </c>
      <c r="X330" s="124" t="s">
        <v>5585</v>
      </c>
      <c r="Z330" s="124">
        <v>6</v>
      </c>
      <c r="AA330" s="124" t="s">
        <v>443</v>
      </c>
    </row>
    <row r="331" spans="1:34" s="124" customFormat="1">
      <c r="A331" s="124">
        <v>32780</v>
      </c>
      <c r="B331" s="124" t="s">
        <v>5578</v>
      </c>
      <c r="C331" s="124">
        <v>3</v>
      </c>
      <c r="E331" s="124" t="s">
        <v>5582</v>
      </c>
      <c r="F331" s="124">
        <v>2</v>
      </c>
      <c r="H331" s="124">
        <v>303</v>
      </c>
      <c r="I331" s="128" t="s">
        <v>5583</v>
      </c>
      <c r="J331" s="124">
        <v>0</v>
      </c>
      <c r="U331" s="124" t="s">
        <v>5584</v>
      </c>
      <c r="W331" s="124">
        <v>5</v>
      </c>
      <c r="X331" s="124" t="s">
        <v>5586</v>
      </c>
      <c r="Z331" s="124">
        <v>4</v>
      </c>
      <c r="AA331" s="124" t="s">
        <v>6310</v>
      </c>
    </row>
    <row r="332" spans="1:34" s="124" customFormat="1">
      <c r="A332" s="124">
        <v>33790</v>
      </c>
      <c r="B332" s="124" t="s">
        <v>5579</v>
      </c>
      <c r="C332" s="124">
        <v>3</v>
      </c>
      <c r="E332" s="124" t="s">
        <v>5582</v>
      </c>
      <c r="F332" s="124">
        <v>3</v>
      </c>
      <c r="H332" s="124">
        <v>303</v>
      </c>
      <c r="I332" s="128" t="s">
        <v>5583</v>
      </c>
      <c r="J332" s="124">
        <v>0</v>
      </c>
      <c r="U332" s="124" t="s">
        <v>5584</v>
      </c>
      <c r="W332" s="124">
        <v>5</v>
      </c>
      <c r="X332" s="124" t="s">
        <v>3570</v>
      </c>
      <c r="Z332" s="124">
        <v>7</v>
      </c>
      <c r="AA332" s="124" t="s">
        <v>569</v>
      </c>
    </row>
    <row r="333" spans="1:34" s="124" customFormat="1">
      <c r="A333" s="124">
        <v>34800</v>
      </c>
      <c r="B333" s="124" t="s">
        <v>5580</v>
      </c>
      <c r="C333" s="124">
        <v>3</v>
      </c>
      <c r="E333" s="124" t="s">
        <v>5582</v>
      </c>
      <c r="F333" s="124">
        <v>4</v>
      </c>
      <c r="H333" s="124">
        <v>303</v>
      </c>
      <c r="I333" s="128" t="s">
        <v>5583</v>
      </c>
      <c r="J333" s="124">
        <v>0</v>
      </c>
      <c r="U333" s="124" t="s">
        <v>5584</v>
      </c>
      <c r="W333" s="124">
        <v>5</v>
      </c>
      <c r="X333" s="124" t="s">
        <v>5587</v>
      </c>
      <c r="Z333" s="124">
        <v>5</v>
      </c>
      <c r="AA333" s="124" t="s">
        <v>583</v>
      </c>
    </row>
    <row r="334" spans="1:34" s="124" customFormat="1">
      <c r="A334" s="124">
        <v>38230</v>
      </c>
      <c r="B334" s="124" t="s">
        <v>5581</v>
      </c>
      <c r="C334" s="124">
        <v>3</v>
      </c>
      <c r="E334" s="124" t="s">
        <v>5582</v>
      </c>
      <c r="F334" s="124">
        <v>8</v>
      </c>
      <c r="H334" s="124">
        <v>303</v>
      </c>
      <c r="I334" s="128" t="s">
        <v>5583</v>
      </c>
      <c r="J334" s="124">
        <v>0</v>
      </c>
      <c r="U334" s="124" t="s">
        <v>5584</v>
      </c>
      <c r="W334" s="124">
        <v>5</v>
      </c>
      <c r="X334" s="124" t="s">
        <v>5588</v>
      </c>
      <c r="Z334" s="124">
        <v>7</v>
      </c>
      <c r="AA334" s="124" t="s">
        <v>588</v>
      </c>
    </row>
    <row r="335" spans="1:34" s="124" customFormat="1">
      <c r="I335" s="128"/>
    </row>
    <row r="336" spans="1:34" s="124" customFormat="1">
      <c r="A336" s="124">
        <v>32760</v>
      </c>
      <c r="B336" s="124" t="s">
        <v>5398</v>
      </c>
      <c r="C336" s="124">
        <v>3</v>
      </c>
      <c r="E336" s="124" t="s">
        <v>5399</v>
      </c>
      <c r="F336" s="124">
        <v>2</v>
      </c>
      <c r="G336" s="124" t="s">
        <v>5409</v>
      </c>
      <c r="H336" s="124">
        <v>305</v>
      </c>
      <c r="I336" s="187" t="s">
        <v>5337</v>
      </c>
      <c r="J336" s="124">
        <v>1</v>
      </c>
      <c r="K336" s="124">
        <v>20711</v>
      </c>
      <c r="L336" s="124">
        <v>420711</v>
      </c>
      <c r="M336" s="124">
        <v>29</v>
      </c>
      <c r="N336" s="124">
        <v>40</v>
      </c>
      <c r="T336" s="124" t="s">
        <v>5410</v>
      </c>
      <c r="U336" s="124" t="s">
        <v>5400</v>
      </c>
      <c r="W336" s="124">
        <v>6</v>
      </c>
      <c r="X336" s="124" t="s">
        <v>5341</v>
      </c>
      <c r="Z336" s="124">
        <v>5</v>
      </c>
      <c r="AA336" s="124" t="s">
        <v>5340</v>
      </c>
      <c r="AB336" s="124" t="s">
        <v>5403</v>
      </c>
      <c r="AC336" s="124">
        <v>6</v>
      </c>
      <c r="AD336" s="124" t="s">
        <v>5447</v>
      </c>
      <c r="AE336" s="124" t="s">
        <v>5404</v>
      </c>
      <c r="AF336" s="124" t="s">
        <v>5405</v>
      </c>
      <c r="AG336" s="124" t="s">
        <v>5406</v>
      </c>
      <c r="AH336" s="124" t="s">
        <v>5407</v>
      </c>
    </row>
    <row r="337" spans="1:34" s="124" customFormat="1" ht="18" customHeight="1">
      <c r="A337" s="124">
        <v>42370</v>
      </c>
      <c r="B337" s="124" t="s">
        <v>5401</v>
      </c>
      <c r="C337" s="124">
        <v>4</v>
      </c>
      <c r="D337" s="124">
        <v>6</v>
      </c>
      <c r="E337" s="124" t="s">
        <v>5399</v>
      </c>
      <c r="F337" s="124">
        <v>2</v>
      </c>
      <c r="G337" s="124" t="s">
        <v>5408</v>
      </c>
      <c r="H337" s="124">
        <v>305</v>
      </c>
      <c r="I337" s="128" t="s">
        <v>5337</v>
      </c>
      <c r="J337" s="124">
        <v>1</v>
      </c>
      <c r="K337" s="124">
        <v>20711</v>
      </c>
      <c r="L337" s="124">
        <v>420711</v>
      </c>
      <c r="M337" s="124">
        <v>29</v>
      </c>
      <c r="N337" s="124">
        <v>40</v>
      </c>
      <c r="S337" s="124" t="s">
        <v>5411</v>
      </c>
      <c r="T337" s="124" t="s">
        <v>5412</v>
      </c>
      <c r="U337" s="124" t="s">
        <v>5402</v>
      </c>
      <c r="W337" s="124">
        <v>6</v>
      </c>
      <c r="X337" s="124" t="s">
        <v>5338</v>
      </c>
      <c r="Z337" s="124">
        <v>7</v>
      </c>
      <c r="AA337" s="124" t="s">
        <v>5339</v>
      </c>
      <c r="AB337" s="124" t="s">
        <v>5403</v>
      </c>
      <c r="AC337" s="124">
        <v>6</v>
      </c>
      <c r="AD337" s="124" t="s">
        <v>5447</v>
      </c>
      <c r="AE337" s="124" t="s">
        <v>5404</v>
      </c>
      <c r="AF337" s="124" t="s">
        <v>5405</v>
      </c>
      <c r="AG337" s="124" t="s">
        <v>5406</v>
      </c>
      <c r="AH337" s="124" t="s">
        <v>5407</v>
      </c>
    </row>
    <row r="338" spans="1:34" s="124" customFormat="1">
      <c r="A338" s="124">
        <v>31760</v>
      </c>
      <c r="B338" s="124" t="s">
        <v>5324</v>
      </c>
      <c r="C338" s="124">
        <v>3</v>
      </c>
      <c r="E338" s="124" t="s">
        <v>5325</v>
      </c>
      <c r="F338" s="124">
        <v>1</v>
      </c>
      <c r="G338" s="124" t="s">
        <v>5382</v>
      </c>
      <c r="H338" s="124">
        <v>302</v>
      </c>
      <c r="I338" s="128" t="s">
        <v>5450</v>
      </c>
      <c r="J338" s="124">
        <v>0</v>
      </c>
      <c r="T338" s="124" t="s">
        <v>5383</v>
      </c>
      <c r="U338" s="124" t="s">
        <v>5326</v>
      </c>
      <c r="W338" s="124">
        <v>8</v>
      </c>
      <c r="X338" s="124" t="s">
        <v>3570</v>
      </c>
      <c r="Z338" s="124">
        <v>9</v>
      </c>
      <c r="AA338" s="124" t="s">
        <v>488</v>
      </c>
    </row>
    <row r="339" spans="1:34" s="124" customFormat="1" ht="15.75" customHeight="1">
      <c r="A339" s="124">
        <v>32750</v>
      </c>
      <c r="B339" s="124" t="s">
        <v>5327</v>
      </c>
      <c r="C339" s="124">
        <v>3</v>
      </c>
      <c r="E339" s="124" t="s">
        <v>5325</v>
      </c>
      <c r="F339" s="124">
        <v>2</v>
      </c>
      <c r="G339" s="124" t="s">
        <v>5384</v>
      </c>
      <c r="H339" s="124">
        <v>302</v>
      </c>
      <c r="I339" s="128" t="s">
        <v>5450</v>
      </c>
      <c r="J339" s="124">
        <v>0</v>
      </c>
      <c r="T339" s="124" t="s">
        <v>5385</v>
      </c>
      <c r="U339" s="124" t="s">
        <v>5328</v>
      </c>
      <c r="W339" s="124">
        <v>8</v>
      </c>
      <c r="X339" s="124" t="s">
        <v>3320</v>
      </c>
      <c r="Z339" s="124">
        <v>8</v>
      </c>
      <c r="AA339" s="124" t="s">
        <v>550</v>
      </c>
      <c r="AB339" s="105"/>
    </row>
    <row r="340" spans="1:34" s="124" customFormat="1" ht="15.75" customHeight="1">
      <c r="A340" s="124">
        <v>33780</v>
      </c>
      <c r="B340" s="124" t="s">
        <v>5329</v>
      </c>
      <c r="C340" s="124">
        <v>3</v>
      </c>
      <c r="E340" s="124" t="s">
        <v>5325</v>
      </c>
      <c r="F340" s="124">
        <v>3</v>
      </c>
      <c r="G340" s="124" t="s">
        <v>5387</v>
      </c>
      <c r="H340" s="124">
        <v>302</v>
      </c>
      <c r="I340" s="128" t="s">
        <v>5450</v>
      </c>
      <c r="J340" s="124">
        <v>0</v>
      </c>
      <c r="T340" s="124" t="s">
        <v>5386</v>
      </c>
      <c r="U340" s="124" t="s">
        <v>5330</v>
      </c>
      <c r="W340" s="124">
        <v>8</v>
      </c>
      <c r="X340" s="124" t="s">
        <v>3832</v>
      </c>
      <c r="Z340" s="124">
        <v>4</v>
      </c>
      <c r="AA340" s="124" t="s">
        <v>565</v>
      </c>
      <c r="AB340" s="105"/>
    </row>
    <row r="341" spans="1:34" s="124" customFormat="1" ht="15.75" customHeight="1">
      <c r="A341" s="124">
        <v>34780</v>
      </c>
      <c r="B341" s="124" t="s">
        <v>5331</v>
      </c>
      <c r="C341" s="124">
        <v>3</v>
      </c>
      <c r="E341" s="124" t="s">
        <v>5325</v>
      </c>
      <c r="F341" s="124">
        <v>4</v>
      </c>
      <c r="G341" s="124" t="s">
        <v>5388</v>
      </c>
      <c r="H341" s="124">
        <v>302</v>
      </c>
      <c r="I341" s="128" t="s">
        <v>5450</v>
      </c>
      <c r="J341" s="124">
        <v>0</v>
      </c>
      <c r="T341" s="124" t="s">
        <v>5389</v>
      </c>
      <c r="U341" s="124" t="s">
        <v>5332</v>
      </c>
      <c r="W341" s="124">
        <v>8</v>
      </c>
      <c r="X341" s="124" t="s">
        <v>3835</v>
      </c>
      <c r="Z341" s="124">
        <v>8</v>
      </c>
      <c r="AA341" s="124" t="s">
        <v>580</v>
      </c>
      <c r="AB341" s="105"/>
    </row>
    <row r="342" spans="1:34" s="124" customFormat="1" ht="15.75" customHeight="1">
      <c r="A342" s="124">
        <v>38220</v>
      </c>
      <c r="B342" s="124" t="s">
        <v>5333</v>
      </c>
      <c r="C342" s="124">
        <v>3</v>
      </c>
      <c r="E342" s="124" t="s">
        <v>5325</v>
      </c>
      <c r="F342" s="124">
        <v>8</v>
      </c>
      <c r="G342" s="124" t="s">
        <v>5390</v>
      </c>
      <c r="H342" s="124">
        <v>302</v>
      </c>
      <c r="I342" s="128" t="s">
        <v>5450</v>
      </c>
      <c r="J342" s="124">
        <v>0</v>
      </c>
      <c r="T342" s="124" t="s">
        <v>5391</v>
      </c>
      <c r="U342" s="124" t="s">
        <v>5334</v>
      </c>
      <c r="W342" s="124">
        <v>8</v>
      </c>
      <c r="X342" s="124" t="s">
        <v>3605</v>
      </c>
      <c r="Z342" s="124">
        <v>4</v>
      </c>
      <c r="AA342" s="124" t="s">
        <v>588</v>
      </c>
      <c r="AB342" s="105"/>
    </row>
    <row r="344" spans="1:34" s="124" customFormat="1">
      <c r="A344" s="124">
        <v>34790</v>
      </c>
      <c r="B344" s="124" t="s">
        <v>5322</v>
      </c>
      <c r="C344" s="124">
        <v>3</v>
      </c>
      <c r="E344" s="124" t="s">
        <v>5233</v>
      </c>
      <c r="F344" s="124">
        <v>4</v>
      </c>
      <c r="G344" s="124" t="s">
        <v>5380</v>
      </c>
      <c r="H344" s="124">
        <v>303</v>
      </c>
      <c r="I344" s="128" t="s">
        <v>5234</v>
      </c>
      <c r="J344" s="124">
        <v>0</v>
      </c>
      <c r="T344" s="124" t="s">
        <v>5381</v>
      </c>
      <c r="U344" s="124" t="s">
        <v>5323</v>
      </c>
      <c r="W344" s="124">
        <v>3</v>
      </c>
      <c r="X344" s="124" t="s">
        <v>3319</v>
      </c>
      <c r="Z344" s="124">
        <v>2</v>
      </c>
      <c r="AA344" s="124" t="s">
        <v>5235</v>
      </c>
    </row>
    <row r="345" spans="1:34" s="124" customFormat="1">
      <c r="A345" s="124">
        <v>41380</v>
      </c>
      <c r="B345" s="124" t="s">
        <v>5413</v>
      </c>
      <c r="C345" s="124">
        <v>4</v>
      </c>
      <c r="E345" s="124" t="s">
        <v>1157</v>
      </c>
      <c r="F345" s="124">
        <v>1</v>
      </c>
      <c r="G345" s="124" t="s">
        <v>5414</v>
      </c>
      <c r="H345" s="124">
        <v>303</v>
      </c>
      <c r="I345" s="128" t="s">
        <v>5099</v>
      </c>
      <c r="J345" s="124">
        <v>1</v>
      </c>
      <c r="K345" s="107">
        <v>10721</v>
      </c>
      <c r="L345" s="107">
        <v>410723</v>
      </c>
      <c r="M345" s="107">
        <v>38</v>
      </c>
      <c r="N345" s="107">
        <v>51</v>
      </c>
      <c r="O345" s="107"/>
      <c r="P345" s="107"/>
      <c r="Q345" s="107"/>
      <c r="R345" s="107"/>
      <c r="S345" s="142" t="s">
        <v>5415</v>
      </c>
      <c r="T345" s="124" t="s">
        <v>5416</v>
      </c>
      <c r="U345" s="124" t="s">
        <v>5417</v>
      </c>
      <c r="W345" s="124">
        <v>7</v>
      </c>
      <c r="X345" s="124" t="s">
        <v>3572</v>
      </c>
      <c r="Z345" s="124">
        <v>4</v>
      </c>
      <c r="AA345" s="124" t="s">
        <v>5236</v>
      </c>
      <c r="AB345" s="124" t="s">
        <v>5418</v>
      </c>
      <c r="AC345" s="124">
        <v>5</v>
      </c>
      <c r="AD345" s="124" t="s">
        <v>5419</v>
      </c>
      <c r="AE345" s="124" t="s">
        <v>5420</v>
      </c>
      <c r="AF345" s="124" t="s">
        <v>5421</v>
      </c>
      <c r="AG345" s="124" t="s">
        <v>5422</v>
      </c>
      <c r="AH345" s="124" t="s">
        <v>5423</v>
      </c>
    </row>
    <row r="346" spans="1:34" s="124" customFormat="1">
      <c r="A346" s="124">
        <v>53540</v>
      </c>
      <c r="B346" s="124" t="s">
        <v>5424</v>
      </c>
      <c r="C346" s="124">
        <v>5</v>
      </c>
      <c r="E346" s="124" t="s">
        <v>1157</v>
      </c>
      <c r="F346" s="124">
        <v>3</v>
      </c>
      <c r="G346" s="124" t="s">
        <v>5425</v>
      </c>
      <c r="H346" s="124">
        <v>304</v>
      </c>
      <c r="I346" s="128" t="s">
        <v>5099</v>
      </c>
      <c r="J346" s="124">
        <v>1</v>
      </c>
      <c r="K346" s="107">
        <v>30721</v>
      </c>
      <c r="L346" s="107">
        <v>430723</v>
      </c>
      <c r="M346" s="107">
        <v>72</v>
      </c>
      <c r="N346" s="107">
        <v>87</v>
      </c>
      <c r="O346" s="107"/>
      <c r="P346" s="107"/>
      <c r="Q346" s="107"/>
      <c r="R346" s="107"/>
      <c r="S346" s="124" t="s">
        <v>5426</v>
      </c>
      <c r="T346" s="124" t="s">
        <v>5427</v>
      </c>
      <c r="U346" s="124" t="s">
        <v>5428</v>
      </c>
      <c r="W346" s="124">
        <v>6</v>
      </c>
      <c r="X346" s="124" t="s">
        <v>3570</v>
      </c>
      <c r="Z346" s="124">
        <v>1</v>
      </c>
      <c r="AA346" s="124" t="s">
        <v>5237</v>
      </c>
      <c r="AB346" s="124" t="s">
        <v>5429</v>
      </c>
      <c r="AC346" s="124">
        <v>5</v>
      </c>
      <c r="AD346" s="124" t="s">
        <v>5430</v>
      </c>
      <c r="AE346" s="124" t="s">
        <v>5431</v>
      </c>
      <c r="AF346" s="124" t="s">
        <v>5432</v>
      </c>
      <c r="AG346" s="124" t="s">
        <v>5433</v>
      </c>
      <c r="AH346" s="124" t="s">
        <v>5434</v>
      </c>
    </row>
    <row r="347" spans="1:34" s="124" customFormat="1" ht="15.75" customHeight="1">
      <c r="A347" s="124">
        <v>51540</v>
      </c>
      <c r="B347" s="124" t="s">
        <v>5342</v>
      </c>
      <c r="C347" s="124">
        <v>5</v>
      </c>
      <c r="E347" s="124" t="s">
        <v>5319</v>
      </c>
      <c r="F347" s="124">
        <v>1</v>
      </c>
      <c r="G347" s="124" t="s">
        <v>5350</v>
      </c>
      <c r="H347" s="124">
        <v>307</v>
      </c>
      <c r="I347" s="128" t="s">
        <v>5099</v>
      </c>
      <c r="J347" s="124">
        <v>1</v>
      </c>
      <c r="K347" s="124">
        <v>10731</v>
      </c>
      <c r="L347" s="124">
        <v>410731</v>
      </c>
      <c r="M347" s="124">
        <v>34</v>
      </c>
      <c r="N347" s="124">
        <v>45</v>
      </c>
      <c r="S347" s="124" t="s">
        <v>5352</v>
      </c>
      <c r="T347" s="124" t="s">
        <v>5351</v>
      </c>
      <c r="U347" s="124" t="s">
        <v>5348</v>
      </c>
      <c r="W347" s="124">
        <v>7</v>
      </c>
      <c r="X347" s="124" t="s">
        <v>3835</v>
      </c>
      <c r="Z347" s="124">
        <v>1</v>
      </c>
      <c r="AA347" s="124" t="s">
        <v>5240</v>
      </c>
      <c r="AB347" s="124" t="s">
        <v>5394</v>
      </c>
      <c r="AC347" s="124">
        <v>6</v>
      </c>
      <c r="AD347" s="124" t="s">
        <v>5368</v>
      </c>
      <c r="AE347" s="124" t="s">
        <v>5369</v>
      </c>
      <c r="AF347" s="124" t="s">
        <v>5370</v>
      </c>
      <c r="AG347" s="124" t="s">
        <v>5375</v>
      </c>
      <c r="AH347" s="124" t="s">
        <v>5371</v>
      </c>
    </row>
    <row r="348" spans="1:34" s="124" customFormat="1" ht="15.75" customHeight="1">
      <c r="A348" s="124">
        <v>52520</v>
      </c>
      <c r="B348" s="124" t="s">
        <v>5343</v>
      </c>
      <c r="C348" s="124">
        <v>5</v>
      </c>
      <c r="E348" s="124" t="s">
        <v>5319</v>
      </c>
      <c r="F348" s="124">
        <v>2</v>
      </c>
      <c r="G348" s="124" t="s">
        <v>5356</v>
      </c>
      <c r="H348" s="124">
        <v>307</v>
      </c>
      <c r="I348" s="128" t="s">
        <v>5099</v>
      </c>
      <c r="J348" s="124">
        <v>1</v>
      </c>
      <c r="K348" s="124">
        <v>20721</v>
      </c>
      <c r="L348" s="124">
        <v>420721</v>
      </c>
      <c r="M348" s="124">
        <v>1</v>
      </c>
      <c r="N348" s="124">
        <v>14</v>
      </c>
      <c r="S348" s="124" t="s">
        <v>5353</v>
      </c>
      <c r="T348" s="124" t="s">
        <v>5357</v>
      </c>
      <c r="U348" s="124" t="s">
        <v>5344</v>
      </c>
      <c r="W348" s="124">
        <v>7</v>
      </c>
      <c r="X348" s="124" t="s">
        <v>3834</v>
      </c>
      <c r="Z348" s="124">
        <v>7</v>
      </c>
      <c r="AA348" s="124" t="s">
        <v>5241</v>
      </c>
      <c r="AB348" s="124" t="s">
        <v>5395</v>
      </c>
      <c r="AC348" s="124">
        <v>6</v>
      </c>
      <c r="AD348" s="124" t="s">
        <v>5372</v>
      </c>
      <c r="AE348" s="124" t="s">
        <v>5373</v>
      </c>
      <c r="AF348" s="124" t="s">
        <v>5374</v>
      </c>
      <c r="AG348" s="124" t="s">
        <v>5393</v>
      </c>
      <c r="AH348" s="124" t="s">
        <v>5392</v>
      </c>
    </row>
    <row r="349" spans="1:34" s="124" customFormat="1">
      <c r="A349" s="124">
        <v>53550</v>
      </c>
      <c r="B349" s="124" t="s">
        <v>5345</v>
      </c>
      <c r="C349" s="124">
        <v>5</v>
      </c>
      <c r="E349" s="124" t="s">
        <v>5319</v>
      </c>
      <c r="F349" s="124">
        <v>3</v>
      </c>
      <c r="G349" s="124" t="s">
        <v>5358</v>
      </c>
      <c r="H349" s="124">
        <v>307</v>
      </c>
      <c r="I349" s="128" t="s">
        <v>5099</v>
      </c>
      <c r="J349" s="124">
        <v>1</v>
      </c>
      <c r="K349" s="124">
        <v>30711</v>
      </c>
      <c r="L349" s="124">
        <v>430713</v>
      </c>
      <c r="M349" s="124">
        <v>17</v>
      </c>
      <c r="N349" s="124">
        <v>30</v>
      </c>
      <c r="S349" s="124" t="s">
        <v>5354</v>
      </c>
      <c r="T349" s="124" t="s">
        <v>5359</v>
      </c>
      <c r="U349" s="124" t="s">
        <v>5349</v>
      </c>
      <c r="W349" s="124">
        <v>7</v>
      </c>
      <c r="X349" s="124" t="s">
        <v>5238</v>
      </c>
      <c r="Z349" s="124">
        <v>2</v>
      </c>
      <c r="AA349" s="124" t="s">
        <v>5242</v>
      </c>
      <c r="AB349" s="124" t="s">
        <v>5396</v>
      </c>
      <c r="AC349" s="124">
        <v>6</v>
      </c>
      <c r="AD349" s="124" t="s">
        <v>5362</v>
      </c>
      <c r="AE349" s="124" t="s">
        <v>5376</v>
      </c>
      <c r="AF349" s="124" t="s">
        <v>5377</v>
      </c>
      <c r="AG349" s="124" t="s">
        <v>5378</v>
      </c>
      <c r="AH349" s="124" t="s">
        <v>5379</v>
      </c>
    </row>
    <row r="350" spans="1:34" s="124" customFormat="1">
      <c r="A350" s="124">
        <v>54530</v>
      </c>
      <c r="B350" s="124" t="s">
        <v>5346</v>
      </c>
      <c r="C350" s="124">
        <v>5</v>
      </c>
      <c r="E350" s="124" t="s">
        <v>5319</v>
      </c>
      <c r="F350" s="124">
        <v>4</v>
      </c>
      <c r="G350" s="124" t="s">
        <v>5360</v>
      </c>
      <c r="H350" s="124">
        <v>303</v>
      </c>
      <c r="I350" s="128" t="s">
        <v>5099</v>
      </c>
      <c r="J350" s="124">
        <v>1</v>
      </c>
      <c r="K350" s="124">
        <v>40721</v>
      </c>
      <c r="L350" s="124">
        <v>440722</v>
      </c>
      <c r="M350" s="124">
        <v>11</v>
      </c>
      <c r="N350" s="124">
        <v>26</v>
      </c>
      <c r="S350" s="124" t="s">
        <v>5355</v>
      </c>
      <c r="T350" s="124" t="s">
        <v>5361</v>
      </c>
      <c r="U350" s="124" t="s">
        <v>5347</v>
      </c>
      <c r="W350" s="124">
        <v>7</v>
      </c>
      <c r="X350" s="124" t="s">
        <v>5239</v>
      </c>
      <c r="Z350" s="124">
        <v>7</v>
      </c>
      <c r="AA350" s="124" t="s">
        <v>5243</v>
      </c>
      <c r="AB350" s="124" t="s">
        <v>5397</v>
      </c>
      <c r="AC350" s="124">
        <v>6</v>
      </c>
      <c r="AD350" s="124" t="s">
        <v>5363</v>
      </c>
      <c r="AE350" s="124" t="s">
        <v>5364</v>
      </c>
      <c r="AF350" s="124" t="s">
        <v>5365</v>
      </c>
      <c r="AG350" s="124" t="s">
        <v>5366</v>
      </c>
      <c r="AH350" s="124" t="s">
        <v>5367</v>
      </c>
    </row>
    <row r="351" spans="1:34" s="124" customFormat="1">
      <c r="A351" s="124">
        <v>73150</v>
      </c>
      <c r="B351" s="124" t="s">
        <v>5435</v>
      </c>
      <c r="C351" s="124">
        <v>7</v>
      </c>
      <c r="E351" s="124" t="s">
        <v>706</v>
      </c>
      <c r="F351" s="124">
        <v>3</v>
      </c>
      <c r="G351" s="124" t="s">
        <v>5436</v>
      </c>
      <c r="H351" s="124">
        <v>308</v>
      </c>
      <c r="I351" s="127" t="s">
        <v>5234</v>
      </c>
      <c r="J351" s="124">
        <v>1</v>
      </c>
      <c r="K351" s="107">
        <v>30731</v>
      </c>
      <c r="L351" s="107"/>
      <c r="M351" s="107"/>
      <c r="N351" s="107"/>
      <c r="O351" s="107"/>
      <c r="P351" s="107"/>
      <c r="Q351" s="107"/>
      <c r="R351" s="107"/>
      <c r="S351" s="107"/>
      <c r="T351" s="124" t="s">
        <v>5437</v>
      </c>
      <c r="U351" s="124" t="s">
        <v>5438</v>
      </c>
      <c r="V351" s="124">
        <v>1</v>
      </c>
      <c r="W351" s="124">
        <v>5</v>
      </c>
      <c r="X351" s="124" t="s">
        <v>3572</v>
      </c>
      <c r="Y351" s="124">
        <v>219</v>
      </c>
      <c r="Z351" s="124">
        <v>0</v>
      </c>
      <c r="AA351" s="124" t="s">
        <v>4985</v>
      </c>
      <c r="AB351" s="124" t="s">
        <v>5439</v>
      </c>
      <c r="AC351" s="124">
        <v>5</v>
      </c>
      <c r="AD351" s="124" t="s">
        <v>5440</v>
      </c>
      <c r="AE351" s="124" t="s">
        <v>5441</v>
      </c>
      <c r="AF351" s="124" t="s">
        <v>5442</v>
      </c>
      <c r="AG351" s="124" t="s">
        <v>5443</v>
      </c>
      <c r="AH351" s="124" t="s">
        <v>5444</v>
      </c>
    </row>
    <row r="352" spans="1:34" s="124" customFormat="1">
      <c r="A352" s="124">
        <v>830115</v>
      </c>
      <c r="B352" s="124" t="s">
        <v>5244</v>
      </c>
      <c r="C352" s="124">
        <v>8</v>
      </c>
      <c r="E352" s="124" t="s">
        <v>747</v>
      </c>
      <c r="F352" s="124">
        <v>3</v>
      </c>
      <c r="H352" s="124">
        <v>304</v>
      </c>
      <c r="I352" s="128" t="s">
        <v>748</v>
      </c>
      <c r="R352" s="124" t="s">
        <v>5245</v>
      </c>
      <c r="W352" s="124" t="s">
        <v>5246</v>
      </c>
      <c r="X352" s="124" t="s">
        <v>568</v>
      </c>
      <c r="AA352" s="124" t="s">
        <v>575</v>
      </c>
    </row>
    <row r="353" spans="1:34" s="124" customFormat="1">
      <c r="A353" s="124">
        <v>830215</v>
      </c>
      <c r="B353" s="124" t="s">
        <v>5247</v>
      </c>
      <c r="C353" s="124">
        <v>8</v>
      </c>
      <c r="E353" s="124" t="s">
        <v>747</v>
      </c>
      <c r="F353" s="124">
        <v>3</v>
      </c>
      <c r="H353" s="124">
        <v>302</v>
      </c>
      <c r="I353" s="128" t="s">
        <v>748</v>
      </c>
      <c r="R353" s="124" t="s">
        <v>5248</v>
      </c>
      <c r="W353" s="124" t="s">
        <v>5249</v>
      </c>
      <c r="X353" s="124" t="s">
        <v>568</v>
      </c>
      <c r="AA353" s="124" t="s">
        <v>575</v>
      </c>
    </row>
    <row r="354" spans="1:34" s="124" customFormat="1">
      <c r="A354" s="124">
        <v>830315</v>
      </c>
      <c r="B354" s="124" t="s">
        <v>5250</v>
      </c>
      <c r="C354" s="124">
        <v>8</v>
      </c>
      <c r="E354" s="124" t="s">
        <v>747</v>
      </c>
      <c r="F354" s="124">
        <v>3</v>
      </c>
      <c r="H354" s="124">
        <v>306</v>
      </c>
      <c r="I354" s="128" t="s">
        <v>748</v>
      </c>
      <c r="R354" s="124" t="s">
        <v>5251</v>
      </c>
      <c r="W354" s="124" t="s">
        <v>5252</v>
      </c>
      <c r="X354" s="124" t="s">
        <v>558</v>
      </c>
      <c r="AA354" s="124" t="s">
        <v>575</v>
      </c>
    </row>
    <row r="355" spans="1:34" s="124" customFormat="1">
      <c r="A355" s="124">
        <v>830415</v>
      </c>
      <c r="B355" s="124" t="s">
        <v>5253</v>
      </c>
      <c r="C355" s="124">
        <v>8</v>
      </c>
      <c r="E355" s="124" t="s">
        <v>747</v>
      </c>
      <c r="F355" s="124">
        <v>3</v>
      </c>
      <c r="H355" s="124">
        <v>303</v>
      </c>
      <c r="I355" s="128" t="s">
        <v>748</v>
      </c>
      <c r="R355" s="124" t="s">
        <v>5254</v>
      </c>
      <c r="W355" s="124" t="s">
        <v>5255</v>
      </c>
      <c r="X355" s="124" t="s">
        <v>439</v>
      </c>
      <c r="AA355" s="124" t="s">
        <v>575</v>
      </c>
    </row>
    <row r="356" spans="1:34" s="124" customFormat="1">
      <c r="A356" s="124">
        <v>830515</v>
      </c>
      <c r="B356" s="124" t="s">
        <v>5256</v>
      </c>
      <c r="C356" s="124">
        <v>8</v>
      </c>
      <c r="E356" s="124" t="s">
        <v>747</v>
      </c>
      <c r="F356" s="124">
        <v>3</v>
      </c>
      <c r="H356" s="124">
        <v>307</v>
      </c>
      <c r="I356" s="128" t="s">
        <v>748</v>
      </c>
      <c r="R356" s="124" t="s">
        <v>5257</v>
      </c>
      <c r="W356" s="124" t="s">
        <v>5258</v>
      </c>
      <c r="X356" s="124" t="s">
        <v>499</v>
      </c>
      <c r="AA356" s="124" t="s">
        <v>575</v>
      </c>
    </row>
    <row r="357" spans="1:34" s="124" customFormat="1">
      <c r="A357" s="124">
        <v>830615</v>
      </c>
      <c r="B357" s="124" t="s">
        <v>5259</v>
      </c>
      <c r="C357" s="124">
        <v>8</v>
      </c>
      <c r="E357" s="124" t="s">
        <v>747</v>
      </c>
      <c r="F357" s="124">
        <v>3</v>
      </c>
      <c r="H357" s="124">
        <v>301</v>
      </c>
      <c r="I357" s="128" t="s">
        <v>748</v>
      </c>
      <c r="R357" s="124" t="s">
        <v>5260</v>
      </c>
      <c r="W357" s="124" t="s">
        <v>5261</v>
      </c>
      <c r="X357" s="124" t="s">
        <v>549</v>
      </c>
      <c r="AA357" s="124" t="s">
        <v>575</v>
      </c>
    </row>
    <row r="358" spans="1:34" s="124" customFormat="1">
      <c r="A358" s="124">
        <v>830715</v>
      </c>
      <c r="B358" s="124" t="s">
        <v>5262</v>
      </c>
      <c r="C358" s="124">
        <v>8</v>
      </c>
      <c r="E358" s="124" t="s">
        <v>747</v>
      </c>
      <c r="F358" s="124">
        <v>3</v>
      </c>
      <c r="H358" s="124">
        <v>302</v>
      </c>
      <c r="I358" s="128" t="s">
        <v>748</v>
      </c>
      <c r="R358" s="124" t="s">
        <v>5263</v>
      </c>
      <c r="W358" s="124" t="s">
        <v>5264</v>
      </c>
      <c r="X358" s="124" t="s">
        <v>558</v>
      </c>
      <c r="AA358" s="124" t="s">
        <v>575</v>
      </c>
    </row>
    <row r="359" spans="1:34" s="124" customFormat="1">
      <c r="A359" s="124">
        <v>830815</v>
      </c>
      <c r="B359" s="124" t="s">
        <v>5265</v>
      </c>
      <c r="C359" s="124">
        <v>8</v>
      </c>
      <c r="E359" s="124" t="s">
        <v>747</v>
      </c>
      <c r="F359" s="124">
        <v>3</v>
      </c>
      <c r="H359" s="124">
        <v>305</v>
      </c>
      <c r="I359" s="128" t="s">
        <v>748</v>
      </c>
      <c r="R359" s="124" t="s">
        <v>5266</v>
      </c>
      <c r="W359" s="124" t="s">
        <v>5267</v>
      </c>
      <c r="X359" s="124" t="s">
        <v>549</v>
      </c>
      <c r="AA359" s="124" t="s">
        <v>575</v>
      </c>
    </row>
    <row r="360" spans="1:34" s="124" customFormat="1">
      <c r="A360" s="124">
        <v>830915</v>
      </c>
      <c r="B360" s="124" t="s">
        <v>5268</v>
      </c>
      <c r="C360" s="124">
        <v>8</v>
      </c>
      <c r="E360" s="124" t="s">
        <v>747</v>
      </c>
      <c r="F360" s="124">
        <v>3</v>
      </c>
      <c r="H360" s="124">
        <v>301</v>
      </c>
      <c r="I360" s="128" t="s">
        <v>748</v>
      </c>
      <c r="R360" s="124" t="s">
        <v>5269</v>
      </c>
      <c r="W360" s="124" t="s">
        <v>5270</v>
      </c>
      <c r="X360" s="124" t="s">
        <v>549</v>
      </c>
      <c r="AA360" s="124" t="s">
        <v>575</v>
      </c>
    </row>
    <row r="361" spans="1:34" s="124" customFormat="1">
      <c r="A361" s="124">
        <v>831015</v>
      </c>
      <c r="B361" s="124" t="s">
        <v>5271</v>
      </c>
      <c r="C361" s="124">
        <v>8</v>
      </c>
      <c r="E361" s="124" t="s">
        <v>747</v>
      </c>
      <c r="F361" s="124">
        <v>3</v>
      </c>
      <c r="H361" s="124">
        <v>304</v>
      </c>
      <c r="I361" s="128" t="s">
        <v>748</v>
      </c>
      <c r="R361" s="124" t="s">
        <v>5272</v>
      </c>
      <c r="W361" s="124" t="s">
        <v>5273</v>
      </c>
      <c r="X361" s="124" t="s">
        <v>570</v>
      </c>
      <c r="AA361" s="124" t="s">
        <v>575</v>
      </c>
    </row>
    <row r="362" spans="1:34" s="124" customFormat="1">
      <c r="A362" s="124">
        <v>831115</v>
      </c>
      <c r="B362" s="124" t="s">
        <v>5274</v>
      </c>
      <c r="C362" s="124">
        <v>8</v>
      </c>
      <c r="E362" s="124" t="s">
        <v>747</v>
      </c>
      <c r="F362" s="124">
        <v>3</v>
      </c>
      <c r="H362" s="124">
        <v>305</v>
      </c>
      <c r="I362" s="128" t="s">
        <v>748</v>
      </c>
      <c r="R362" s="124" t="s">
        <v>5275</v>
      </c>
      <c r="W362" s="124" t="s">
        <v>5276</v>
      </c>
      <c r="X362" s="124" t="s">
        <v>560</v>
      </c>
      <c r="AA362" s="124" t="s">
        <v>575</v>
      </c>
    </row>
    <row r="363" spans="1:34" s="124" customFormat="1">
      <c r="A363" s="124">
        <v>831215</v>
      </c>
      <c r="B363" s="124" t="s">
        <v>5277</v>
      </c>
      <c r="C363" s="124">
        <v>8</v>
      </c>
      <c r="E363" s="124" t="s">
        <v>747</v>
      </c>
      <c r="F363" s="124">
        <v>3</v>
      </c>
      <c r="H363" s="124">
        <v>304</v>
      </c>
      <c r="I363" s="128" t="s">
        <v>748</v>
      </c>
      <c r="R363" s="124" t="s">
        <v>5278</v>
      </c>
      <c r="W363" s="124" t="s">
        <v>5279</v>
      </c>
      <c r="X363" s="124" t="s">
        <v>484</v>
      </c>
      <c r="AA363" s="124" t="s">
        <v>575</v>
      </c>
    </row>
    <row r="364" spans="1:34" s="124" customFormat="1">
      <c r="A364" s="124">
        <v>831315</v>
      </c>
      <c r="B364" s="124" t="s">
        <v>5280</v>
      </c>
      <c r="C364" s="124">
        <v>8</v>
      </c>
      <c r="E364" s="124" t="s">
        <v>747</v>
      </c>
      <c r="F364" s="124">
        <v>3</v>
      </c>
      <c r="H364" s="124">
        <v>308</v>
      </c>
      <c r="I364" s="128" t="s">
        <v>748</v>
      </c>
      <c r="R364" s="124" t="s">
        <v>5281</v>
      </c>
      <c r="W364" s="124" t="s">
        <v>5282</v>
      </c>
      <c r="X364" s="124" t="s">
        <v>570</v>
      </c>
      <c r="AA364" s="124" t="s">
        <v>575</v>
      </c>
    </row>
    <row r="365" spans="1:34" s="124" customFormat="1">
      <c r="A365" s="124">
        <v>831415</v>
      </c>
      <c r="B365" s="124" t="s">
        <v>5283</v>
      </c>
      <c r="C365" s="124">
        <v>8</v>
      </c>
      <c r="E365" s="124" t="s">
        <v>747</v>
      </c>
      <c r="F365" s="124">
        <v>3</v>
      </c>
      <c r="H365" s="124">
        <v>307</v>
      </c>
      <c r="I365" s="128" t="s">
        <v>748</v>
      </c>
      <c r="R365" s="124" t="s">
        <v>5284</v>
      </c>
      <c r="W365" s="124" t="s">
        <v>5285</v>
      </c>
      <c r="X365" s="124" t="s">
        <v>566</v>
      </c>
      <c r="AA365" s="124" t="s">
        <v>575</v>
      </c>
    </row>
    <row r="366" spans="1:34" s="124" customFormat="1" ht="15.75" customHeight="1">
      <c r="I366" s="127"/>
      <c r="U366" s="105"/>
      <c r="AB366" s="105"/>
    </row>
    <row r="367" spans="1:34" s="124" customFormat="1" ht="15.75" customHeight="1">
      <c r="A367" s="124">
        <v>52510</v>
      </c>
      <c r="B367" s="124" t="s">
        <v>4987</v>
      </c>
      <c r="C367" s="124">
        <v>5</v>
      </c>
      <c r="E367" s="124" t="s">
        <v>4988</v>
      </c>
      <c r="F367" s="124">
        <v>2</v>
      </c>
      <c r="G367" s="124" t="s">
        <v>5217</v>
      </c>
      <c r="H367" s="124">
        <v>302</v>
      </c>
      <c r="I367" s="128" t="s">
        <v>5218</v>
      </c>
      <c r="J367" s="124">
        <v>1</v>
      </c>
      <c r="K367" s="124">
        <v>20691</v>
      </c>
      <c r="L367" s="124">
        <v>420691</v>
      </c>
      <c r="M367" s="124">
        <v>12</v>
      </c>
      <c r="N367" s="124">
        <v>27</v>
      </c>
      <c r="S367" s="124" t="s">
        <v>5219</v>
      </c>
      <c r="T367" s="124" t="s">
        <v>5220</v>
      </c>
      <c r="U367" s="124" t="s">
        <v>5320</v>
      </c>
      <c r="W367" s="124">
        <v>7</v>
      </c>
      <c r="X367" s="124" t="s">
        <v>4961</v>
      </c>
      <c r="Z367" s="124">
        <v>6</v>
      </c>
      <c r="AA367" s="124" t="s">
        <v>561</v>
      </c>
      <c r="AB367" s="124" t="s">
        <v>5321</v>
      </c>
      <c r="AC367" s="124">
        <v>5</v>
      </c>
      <c r="AD367" s="124" t="s">
        <v>5221</v>
      </c>
      <c r="AE367" s="124" t="s">
        <v>5222</v>
      </c>
      <c r="AF367" s="124" t="s">
        <v>5223</v>
      </c>
      <c r="AG367" s="124" t="s">
        <v>5224</v>
      </c>
      <c r="AH367" s="124" t="s">
        <v>5225</v>
      </c>
    </row>
    <row r="368" spans="1:34" s="124" customFormat="1">
      <c r="A368" s="124">
        <v>31750</v>
      </c>
      <c r="B368" s="124" t="s">
        <v>5084</v>
      </c>
      <c r="C368" s="124">
        <v>3</v>
      </c>
      <c r="E368" s="124" t="s">
        <v>5085</v>
      </c>
      <c r="F368" s="124">
        <v>1</v>
      </c>
      <c r="G368" s="124" t="s">
        <v>5089</v>
      </c>
      <c r="H368" s="124">
        <v>301</v>
      </c>
      <c r="I368" s="128" t="s">
        <v>5086</v>
      </c>
      <c r="J368" s="124">
        <v>0</v>
      </c>
      <c r="T368" s="124" t="s">
        <v>5090</v>
      </c>
      <c r="U368" s="124" t="s">
        <v>5087</v>
      </c>
      <c r="W368" s="124">
        <v>3</v>
      </c>
      <c r="X368" s="124" t="s">
        <v>3436</v>
      </c>
      <c r="Z368" s="124">
        <v>3</v>
      </c>
      <c r="AA368" s="124" t="s">
        <v>488</v>
      </c>
    </row>
    <row r="369" spans="1:34" s="124" customFormat="1">
      <c r="A369" s="124">
        <v>31740</v>
      </c>
      <c r="B369" s="124" t="s">
        <v>5046</v>
      </c>
      <c r="C369" s="124">
        <v>3</v>
      </c>
      <c r="E369" s="124" t="s">
        <v>5045</v>
      </c>
      <c r="F369" s="124">
        <v>1</v>
      </c>
      <c r="H369" s="124">
        <v>305</v>
      </c>
      <c r="I369" s="128" t="s">
        <v>4991</v>
      </c>
      <c r="J369" s="124">
        <v>0</v>
      </c>
      <c r="U369" s="124" t="s">
        <v>5051</v>
      </c>
      <c r="W369" s="124">
        <v>7</v>
      </c>
      <c r="X369" s="124" t="s">
        <v>5053</v>
      </c>
      <c r="Z369" s="124">
        <v>4</v>
      </c>
      <c r="AA369" s="124" t="s">
        <v>516</v>
      </c>
    </row>
    <row r="370" spans="1:34" s="124" customFormat="1">
      <c r="A370" s="124">
        <v>32740</v>
      </c>
      <c r="B370" s="124" t="s">
        <v>5047</v>
      </c>
      <c r="C370" s="124">
        <v>3</v>
      </c>
      <c r="E370" s="124" t="s">
        <v>5045</v>
      </c>
      <c r="F370" s="124">
        <v>2</v>
      </c>
      <c r="H370" s="124">
        <v>305</v>
      </c>
      <c r="I370" s="128" t="s">
        <v>4991</v>
      </c>
      <c r="J370" s="124">
        <v>0</v>
      </c>
      <c r="U370" s="124" t="s">
        <v>5051</v>
      </c>
      <c r="W370" s="124">
        <v>7</v>
      </c>
      <c r="X370" s="124" t="s">
        <v>5054</v>
      </c>
      <c r="Z370" s="124">
        <v>1</v>
      </c>
      <c r="AA370" s="124" t="s">
        <v>550</v>
      </c>
    </row>
    <row r="371" spans="1:34" s="124" customFormat="1">
      <c r="A371" s="124">
        <v>33760</v>
      </c>
      <c r="B371" s="124" t="s">
        <v>5048</v>
      </c>
      <c r="C371" s="124">
        <v>3</v>
      </c>
      <c r="E371" s="124" t="s">
        <v>5045</v>
      </c>
      <c r="F371" s="124">
        <v>3</v>
      </c>
      <c r="H371" s="124">
        <v>305</v>
      </c>
      <c r="I371" s="128" t="s">
        <v>4991</v>
      </c>
      <c r="J371" s="124">
        <v>0</v>
      </c>
      <c r="U371" s="124" t="s">
        <v>5051</v>
      </c>
      <c r="W371" s="124">
        <v>7</v>
      </c>
      <c r="X371" s="124" t="s">
        <v>5055</v>
      </c>
      <c r="Z371" s="124">
        <v>9</v>
      </c>
      <c r="AA371" s="124" t="s">
        <v>567</v>
      </c>
    </row>
    <row r="372" spans="1:34" s="124" customFormat="1">
      <c r="A372" s="124">
        <v>34770</v>
      </c>
      <c r="B372" s="124" t="s">
        <v>5049</v>
      </c>
      <c r="C372" s="124">
        <v>3</v>
      </c>
      <c r="E372" s="124" t="s">
        <v>5045</v>
      </c>
      <c r="F372" s="124">
        <v>4</v>
      </c>
      <c r="H372" s="124">
        <v>305</v>
      </c>
      <c r="I372" s="128" t="s">
        <v>4991</v>
      </c>
      <c r="J372" s="124">
        <v>0</v>
      </c>
      <c r="U372" s="124" t="s">
        <v>5051</v>
      </c>
      <c r="W372" s="124">
        <v>7</v>
      </c>
      <c r="X372" s="124" t="s">
        <v>5056</v>
      </c>
      <c r="Z372" s="124">
        <v>1</v>
      </c>
      <c r="AA372" s="124" t="s">
        <v>578</v>
      </c>
    </row>
    <row r="373" spans="1:34" s="124" customFormat="1">
      <c r="A373" s="124">
        <v>38210</v>
      </c>
      <c r="B373" s="124" t="s">
        <v>5050</v>
      </c>
      <c r="C373" s="124">
        <v>3</v>
      </c>
      <c r="E373" s="124" t="s">
        <v>5045</v>
      </c>
      <c r="F373" s="124">
        <v>8</v>
      </c>
      <c r="H373" s="124">
        <v>305</v>
      </c>
      <c r="I373" s="128" t="s">
        <v>4991</v>
      </c>
      <c r="J373" s="124">
        <v>0</v>
      </c>
      <c r="U373" s="124" t="s">
        <v>5051</v>
      </c>
      <c r="W373" s="124">
        <v>7</v>
      </c>
      <c r="X373" s="124" t="s">
        <v>5052</v>
      </c>
      <c r="Z373" s="124">
        <v>2</v>
      </c>
      <c r="AA373" s="124" t="s">
        <v>588</v>
      </c>
    </row>
    <row r="374" spans="1:34" s="124" customFormat="1" ht="15.75" customHeight="1">
      <c r="A374" s="124">
        <v>51530</v>
      </c>
      <c r="B374" s="124" t="s">
        <v>5102</v>
      </c>
      <c r="C374" s="124">
        <v>5</v>
      </c>
      <c r="E374" s="124" t="s">
        <v>5100</v>
      </c>
      <c r="F374" s="124">
        <v>1</v>
      </c>
      <c r="G374" s="124" t="s">
        <v>5107</v>
      </c>
      <c r="H374" s="124">
        <v>305</v>
      </c>
      <c r="I374" s="127" t="s">
        <v>4991</v>
      </c>
      <c r="J374" s="124">
        <v>2</v>
      </c>
      <c r="K374" s="124">
        <v>12</v>
      </c>
      <c r="S374" s="124" t="s">
        <v>5115</v>
      </c>
      <c r="T374" s="124" t="s">
        <v>5111</v>
      </c>
      <c r="U374" s="124" t="s">
        <v>5119</v>
      </c>
      <c r="W374" s="124">
        <v>7</v>
      </c>
      <c r="X374" s="124" t="s">
        <v>3604</v>
      </c>
      <c r="Z374" s="124">
        <v>7</v>
      </c>
      <c r="AA374" s="124" t="s">
        <v>540</v>
      </c>
      <c r="AB374" s="105"/>
      <c r="AD374" s="105"/>
      <c r="AE374" s="105"/>
      <c r="AF374" s="105"/>
      <c r="AG374" s="105"/>
      <c r="AH374" s="105"/>
    </row>
    <row r="375" spans="1:34" s="124" customFormat="1" ht="15.75" customHeight="1">
      <c r="A375" s="124">
        <v>52500</v>
      </c>
      <c r="B375" s="124" t="s">
        <v>5103</v>
      </c>
      <c r="C375" s="124">
        <v>5</v>
      </c>
      <c r="E375" s="124" t="s">
        <v>5100</v>
      </c>
      <c r="F375" s="124">
        <v>2</v>
      </c>
      <c r="G375" s="124" t="s">
        <v>5108</v>
      </c>
      <c r="H375" s="124">
        <v>305</v>
      </c>
      <c r="I375" s="127" t="s">
        <v>4991</v>
      </c>
      <c r="J375" s="124">
        <v>2</v>
      </c>
      <c r="K375" s="124">
        <v>22</v>
      </c>
      <c r="S375" s="124" t="s">
        <v>5116</v>
      </c>
      <c r="T375" s="124" t="s">
        <v>5112</v>
      </c>
      <c r="U375" s="124" t="s">
        <v>5160</v>
      </c>
      <c r="W375" s="124">
        <v>7</v>
      </c>
      <c r="X375" s="124" t="s">
        <v>3570</v>
      </c>
      <c r="Z375" s="124">
        <v>3</v>
      </c>
      <c r="AA375" s="124" t="s">
        <v>559</v>
      </c>
      <c r="AB375" s="105"/>
      <c r="AD375" s="105"/>
      <c r="AE375" s="105"/>
      <c r="AF375" s="105"/>
      <c r="AG375" s="105"/>
      <c r="AH375" s="105"/>
    </row>
    <row r="376" spans="1:34" s="124" customFormat="1">
      <c r="A376" s="124">
        <v>53530</v>
      </c>
      <c r="B376" s="124" t="s">
        <v>5104</v>
      </c>
      <c r="C376" s="124">
        <v>5</v>
      </c>
      <c r="E376" s="124" t="s">
        <v>5100</v>
      </c>
      <c r="F376" s="124">
        <v>3</v>
      </c>
      <c r="G376" s="124" t="s">
        <v>5109</v>
      </c>
      <c r="H376" s="124">
        <v>305</v>
      </c>
      <c r="I376" s="127" t="s">
        <v>4991</v>
      </c>
      <c r="J376" s="124">
        <v>2</v>
      </c>
      <c r="K376" s="124">
        <v>32</v>
      </c>
      <c r="S376" s="124" t="s">
        <v>5117</v>
      </c>
      <c r="T376" s="124" t="s">
        <v>5113</v>
      </c>
      <c r="U376" s="124" t="s">
        <v>5106</v>
      </c>
      <c r="W376" s="124">
        <v>7</v>
      </c>
      <c r="X376" s="124" t="s">
        <v>3832</v>
      </c>
      <c r="Z376" s="124">
        <v>3</v>
      </c>
      <c r="AA376" s="124" t="s">
        <v>574</v>
      </c>
      <c r="AB376" s="105"/>
      <c r="AD376" s="105"/>
      <c r="AE376" s="105"/>
      <c r="AF376" s="105"/>
      <c r="AG376" s="105"/>
      <c r="AH376" s="105"/>
    </row>
    <row r="377" spans="1:34" s="124" customFormat="1">
      <c r="A377" s="124">
        <v>54520</v>
      </c>
      <c r="B377" s="124" t="s">
        <v>5101</v>
      </c>
      <c r="C377" s="124">
        <v>5</v>
      </c>
      <c r="E377" s="124" t="s">
        <v>5100</v>
      </c>
      <c r="F377" s="124">
        <v>4</v>
      </c>
      <c r="G377" s="124" t="s">
        <v>5110</v>
      </c>
      <c r="H377" s="124">
        <v>305</v>
      </c>
      <c r="I377" s="127" t="s">
        <v>4991</v>
      </c>
      <c r="J377" s="124">
        <v>2</v>
      </c>
      <c r="K377" s="124">
        <v>42</v>
      </c>
      <c r="S377" s="124" t="s">
        <v>5118</v>
      </c>
      <c r="T377" s="124" t="s">
        <v>5114</v>
      </c>
      <c r="U377" s="124" t="s">
        <v>5105</v>
      </c>
      <c r="W377" s="124">
        <v>7</v>
      </c>
      <c r="X377" s="124" t="s">
        <v>4961</v>
      </c>
      <c r="Z377" s="124">
        <v>6</v>
      </c>
      <c r="AA377" s="124" t="s">
        <v>6307</v>
      </c>
      <c r="AB377" s="172"/>
      <c r="AD377" s="172"/>
      <c r="AE377" s="172"/>
      <c r="AF377" s="172"/>
      <c r="AG377" s="172"/>
      <c r="AH377" s="172"/>
    </row>
    <row r="378" spans="1:34" s="124" customFormat="1">
      <c r="A378" s="124">
        <v>72140</v>
      </c>
      <c r="B378" s="124" t="s">
        <v>5161</v>
      </c>
      <c r="C378" s="124">
        <v>7</v>
      </c>
      <c r="E378" s="124" t="s">
        <v>816</v>
      </c>
      <c r="F378" s="124">
        <v>2</v>
      </c>
      <c r="G378" s="124" t="s">
        <v>5213</v>
      </c>
      <c r="H378" s="124">
        <v>306</v>
      </c>
      <c r="I378" s="127" t="s">
        <v>4991</v>
      </c>
      <c r="J378" s="124">
        <v>1</v>
      </c>
      <c r="K378" s="124">
        <v>20701</v>
      </c>
      <c r="L378" s="124">
        <v>420703</v>
      </c>
      <c r="M378" s="124">
        <v>2</v>
      </c>
      <c r="N378" s="124">
        <v>17</v>
      </c>
      <c r="T378" s="124" t="s">
        <v>5215</v>
      </c>
      <c r="U378" s="124" t="s">
        <v>5162</v>
      </c>
      <c r="V378" s="124">
        <v>3</v>
      </c>
      <c r="W378" s="124">
        <v>7</v>
      </c>
      <c r="X378" s="124" t="s">
        <v>4989</v>
      </c>
      <c r="Z378" s="124">
        <v>0</v>
      </c>
      <c r="AA378" s="124" t="s">
        <v>557</v>
      </c>
      <c r="AB378" s="124" t="s">
        <v>5163</v>
      </c>
      <c r="AC378" s="124">
        <v>5</v>
      </c>
      <c r="AD378" s="124" t="s">
        <v>5164</v>
      </c>
      <c r="AE378" s="124" t="s">
        <v>5165</v>
      </c>
      <c r="AF378" s="124" t="s">
        <v>5166</v>
      </c>
      <c r="AG378" s="124" t="s">
        <v>5167</v>
      </c>
      <c r="AH378" s="124" t="s">
        <v>5168</v>
      </c>
    </row>
    <row r="379" spans="1:34" s="124" customFormat="1">
      <c r="A379" s="124">
        <v>74150</v>
      </c>
      <c r="B379" s="124" t="s">
        <v>5091</v>
      </c>
      <c r="C379" s="124">
        <v>7</v>
      </c>
      <c r="E379" s="124" t="s">
        <v>816</v>
      </c>
      <c r="F379" s="124">
        <v>4</v>
      </c>
      <c r="G379" s="124" t="s">
        <v>5214</v>
      </c>
      <c r="H379" s="124">
        <v>306</v>
      </c>
      <c r="I379" s="127" t="s">
        <v>4991</v>
      </c>
      <c r="J379" s="124">
        <v>1</v>
      </c>
      <c r="K379" s="124">
        <v>40711</v>
      </c>
      <c r="L379" s="124">
        <v>440713</v>
      </c>
      <c r="M379" s="124">
        <v>13</v>
      </c>
      <c r="N379" s="124">
        <v>25</v>
      </c>
      <c r="T379" s="124" t="s">
        <v>5216</v>
      </c>
      <c r="U379" s="124" t="s">
        <v>5092</v>
      </c>
      <c r="V379" s="124">
        <v>3</v>
      </c>
      <c r="W379" s="124">
        <v>7</v>
      </c>
      <c r="X379" s="124" t="s">
        <v>4990</v>
      </c>
      <c r="Z379" s="124">
        <v>0</v>
      </c>
      <c r="AA379" s="124" t="s">
        <v>3533</v>
      </c>
      <c r="AB379" s="124" t="s">
        <v>5094</v>
      </c>
      <c r="AC379" s="124">
        <v>5</v>
      </c>
      <c r="AD379" s="124" t="s">
        <v>5093</v>
      </c>
      <c r="AE379" s="124" t="s">
        <v>5095</v>
      </c>
      <c r="AF379" s="124" t="s">
        <v>5096</v>
      </c>
      <c r="AG379" s="124" t="s">
        <v>5097</v>
      </c>
      <c r="AH379" s="124" t="s">
        <v>5098</v>
      </c>
    </row>
    <row r="380" spans="1:34" s="124" customFormat="1">
      <c r="A380" s="124">
        <v>820114</v>
      </c>
      <c r="B380" s="124" t="s">
        <v>5169</v>
      </c>
      <c r="C380" s="124">
        <v>8</v>
      </c>
      <c r="E380" s="124" t="s">
        <v>747</v>
      </c>
      <c r="F380" s="124">
        <v>2</v>
      </c>
      <c r="H380" s="124">
        <v>305</v>
      </c>
      <c r="I380" s="128" t="s">
        <v>748</v>
      </c>
      <c r="R380" s="124" t="s">
        <v>4992</v>
      </c>
      <c r="W380" s="124" t="s">
        <v>4993</v>
      </c>
      <c r="X380" s="124" t="s">
        <v>536</v>
      </c>
      <c r="AA380" s="124" t="s">
        <v>557</v>
      </c>
    </row>
    <row r="381" spans="1:34" s="124" customFormat="1">
      <c r="A381" s="124">
        <v>820214</v>
      </c>
      <c r="B381" s="124" t="s">
        <v>5170</v>
      </c>
      <c r="C381" s="124">
        <v>8</v>
      </c>
      <c r="E381" s="124" t="s">
        <v>747</v>
      </c>
      <c r="F381" s="124">
        <v>2</v>
      </c>
      <c r="H381" s="124">
        <v>303</v>
      </c>
      <c r="I381" s="128" t="s">
        <v>748</v>
      </c>
      <c r="R381" s="124" t="s">
        <v>4994</v>
      </c>
      <c r="W381" s="124" t="s">
        <v>4995</v>
      </c>
      <c r="X381" s="124" t="s">
        <v>522</v>
      </c>
      <c r="AA381" s="124" t="s">
        <v>557</v>
      </c>
    </row>
    <row r="382" spans="1:34" s="124" customFormat="1">
      <c r="A382" s="124">
        <v>820314</v>
      </c>
      <c r="B382" s="124" t="s">
        <v>5171</v>
      </c>
      <c r="C382" s="124">
        <v>8</v>
      </c>
      <c r="E382" s="124" t="s">
        <v>747</v>
      </c>
      <c r="F382" s="124">
        <v>2</v>
      </c>
      <c r="H382" s="124">
        <v>301</v>
      </c>
      <c r="I382" s="128" t="s">
        <v>748</v>
      </c>
      <c r="R382" s="124" t="s">
        <v>4996</v>
      </c>
      <c r="W382" s="124" t="s">
        <v>4997</v>
      </c>
      <c r="X382" s="124" t="s">
        <v>551</v>
      </c>
      <c r="AA382" s="124" t="s">
        <v>557</v>
      </c>
    </row>
    <row r="383" spans="1:34" s="124" customFormat="1">
      <c r="A383" s="124">
        <v>820414</v>
      </c>
      <c r="B383" s="124" t="s">
        <v>5172</v>
      </c>
      <c r="C383" s="124">
        <v>8</v>
      </c>
      <c r="E383" s="124" t="s">
        <v>747</v>
      </c>
      <c r="F383" s="124">
        <v>2</v>
      </c>
      <c r="H383" s="124">
        <v>306</v>
      </c>
      <c r="I383" s="128" t="s">
        <v>748</v>
      </c>
      <c r="R383" s="124" t="s">
        <v>4998</v>
      </c>
      <c r="W383" s="124" t="s">
        <v>4999</v>
      </c>
      <c r="X383" s="124" t="s">
        <v>553</v>
      </c>
      <c r="AA383" s="124" t="s">
        <v>557</v>
      </c>
    </row>
    <row r="384" spans="1:34" s="124" customFormat="1">
      <c r="A384" s="124">
        <v>820514</v>
      </c>
      <c r="B384" s="124" t="s">
        <v>5173</v>
      </c>
      <c r="C384" s="124">
        <v>8</v>
      </c>
      <c r="E384" s="124" t="s">
        <v>747</v>
      </c>
      <c r="F384" s="124">
        <v>2</v>
      </c>
      <c r="H384" s="124">
        <v>303</v>
      </c>
      <c r="I384" s="128" t="s">
        <v>748</v>
      </c>
      <c r="R384" s="124" t="s">
        <v>5000</v>
      </c>
      <c r="W384" s="124" t="s">
        <v>5001</v>
      </c>
      <c r="X384" s="124" t="s">
        <v>558</v>
      </c>
      <c r="AA384" s="124" t="s">
        <v>557</v>
      </c>
    </row>
    <row r="385" spans="1:27" s="124" customFormat="1">
      <c r="A385" s="124">
        <v>820614</v>
      </c>
      <c r="B385" s="124" t="s">
        <v>5174</v>
      </c>
      <c r="C385" s="124">
        <v>8</v>
      </c>
      <c r="E385" s="124" t="s">
        <v>747</v>
      </c>
      <c r="F385" s="124">
        <v>2</v>
      </c>
      <c r="H385" s="124">
        <v>307</v>
      </c>
      <c r="I385" s="128" t="s">
        <v>748</v>
      </c>
      <c r="R385" s="124" t="s">
        <v>5002</v>
      </c>
      <c r="W385" s="124" t="s">
        <v>5003</v>
      </c>
      <c r="X385" s="124" t="s">
        <v>553</v>
      </c>
      <c r="AA385" s="124" t="s">
        <v>557</v>
      </c>
    </row>
    <row r="386" spans="1:27" s="124" customFormat="1">
      <c r="A386" s="124">
        <v>820714</v>
      </c>
      <c r="B386" s="124" t="s">
        <v>5175</v>
      </c>
      <c r="C386" s="124">
        <v>8</v>
      </c>
      <c r="E386" s="124" t="s">
        <v>747</v>
      </c>
      <c r="F386" s="124">
        <v>2</v>
      </c>
      <c r="H386" s="124">
        <v>308</v>
      </c>
      <c r="I386" s="128" t="s">
        <v>748</v>
      </c>
      <c r="R386" s="124" t="s">
        <v>5004</v>
      </c>
      <c r="W386" s="124" t="s">
        <v>5005</v>
      </c>
      <c r="X386" s="124" t="s">
        <v>558</v>
      </c>
      <c r="AA386" s="124" t="s">
        <v>557</v>
      </c>
    </row>
    <row r="387" spans="1:27" s="124" customFormat="1">
      <c r="A387" s="124">
        <v>820814</v>
      </c>
      <c r="B387" s="124" t="s">
        <v>5176</v>
      </c>
      <c r="C387" s="124">
        <v>8</v>
      </c>
      <c r="E387" s="124" t="s">
        <v>747</v>
      </c>
      <c r="F387" s="124">
        <v>2</v>
      </c>
      <c r="H387" s="124">
        <v>304</v>
      </c>
      <c r="I387" s="128" t="s">
        <v>748</v>
      </c>
      <c r="R387" s="124" t="s">
        <v>5006</v>
      </c>
      <c r="W387" s="124" t="s">
        <v>5007</v>
      </c>
      <c r="X387" s="124" t="s">
        <v>542</v>
      </c>
      <c r="AA387" s="124" t="s">
        <v>557</v>
      </c>
    </row>
    <row r="388" spans="1:27" s="124" customFormat="1">
      <c r="A388" s="124">
        <v>820914</v>
      </c>
      <c r="B388" s="124" t="s">
        <v>5177</v>
      </c>
      <c r="C388" s="124">
        <v>8</v>
      </c>
      <c r="E388" s="124" t="s">
        <v>747</v>
      </c>
      <c r="F388" s="124">
        <v>2</v>
      </c>
      <c r="H388" s="124">
        <v>301</v>
      </c>
      <c r="I388" s="128" t="s">
        <v>748</v>
      </c>
      <c r="R388" s="124" t="s">
        <v>5008</v>
      </c>
      <c r="W388" s="124" t="s">
        <v>5009</v>
      </c>
      <c r="X388" s="124" t="s">
        <v>564</v>
      </c>
      <c r="AA388" s="124" t="s">
        <v>557</v>
      </c>
    </row>
    <row r="389" spans="1:27" s="124" customFormat="1">
      <c r="A389" s="124">
        <v>821014</v>
      </c>
      <c r="B389" s="124" t="s">
        <v>5178</v>
      </c>
      <c r="C389" s="124">
        <v>8</v>
      </c>
      <c r="E389" s="124" t="s">
        <v>747</v>
      </c>
      <c r="F389" s="124">
        <v>2</v>
      </c>
      <c r="H389" s="124">
        <v>302</v>
      </c>
      <c r="I389" s="128" t="s">
        <v>748</v>
      </c>
      <c r="R389" s="124" t="s">
        <v>5010</v>
      </c>
      <c r="W389" s="124" t="s">
        <v>5011</v>
      </c>
      <c r="X389" s="124" t="s">
        <v>536</v>
      </c>
      <c r="AA389" s="124" t="s">
        <v>557</v>
      </c>
    </row>
    <row r="390" spans="1:27" s="124" customFormat="1">
      <c r="A390" s="124">
        <v>821114</v>
      </c>
      <c r="B390" s="124" t="s">
        <v>5179</v>
      </c>
      <c r="C390" s="124">
        <v>8</v>
      </c>
      <c r="E390" s="124" t="s">
        <v>747</v>
      </c>
      <c r="F390" s="124">
        <v>2</v>
      </c>
      <c r="H390" s="124">
        <v>302</v>
      </c>
      <c r="I390" s="128" t="s">
        <v>748</v>
      </c>
      <c r="R390" s="124" t="s">
        <v>5012</v>
      </c>
      <c r="W390" s="124" t="s">
        <v>5013</v>
      </c>
      <c r="X390" s="124" t="s">
        <v>536</v>
      </c>
      <c r="AA390" s="124" t="s">
        <v>557</v>
      </c>
    </row>
    <row r="391" spans="1:27" s="124" customFormat="1">
      <c r="A391" s="124">
        <v>821214</v>
      </c>
      <c r="B391" s="124" t="s">
        <v>5180</v>
      </c>
      <c r="C391" s="124">
        <v>8</v>
      </c>
      <c r="E391" s="124" t="s">
        <v>747</v>
      </c>
      <c r="F391" s="124">
        <v>2</v>
      </c>
      <c r="H391" s="124">
        <v>304</v>
      </c>
      <c r="I391" s="128" t="s">
        <v>748</v>
      </c>
      <c r="R391" s="124" t="s">
        <v>5014</v>
      </c>
      <c r="W391" s="124" t="s">
        <v>5015</v>
      </c>
      <c r="X391" s="124" t="s">
        <v>558</v>
      </c>
      <c r="AA391" s="124" t="s">
        <v>557</v>
      </c>
    </row>
    <row r="392" spans="1:27" s="124" customFormat="1">
      <c r="A392" s="124">
        <v>821314</v>
      </c>
      <c r="B392" s="124" t="s">
        <v>5181</v>
      </c>
      <c r="C392" s="124">
        <v>8</v>
      </c>
      <c r="E392" s="124" t="s">
        <v>747</v>
      </c>
      <c r="F392" s="124">
        <v>2</v>
      </c>
      <c r="H392" s="124">
        <v>305</v>
      </c>
      <c r="I392" s="128" t="s">
        <v>748</v>
      </c>
      <c r="R392" s="124" t="s">
        <v>5016</v>
      </c>
      <c r="W392" s="124" t="s">
        <v>5017</v>
      </c>
      <c r="X392" s="124" t="s">
        <v>551</v>
      </c>
      <c r="AA392" s="124" t="s">
        <v>557</v>
      </c>
    </row>
    <row r="393" spans="1:27" s="124" customFormat="1">
      <c r="A393" s="124">
        <v>840115</v>
      </c>
      <c r="B393" s="124" t="s">
        <v>5182</v>
      </c>
      <c r="C393" s="124">
        <v>8</v>
      </c>
      <c r="E393" s="124" t="s">
        <v>747</v>
      </c>
      <c r="F393" s="124">
        <v>4</v>
      </c>
      <c r="H393" s="124">
        <v>303</v>
      </c>
      <c r="I393" s="128" t="s">
        <v>748</v>
      </c>
      <c r="R393" s="124" t="s">
        <v>5018</v>
      </c>
      <c r="W393" s="124" t="s">
        <v>5019</v>
      </c>
      <c r="X393" s="124" t="s">
        <v>556</v>
      </c>
      <c r="AA393" s="124" t="s">
        <v>585</v>
      </c>
    </row>
    <row r="394" spans="1:27" s="124" customFormat="1">
      <c r="A394" s="124">
        <v>840215</v>
      </c>
      <c r="B394" s="124" t="s">
        <v>5183</v>
      </c>
      <c r="C394" s="124">
        <v>8</v>
      </c>
      <c r="E394" s="124" t="s">
        <v>747</v>
      </c>
      <c r="F394" s="124">
        <v>4</v>
      </c>
      <c r="H394" s="124">
        <v>302</v>
      </c>
      <c r="I394" s="128" t="s">
        <v>748</v>
      </c>
      <c r="R394" s="124" t="s">
        <v>5020</v>
      </c>
      <c r="W394" s="124" t="s">
        <v>5021</v>
      </c>
      <c r="X394" s="124" t="s">
        <v>558</v>
      </c>
      <c r="AA394" s="124" t="s">
        <v>585</v>
      </c>
    </row>
    <row r="395" spans="1:27" s="124" customFormat="1">
      <c r="A395" s="124">
        <v>840315</v>
      </c>
      <c r="B395" s="124" t="s">
        <v>5184</v>
      </c>
      <c r="C395" s="124">
        <v>8</v>
      </c>
      <c r="E395" s="124" t="s">
        <v>747</v>
      </c>
      <c r="F395" s="124">
        <v>4</v>
      </c>
      <c r="H395" s="124">
        <v>305</v>
      </c>
      <c r="I395" s="128" t="s">
        <v>748</v>
      </c>
      <c r="R395" s="124" t="s">
        <v>5022</v>
      </c>
      <c r="W395" s="124" t="s">
        <v>5023</v>
      </c>
      <c r="X395" s="124" t="s">
        <v>553</v>
      </c>
      <c r="AA395" s="124" t="s">
        <v>585</v>
      </c>
    </row>
    <row r="396" spans="1:27" s="124" customFormat="1">
      <c r="A396" s="124">
        <v>840415</v>
      </c>
      <c r="B396" s="124" t="s">
        <v>5185</v>
      </c>
      <c r="C396" s="124">
        <v>8</v>
      </c>
      <c r="E396" s="124" t="s">
        <v>747</v>
      </c>
      <c r="F396" s="124">
        <v>4</v>
      </c>
      <c r="H396" s="124">
        <v>307</v>
      </c>
      <c r="I396" s="128" t="s">
        <v>748</v>
      </c>
      <c r="R396" s="124" t="s">
        <v>5024</v>
      </c>
      <c r="W396" s="124" t="s">
        <v>5025</v>
      </c>
      <c r="X396" s="124" t="s">
        <v>570</v>
      </c>
      <c r="AA396" s="124" t="s">
        <v>585</v>
      </c>
    </row>
    <row r="397" spans="1:27" s="124" customFormat="1">
      <c r="A397" s="124">
        <v>840515</v>
      </c>
      <c r="B397" s="124" t="s">
        <v>5186</v>
      </c>
      <c r="C397" s="124">
        <v>8</v>
      </c>
      <c r="E397" s="124" t="s">
        <v>747</v>
      </c>
      <c r="F397" s="124">
        <v>4</v>
      </c>
      <c r="H397" s="124">
        <v>307</v>
      </c>
      <c r="I397" s="128" t="s">
        <v>748</v>
      </c>
      <c r="R397" s="124" t="s">
        <v>5026</v>
      </c>
      <c r="W397" s="124" t="s">
        <v>5027</v>
      </c>
      <c r="X397" s="124" t="s">
        <v>568</v>
      </c>
      <c r="AA397" s="124" t="s">
        <v>585</v>
      </c>
    </row>
    <row r="398" spans="1:27" s="124" customFormat="1">
      <c r="A398" s="124">
        <v>840615</v>
      </c>
      <c r="B398" s="124" t="s">
        <v>5187</v>
      </c>
      <c r="C398" s="124">
        <v>8</v>
      </c>
      <c r="E398" s="124" t="s">
        <v>747</v>
      </c>
      <c r="F398" s="124">
        <v>4</v>
      </c>
      <c r="H398" s="124">
        <v>306</v>
      </c>
      <c r="I398" s="128" t="s">
        <v>748</v>
      </c>
      <c r="R398" s="124" t="s">
        <v>5028</v>
      </c>
      <c r="W398" s="124" t="s">
        <v>5029</v>
      </c>
      <c r="X398" s="124" t="s">
        <v>562</v>
      </c>
      <c r="AA398" s="124" t="s">
        <v>585</v>
      </c>
    </row>
    <row r="399" spans="1:27" s="124" customFormat="1">
      <c r="A399" s="124">
        <v>840715</v>
      </c>
      <c r="B399" s="124" t="s">
        <v>5188</v>
      </c>
      <c r="C399" s="124">
        <v>8</v>
      </c>
      <c r="E399" s="124" t="s">
        <v>747</v>
      </c>
      <c r="F399" s="124">
        <v>4</v>
      </c>
      <c r="H399" s="124">
        <v>304</v>
      </c>
      <c r="I399" s="128" t="s">
        <v>748</v>
      </c>
      <c r="R399" s="124" t="s">
        <v>5030</v>
      </c>
      <c r="W399" s="124" t="s">
        <v>2453</v>
      </c>
      <c r="X399" s="124" t="s">
        <v>562</v>
      </c>
      <c r="AA399" s="124" t="s">
        <v>585</v>
      </c>
    </row>
    <row r="400" spans="1:27" s="124" customFormat="1">
      <c r="A400" s="124">
        <v>840815</v>
      </c>
      <c r="B400" s="124" t="s">
        <v>5189</v>
      </c>
      <c r="C400" s="124">
        <v>8</v>
      </c>
      <c r="E400" s="124" t="s">
        <v>747</v>
      </c>
      <c r="F400" s="124">
        <v>4</v>
      </c>
      <c r="H400" s="124">
        <v>301</v>
      </c>
      <c r="I400" s="128" t="s">
        <v>748</v>
      </c>
      <c r="R400" s="124" t="s">
        <v>5031</v>
      </c>
      <c r="W400" s="124" t="s">
        <v>5032</v>
      </c>
      <c r="X400" s="124" t="s">
        <v>547</v>
      </c>
      <c r="AA400" s="124" t="s">
        <v>585</v>
      </c>
    </row>
    <row r="401" spans="1:34" s="124" customFormat="1">
      <c r="A401" s="124">
        <v>840915</v>
      </c>
      <c r="B401" s="124" t="s">
        <v>5190</v>
      </c>
      <c r="C401" s="124">
        <v>8</v>
      </c>
      <c r="E401" s="124" t="s">
        <v>747</v>
      </c>
      <c r="F401" s="124">
        <v>4</v>
      </c>
      <c r="H401" s="124">
        <v>305</v>
      </c>
      <c r="I401" s="128" t="s">
        <v>748</v>
      </c>
      <c r="R401" s="124" t="s">
        <v>5033</v>
      </c>
      <c r="W401" s="124" t="s">
        <v>5034</v>
      </c>
      <c r="X401" s="124" t="s">
        <v>568</v>
      </c>
      <c r="AA401" s="124" t="s">
        <v>585</v>
      </c>
    </row>
    <row r="402" spans="1:34" s="124" customFormat="1">
      <c r="A402" s="124">
        <v>841015</v>
      </c>
      <c r="B402" s="124" t="s">
        <v>5191</v>
      </c>
      <c r="C402" s="124">
        <v>8</v>
      </c>
      <c r="E402" s="124" t="s">
        <v>747</v>
      </c>
      <c r="F402" s="124">
        <v>4</v>
      </c>
      <c r="H402" s="124">
        <v>301</v>
      </c>
      <c r="I402" s="128" t="s">
        <v>748</v>
      </c>
      <c r="R402" s="124" t="s">
        <v>5035</v>
      </c>
      <c r="W402" s="124" t="s">
        <v>5036</v>
      </c>
      <c r="X402" s="124" t="s">
        <v>468</v>
      </c>
      <c r="AA402" s="124" t="s">
        <v>585</v>
      </c>
    </row>
    <row r="403" spans="1:34" s="124" customFormat="1">
      <c r="A403" s="124">
        <v>841115</v>
      </c>
      <c r="B403" s="124" t="s">
        <v>5192</v>
      </c>
      <c r="C403" s="124">
        <v>8</v>
      </c>
      <c r="E403" s="124" t="s">
        <v>747</v>
      </c>
      <c r="F403" s="124">
        <v>4</v>
      </c>
      <c r="H403" s="124">
        <v>308</v>
      </c>
      <c r="I403" s="128" t="s">
        <v>748</v>
      </c>
      <c r="R403" s="124" t="s">
        <v>5037</v>
      </c>
      <c r="W403" s="124" t="s">
        <v>5038</v>
      </c>
      <c r="X403" s="124" t="s">
        <v>558</v>
      </c>
      <c r="AA403" s="124" t="s">
        <v>585</v>
      </c>
    </row>
    <row r="404" spans="1:34" s="124" customFormat="1">
      <c r="A404" s="124">
        <v>841215</v>
      </c>
      <c r="B404" s="124" t="s">
        <v>5193</v>
      </c>
      <c r="C404" s="124">
        <v>8</v>
      </c>
      <c r="E404" s="124" t="s">
        <v>747</v>
      </c>
      <c r="F404" s="124">
        <v>4</v>
      </c>
      <c r="H404" s="124">
        <v>304</v>
      </c>
      <c r="I404" s="128" t="s">
        <v>748</v>
      </c>
      <c r="R404" s="124" t="s">
        <v>5039</v>
      </c>
      <c r="W404" s="124" t="s">
        <v>5040</v>
      </c>
      <c r="X404" s="124" t="s">
        <v>562</v>
      </c>
      <c r="AA404" s="124" t="s">
        <v>585</v>
      </c>
    </row>
    <row r="405" spans="1:34" s="124" customFormat="1">
      <c r="A405" s="124">
        <v>841315</v>
      </c>
      <c r="B405" s="124" t="s">
        <v>5194</v>
      </c>
      <c r="C405" s="124">
        <v>8</v>
      </c>
      <c r="E405" s="124" t="s">
        <v>747</v>
      </c>
      <c r="F405" s="124">
        <v>4</v>
      </c>
      <c r="H405" s="124">
        <v>308</v>
      </c>
      <c r="I405" s="128" t="s">
        <v>748</v>
      </c>
      <c r="R405" s="124" t="s">
        <v>5041</v>
      </c>
      <c r="W405" s="124" t="s">
        <v>5042</v>
      </c>
      <c r="X405" s="124" t="s">
        <v>570</v>
      </c>
      <c r="AA405" s="124" t="s">
        <v>585</v>
      </c>
    </row>
    <row r="406" spans="1:34" s="124" customFormat="1">
      <c r="A406" s="124">
        <v>841415</v>
      </c>
      <c r="B406" s="124" t="s">
        <v>5195</v>
      </c>
      <c r="C406" s="124">
        <v>8</v>
      </c>
      <c r="E406" s="124" t="s">
        <v>747</v>
      </c>
      <c r="F406" s="124">
        <v>4</v>
      </c>
      <c r="H406" s="124">
        <v>303</v>
      </c>
      <c r="I406" s="128" t="s">
        <v>748</v>
      </c>
      <c r="R406" s="124" t="s">
        <v>5043</v>
      </c>
      <c r="W406" s="124" t="s">
        <v>5044</v>
      </c>
      <c r="X406" s="124" t="s">
        <v>558</v>
      </c>
      <c r="AA406" s="124" t="s">
        <v>585</v>
      </c>
    </row>
    <row r="407" spans="1:34" s="124" customFormat="1">
      <c r="I407" s="128"/>
    </row>
    <row r="408" spans="1:34" s="124" customFormat="1" ht="16.5" customHeight="1">
      <c r="A408" s="124">
        <v>33770</v>
      </c>
      <c r="B408" s="124" t="s">
        <v>5061</v>
      </c>
      <c r="C408" s="124">
        <v>3</v>
      </c>
      <c r="E408" s="124" t="s">
        <v>4983</v>
      </c>
      <c r="F408" s="124">
        <v>3</v>
      </c>
      <c r="G408" s="142" t="s">
        <v>5083</v>
      </c>
      <c r="H408" s="124">
        <v>302</v>
      </c>
      <c r="I408" s="128" t="s">
        <v>5057</v>
      </c>
      <c r="J408" s="124">
        <v>1</v>
      </c>
      <c r="K408" s="124">
        <v>30701</v>
      </c>
      <c r="T408" s="142" t="s">
        <v>5068</v>
      </c>
      <c r="U408" s="124" t="s">
        <v>5058</v>
      </c>
      <c r="W408" s="124" t="s">
        <v>940</v>
      </c>
      <c r="X408" s="124" t="s">
        <v>549</v>
      </c>
      <c r="Z408" s="124">
        <v>5</v>
      </c>
      <c r="AA408" s="124" t="s">
        <v>3532</v>
      </c>
      <c r="AB408" s="124" t="s">
        <v>5060</v>
      </c>
      <c r="AC408" s="124">
        <v>4</v>
      </c>
      <c r="AD408" s="124" t="s">
        <v>5064</v>
      </c>
      <c r="AE408" s="124" t="s">
        <v>5065</v>
      </c>
      <c r="AF408" s="124" t="s">
        <v>5066</v>
      </c>
      <c r="AG408" s="124" t="s">
        <v>5067</v>
      </c>
      <c r="AH408" s="124" t="s">
        <v>5063</v>
      </c>
    </row>
    <row r="409" spans="1:34" s="124" customFormat="1">
      <c r="A409" s="124">
        <v>43340</v>
      </c>
      <c r="B409" s="124" t="s">
        <v>5062</v>
      </c>
      <c r="C409" s="124">
        <v>4</v>
      </c>
      <c r="E409" s="124" t="s">
        <v>4983</v>
      </c>
      <c r="F409" s="124">
        <v>3</v>
      </c>
      <c r="G409" s="142" t="s">
        <v>5080</v>
      </c>
      <c r="H409" s="124">
        <v>305</v>
      </c>
      <c r="I409" s="128" t="s">
        <v>5057</v>
      </c>
      <c r="J409" s="124">
        <v>1</v>
      </c>
      <c r="K409" s="124">
        <v>30701</v>
      </c>
      <c r="S409" s="124" t="s">
        <v>5081</v>
      </c>
      <c r="T409" s="142" t="s">
        <v>5082</v>
      </c>
      <c r="U409" s="124" t="s">
        <v>5059</v>
      </c>
      <c r="W409" s="124" t="s">
        <v>4986</v>
      </c>
      <c r="X409" s="124" t="s">
        <v>4984</v>
      </c>
      <c r="Z409" s="124">
        <v>4</v>
      </c>
      <c r="AA409" s="124" t="s">
        <v>4985</v>
      </c>
      <c r="AB409" s="124" t="s">
        <v>5060</v>
      </c>
      <c r="AC409" s="124">
        <v>4</v>
      </c>
      <c r="AD409" s="124" t="s">
        <v>5064</v>
      </c>
      <c r="AE409" s="124" t="s">
        <v>5065</v>
      </c>
      <c r="AF409" s="124" t="s">
        <v>5066</v>
      </c>
      <c r="AG409" s="124" t="s">
        <v>5067</v>
      </c>
      <c r="AH409" s="124" t="s">
        <v>5063</v>
      </c>
    </row>
    <row r="410" spans="1:34" s="124" customFormat="1">
      <c r="A410" s="124">
        <v>31730</v>
      </c>
      <c r="B410" s="124" t="s">
        <v>4964</v>
      </c>
      <c r="C410" s="124">
        <v>3</v>
      </c>
      <c r="E410" s="124" t="s">
        <v>4958</v>
      </c>
      <c r="F410" s="124">
        <v>1</v>
      </c>
      <c r="G410" s="124" t="s">
        <v>4973</v>
      </c>
      <c r="H410" s="124">
        <v>301</v>
      </c>
      <c r="I410" s="128" t="s">
        <v>4959</v>
      </c>
      <c r="J410" s="124">
        <v>0</v>
      </c>
      <c r="T410" s="124" t="s">
        <v>4974</v>
      </c>
      <c r="U410" s="124" t="s">
        <v>5088</v>
      </c>
      <c r="W410" s="124">
        <v>6</v>
      </c>
      <c r="X410" s="124" t="s">
        <v>3574</v>
      </c>
      <c r="Z410" s="124">
        <v>5</v>
      </c>
      <c r="AA410" s="124" t="s">
        <v>456</v>
      </c>
    </row>
    <row r="411" spans="1:34" s="124" customFormat="1">
      <c r="A411" s="124">
        <v>32730</v>
      </c>
      <c r="B411" s="124" t="s">
        <v>4965</v>
      </c>
      <c r="C411" s="124">
        <v>3</v>
      </c>
      <c r="E411" s="124" t="s">
        <v>4958</v>
      </c>
      <c r="F411" s="124">
        <v>2</v>
      </c>
      <c r="G411" s="124" t="s">
        <v>4975</v>
      </c>
      <c r="H411" s="124">
        <v>301</v>
      </c>
      <c r="I411" s="128" t="s">
        <v>4959</v>
      </c>
      <c r="J411" s="124">
        <v>0</v>
      </c>
      <c r="T411" s="124" t="s">
        <v>4976</v>
      </c>
      <c r="U411" s="124" t="s">
        <v>4966</v>
      </c>
      <c r="W411" s="124">
        <v>6</v>
      </c>
      <c r="X411" s="124" t="s">
        <v>3604</v>
      </c>
      <c r="Z411" s="124">
        <v>7</v>
      </c>
      <c r="AA411" s="124" t="s">
        <v>546</v>
      </c>
    </row>
    <row r="412" spans="1:34" s="124" customFormat="1">
      <c r="A412" s="124">
        <v>33750</v>
      </c>
      <c r="B412" s="124" t="s">
        <v>4967</v>
      </c>
      <c r="C412" s="124">
        <v>3</v>
      </c>
      <c r="E412" s="124" t="s">
        <v>4958</v>
      </c>
      <c r="F412" s="124">
        <v>3</v>
      </c>
      <c r="G412" s="124" t="s">
        <v>4977</v>
      </c>
      <c r="H412" s="124">
        <v>301</v>
      </c>
      <c r="I412" s="128" t="s">
        <v>4959</v>
      </c>
      <c r="J412" s="124">
        <v>0</v>
      </c>
      <c r="T412" s="124" t="s">
        <v>4978</v>
      </c>
      <c r="U412" s="124" t="s">
        <v>4968</v>
      </c>
      <c r="W412" s="124">
        <v>6</v>
      </c>
      <c r="X412" s="124" t="s">
        <v>4960</v>
      </c>
      <c r="Z412" s="124">
        <v>6</v>
      </c>
      <c r="AA412" s="124" t="s">
        <v>571</v>
      </c>
    </row>
    <row r="413" spans="1:34" s="124" customFormat="1">
      <c r="A413" s="124">
        <v>34760</v>
      </c>
      <c r="B413" s="124" t="s">
        <v>4969</v>
      </c>
      <c r="C413" s="124">
        <v>3</v>
      </c>
      <c r="E413" s="124" t="s">
        <v>4958</v>
      </c>
      <c r="F413" s="124">
        <v>4</v>
      </c>
      <c r="G413" s="124" t="s">
        <v>4979</v>
      </c>
      <c r="H413" s="124">
        <v>301</v>
      </c>
      <c r="I413" s="128" t="s">
        <v>4959</v>
      </c>
      <c r="J413" s="124">
        <v>0</v>
      </c>
      <c r="T413" s="124" t="s">
        <v>4980</v>
      </c>
      <c r="U413" s="124" t="s">
        <v>4970</v>
      </c>
      <c r="W413" s="124">
        <v>6</v>
      </c>
      <c r="X413" s="124" t="s">
        <v>4961</v>
      </c>
      <c r="Z413" s="124">
        <v>3</v>
      </c>
      <c r="AA413" s="124" t="s">
        <v>579</v>
      </c>
    </row>
    <row r="414" spans="1:34" s="124" customFormat="1">
      <c r="A414" s="124">
        <v>38200</v>
      </c>
      <c r="B414" s="124" t="s">
        <v>4971</v>
      </c>
      <c r="C414" s="124">
        <v>3</v>
      </c>
      <c r="E414" s="124" t="s">
        <v>4958</v>
      </c>
      <c r="F414" s="124">
        <v>8</v>
      </c>
      <c r="G414" s="124" t="s">
        <v>4981</v>
      </c>
      <c r="H414" s="124">
        <v>301</v>
      </c>
      <c r="I414" s="128" t="s">
        <v>4959</v>
      </c>
      <c r="J414" s="124">
        <v>0</v>
      </c>
      <c r="T414" s="124" t="s">
        <v>4982</v>
      </c>
      <c r="U414" s="124" t="s">
        <v>4972</v>
      </c>
      <c r="W414" s="124">
        <v>6</v>
      </c>
      <c r="X414" s="124" t="s">
        <v>3835</v>
      </c>
      <c r="Z414" s="124">
        <v>3</v>
      </c>
      <c r="AA414" s="124" t="s">
        <v>588</v>
      </c>
    </row>
    <row r="415" spans="1:34" s="124" customFormat="1" ht="15.75" customHeight="1">
      <c r="A415" s="124">
        <v>51520</v>
      </c>
      <c r="B415" s="124" t="s">
        <v>5069</v>
      </c>
      <c r="C415" s="124">
        <v>5</v>
      </c>
      <c r="E415" s="124" t="s">
        <v>4963</v>
      </c>
      <c r="F415" s="124">
        <v>1</v>
      </c>
      <c r="G415" s="124" t="s">
        <v>5077</v>
      </c>
      <c r="H415" s="124">
        <v>302</v>
      </c>
      <c r="I415" s="127" t="s">
        <v>4959</v>
      </c>
      <c r="J415" s="124">
        <v>1</v>
      </c>
      <c r="K415" s="124">
        <v>10711</v>
      </c>
      <c r="L415" s="124">
        <v>410712</v>
      </c>
      <c r="M415" s="124">
        <v>19</v>
      </c>
      <c r="N415" s="124">
        <v>29</v>
      </c>
      <c r="S415" s="124" t="s">
        <v>5078</v>
      </c>
      <c r="T415" s="124" t="s">
        <v>5079</v>
      </c>
      <c r="U415" s="105" t="s">
        <v>5070</v>
      </c>
      <c r="W415" s="124">
        <v>7</v>
      </c>
      <c r="X415" s="124" t="s">
        <v>3436</v>
      </c>
      <c r="Z415" s="124">
        <v>9</v>
      </c>
      <c r="AA415" s="124" t="s">
        <v>537</v>
      </c>
      <c r="AB415" s="105" t="s">
        <v>5076</v>
      </c>
      <c r="AC415" s="124">
        <v>5</v>
      </c>
      <c r="AD415" s="124" t="s">
        <v>5071</v>
      </c>
      <c r="AE415" s="124" t="s">
        <v>5072</v>
      </c>
      <c r="AF415" s="124" t="s">
        <v>5073</v>
      </c>
      <c r="AG415" s="124" t="s">
        <v>5074</v>
      </c>
      <c r="AH415" s="124" t="s">
        <v>5075</v>
      </c>
    </row>
    <row r="417" spans="1:34" s="124" customFormat="1">
      <c r="A417" s="124">
        <v>33740</v>
      </c>
      <c r="B417" s="124" t="s">
        <v>4049</v>
      </c>
      <c r="C417" s="124">
        <v>3</v>
      </c>
      <c r="E417" s="124" t="s">
        <v>3527</v>
      </c>
      <c r="F417" s="124">
        <v>3</v>
      </c>
      <c r="G417" s="124" t="s">
        <v>4053</v>
      </c>
      <c r="H417" s="124">
        <v>303</v>
      </c>
      <c r="I417" s="128" t="s">
        <v>3526</v>
      </c>
      <c r="J417" s="124">
        <v>0</v>
      </c>
      <c r="T417" s="124" t="s">
        <v>4054</v>
      </c>
      <c r="U417" s="124" t="s">
        <v>4022</v>
      </c>
      <c r="W417" s="124">
        <v>3</v>
      </c>
      <c r="X417" s="124" t="s">
        <v>3319</v>
      </c>
      <c r="Z417" s="124">
        <v>2</v>
      </c>
      <c r="AA417" s="124" t="s">
        <v>565</v>
      </c>
    </row>
    <row r="418" spans="1:34" s="124" customFormat="1">
      <c r="A418" s="124">
        <v>53510</v>
      </c>
      <c r="B418" s="124" t="s">
        <v>4346</v>
      </c>
      <c r="C418" s="124">
        <v>5</v>
      </c>
      <c r="E418" s="124" t="s">
        <v>716</v>
      </c>
      <c r="F418" s="124">
        <v>3</v>
      </c>
      <c r="G418" s="124" t="s">
        <v>4347</v>
      </c>
      <c r="H418" s="124">
        <v>308</v>
      </c>
      <c r="I418" s="128" t="s">
        <v>4348</v>
      </c>
      <c r="J418" s="124">
        <v>1</v>
      </c>
      <c r="K418" s="124">
        <v>30661</v>
      </c>
      <c r="L418" s="124">
        <v>430663</v>
      </c>
      <c r="M418" s="124">
        <v>48</v>
      </c>
      <c r="N418" s="124">
        <v>69</v>
      </c>
      <c r="S418" s="124" t="s">
        <v>4349</v>
      </c>
      <c r="T418" s="124" t="s">
        <v>4350</v>
      </c>
      <c r="U418" s="124" t="s">
        <v>4351</v>
      </c>
      <c r="W418" s="124">
        <v>2</v>
      </c>
      <c r="X418" s="124" t="s">
        <v>551</v>
      </c>
      <c r="Z418" s="124">
        <v>9</v>
      </c>
      <c r="AA418" s="124" t="s">
        <v>572</v>
      </c>
      <c r="AB418" s="124" t="s">
        <v>4352</v>
      </c>
      <c r="AC418" s="124">
        <v>6</v>
      </c>
      <c r="AD418" s="124" t="s">
        <v>4353</v>
      </c>
      <c r="AE418" s="124" t="s">
        <v>4354</v>
      </c>
      <c r="AF418" s="124" t="s">
        <v>4355</v>
      </c>
      <c r="AG418" s="124" t="s">
        <v>4356</v>
      </c>
      <c r="AH418" s="124" t="s">
        <v>4357</v>
      </c>
    </row>
    <row r="419" spans="1:34" s="124" customFormat="1">
      <c r="A419" s="124">
        <v>74140</v>
      </c>
      <c r="B419" s="124" t="s">
        <v>4450</v>
      </c>
      <c r="C419" s="124">
        <v>7</v>
      </c>
      <c r="E419" s="124" t="s">
        <v>706</v>
      </c>
      <c r="F419" s="124">
        <v>4</v>
      </c>
      <c r="G419" s="124" t="s">
        <v>4451</v>
      </c>
      <c r="H419" s="124">
        <v>303</v>
      </c>
      <c r="I419" s="128" t="s">
        <v>3526</v>
      </c>
      <c r="J419" s="124">
        <v>1</v>
      </c>
      <c r="K419" s="124">
        <v>40681</v>
      </c>
      <c r="Q419" s="124">
        <v>1</v>
      </c>
      <c r="T419" s="124" t="s">
        <v>4452</v>
      </c>
      <c r="U419" s="124" t="s">
        <v>4453</v>
      </c>
      <c r="V419" s="124">
        <v>1</v>
      </c>
      <c r="W419" s="124">
        <v>5</v>
      </c>
      <c r="X419" s="124" t="s">
        <v>3604</v>
      </c>
      <c r="Z419" s="124">
        <v>0</v>
      </c>
      <c r="AA419" s="124" t="s">
        <v>586</v>
      </c>
      <c r="AB419" s="124" t="s">
        <v>4455</v>
      </c>
      <c r="AC419" s="124">
        <v>6</v>
      </c>
      <c r="AD419" s="124" t="s">
        <v>4456</v>
      </c>
      <c r="AE419" s="124" t="s">
        <v>4457</v>
      </c>
      <c r="AF419" s="124" t="s">
        <v>4458</v>
      </c>
      <c r="AG419" s="124" t="s">
        <v>4459</v>
      </c>
      <c r="AH419" s="124" t="s">
        <v>4460</v>
      </c>
    </row>
    <row r="420" spans="1:34" s="124" customFormat="1">
      <c r="A420" s="124">
        <v>840114</v>
      </c>
      <c r="B420" s="124" t="s">
        <v>4461</v>
      </c>
      <c r="C420" s="124">
        <v>8</v>
      </c>
      <c r="E420" s="126" t="s">
        <v>747</v>
      </c>
      <c r="F420" s="124">
        <v>4</v>
      </c>
      <c r="H420" s="124">
        <v>303</v>
      </c>
      <c r="I420" s="128" t="s">
        <v>748</v>
      </c>
      <c r="Q420" s="124">
        <v>1</v>
      </c>
      <c r="R420" s="124" t="s">
        <v>3706</v>
      </c>
      <c r="W420" s="124" t="s">
        <v>3707</v>
      </c>
      <c r="X420" s="124" t="s">
        <v>553</v>
      </c>
      <c r="AA420" s="124" t="s">
        <v>586</v>
      </c>
    </row>
    <row r="421" spans="1:34" s="124" customFormat="1">
      <c r="A421" s="124">
        <v>840214</v>
      </c>
      <c r="B421" s="124" t="s">
        <v>4462</v>
      </c>
      <c r="C421" s="124">
        <v>8</v>
      </c>
      <c r="E421" s="126" t="s">
        <v>747</v>
      </c>
      <c r="F421" s="124">
        <v>4</v>
      </c>
      <c r="H421" s="124">
        <v>302</v>
      </c>
      <c r="I421" s="128" t="s">
        <v>748</v>
      </c>
      <c r="Q421" s="124">
        <v>1</v>
      </c>
      <c r="R421" s="124" t="s">
        <v>3708</v>
      </c>
      <c r="W421" s="124" t="s">
        <v>3709</v>
      </c>
      <c r="X421" s="124" t="s">
        <v>551</v>
      </c>
      <c r="AA421" s="124" t="s">
        <v>586</v>
      </c>
    </row>
    <row r="422" spans="1:34" s="124" customFormat="1">
      <c r="A422" s="124">
        <v>840314</v>
      </c>
      <c r="B422" s="124" t="s">
        <v>4463</v>
      </c>
      <c r="C422" s="124">
        <v>8</v>
      </c>
      <c r="E422" s="126" t="s">
        <v>747</v>
      </c>
      <c r="F422" s="124">
        <v>4</v>
      </c>
      <c r="H422" s="124">
        <v>305</v>
      </c>
      <c r="I422" s="128" t="s">
        <v>748</v>
      </c>
      <c r="Q422" s="124">
        <v>1</v>
      </c>
      <c r="R422" s="124" t="s">
        <v>3710</v>
      </c>
      <c r="W422" s="124" t="s">
        <v>3711</v>
      </c>
      <c r="X422" s="124" t="s">
        <v>551</v>
      </c>
      <c r="AA422" s="124" t="s">
        <v>586</v>
      </c>
    </row>
    <row r="423" spans="1:34" s="124" customFormat="1">
      <c r="A423" s="124">
        <v>840414</v>
      </c>
      <c r="B423" s="124" t="s">
        <v>4464</v>
      </c>
      <c r="C423" s="124">
        <v>8</v>
      </c>
      <c r="E423" s="126" t="s">
        <v>747</v>
      </c>
      <c r="F423" s="124">
        <v>4</v>
      </c>
      <c r="H423" s="124">
        <v>307</v>
      </c>
      <c r="I423" s="128" t="s">
        <v>748</v>
      </c>
      <c r="Q423" s="124">
        <v>1</v>
      </c>
      <c r="R423" s="124" t="s">
        <v>3712</v>
      </c>
      <c r="W423" s="124" t="s">
        <v>3713</v>
      </c>
      <c r="X423" s="124" t="s">
        <v>539</v>
      </c>
      <c r="AA423" s="124" t="s">
        <v>586</v>
      </c>
    </row>
    <row r="424" spans="1:34" s="124" customFormat="1">
      <c r="A424" s="124">
        <v>840514</v>
      </c>
      <c r="B424" s="124" t="s">
        <v>4465</v>
      </c>
      <c r="C424" s="124">
        <v>8</v>
      </c>
      <c r="E424" s="126" t="s">
        <v>747</v>
      </c>
      <c r="F424" s="124">
        <v>4</v>
      </c>
      <c r="H424" s="124">
        <v>307</v>
      </c>
      <c r="I424" s="128" t="s">
        <v>748</v>
      </c>
      <c r="Q424" s="124">
        <v>1</v>
      </c>
      <c r="R424" s="124" t="s">
        <v>3714</v>
      </c>
      <c r="W424" s="124" t="s">
        <v>3715</v>
      </c>
      <c r="X424" s="124" t="s">
        <v>484</v>
      </c>
      <c r="AA424" s="124" t="s">
        <v>586</v>
      </c>
    </row>
    <row r="425" spans="1:34" s="124" customFormat="1">
      <c r="A425" s="124">
        <v>840614</v>
      </c>
      <c r="B425" s="124" t="s">
        <v>4466</v>
      </c>
      <c r="C425" s="124">
        <v>8</v>
      </c>
      <c r="E425" s="126" t="s">
        <v>747</v>
      </c>
      <c r="F425" s="124">
        <v>4</v>
      </c>
      <c r="H425" s="124">
        <v>306</v>
      </c>
      <c r="I425" s="128" t="s">
        <v>748</v>
      </c>
      <c r="Q425" s="124">
        <v>1</v>
      </c>
      <c r="R425" s="124" t="s">
        <v>3716</v>
      </c>
      <c r="W425" s="124" t="s">
        <v>3717</v>
      </c>
      <c r="X425" s="124" t="s">
        <v>499</v>
      </c>
      <c r="AA425" s="124" t="s">
        <v>586</v>
      </c>
    </row>
    <row r="426" spans="1:34" s="124" customFormat="1">
      <c r="A426" s="124">
        <v>840714</v>
      </c>
      <c r="B426" s="124" t="s">
        <v>4467</v>
      </c>
      <c r="C426" s="124">
        <v>8</v>
      </c>
      <c r="E426" s="126" t="s">
        <v>747</v>
      </c>
      <c r="F426" s="124">
        <v>4</v>
      </c>
      <c r="H426" s="124">
        <v>304</v>
      </c>
      <c r="I426" s="128" t="s">
        <v>748</v>
      </c>
      <c r="Q426" s="124">
        <v>1</v>
      </c>
      <c r="R426" s="124" t="s">
        <v>3718</v>
      </c>
      <c r="W426" s="124" t="s">
        <v>3719</v>
      </c>
      <c r="X426" s="124" t="s">
        <v>522</v>
      </c>
      <c r="AA426" s="124" t="s">
        <v>586</v>
      </c>
    </row>
    <row r="427" spans="1:34" s="124" customFormat="1">
      <c r="A427" s="124">
        <v>840814</v>
      </c>
      <c r="B427" s="124" t="s">
        <v>4468</v>
      </c>
      <c r="C427" s="124">
        <v>8</v>
      </c>
      <c r="E427" s="126" t="s">
        <v>747</v>
      </c>
      <c r="F427" s="124">
        <v>4</v>
      </c>
      <c r="H427" s="124">
        <v>301</v>
      </c>
      <c r="I427" s="128" t="s">
        <v>748</v>
      </c>
      <c r="Q427" s="124">
        <v>1</v>
      </c>
      <c r="R427" s="124" t="s">
        <v>3720</v>
      </c>
      <c r="W427" s="124" t="s">
        <v>3721</v>
      </c>
      <c r="X427" s="124" t="s">
        <v>522</v>
      </c>
      <c r="AA427" s="124" t="s">
        <v>586</v>
      </c>
    </row>
    <row r="428" spans="1:34" s="124" customFormat="1">
      <c r="A428" s="124">
        <v>840914</v>
      </c>
      <c r="B428" s="124" t="s">
        <v>4469</v>
      </c>
      <c r="C428" s="124">
        <v>8</v>
      </c>
      <c r="E428" s="126" t="s">
        <v>747</v>
      </c>
      <c r="F428" s="124">
        <v>4</v>
      </c>
      <c r="H428" s="124">
        <v>305</v>
      </c>
      <c r="I428" s="128" t="s">
        <v>748</v>
      </c>
      <c r="Q428" s="124">
        <v>1</v>
      </c>
      <c r="R428" s="124" t="s">
        <v>3722</v>
      </c>
      <c r="W428" s="124" t="s">
        <v>3723</v>
      </c>
      <c r="X428" s="124" t="s">
        <v>549</v>
      </c>
      <c r="AA428" s="124" t="s">
        <v>586</v>
      </c>
    </row>
    <row r="429" spans="1:34" s="124" customFormat="1">
      <c r="A429" s="124">
        <v>841014</v>
      </c>
      <c r="B429" s="124" t="s">
        <v>4470</v>
      </c>
      <c r="C429" s="124">
        <v>8</v>
      </c>
      <c r="E429" s="126" t="s">
        <v>747</v>
      </c>
      <c r="F429" s="124">
        <v>4</v>
      </c>
      <c r="H429" s="124">
        <v>301</v>
      </c>
      <c r="I429" s="128" t="s">
        <v>748</v>
      </c>
      <c r="Q429" s="124">
        <v>1</v>
      </c>
      <c r="R429" s="124" t="s">
        <v>3724</v>
      </c>
      <c r="W429" s="124" t="s">
        <v>3725</v>
      </c>
      <c r="X429" s="124" t="s">
        <v>522</v>
      </c>
      <c r="AA429" s="124" t="s">
        <v>586</v>
      </c>
    </row>
    <row r="430" spans="1:34" s="124" customFormat="1">
      <c r="A430" s="124">
        <v>841114</v>
      </c>
      <c r="B430" s="124" t="s">
        <v>4471</v>
      </c>
      <c r="C430" s="124">
        <v>8</v>
      </c>
      <c r="E430" s="126" t="s">
        <v>747</v>
      </c>
      <c r="F430" s="124">
        <v>4</v>
      </c>
      <c r="H430" s="124">
        <v>308</v>
      </c>
      <c r="I430" s="128" t="s">
        <v>748</v>
      </c>
      <c r="Q430" s="124">
        <v>1</v>
      </c>
      <c r="R430" s="124" t="s">
        <v>3726</v>
      </c>
      <c r="W430" s="124" t="s">
        <v>3727</v>
      </c>
      <c r="X430" s="124" t="s">
        <v>553</v>
      </c>
      <c r="AA430" s="124" t="s">
        <v>586</v>
      </c>
    </row>
    <row r="431" spans="1:34" s="124" customFormat="1">
      <c r="A431" s="124">
        <v>841214</v>
      </c>
      <c r="B431" s="124" t="s">
        <v>4472</v>
      </c>
      <c r="C431" s="124">
        <v>8</v>
      </c>
      <c r="E431" s="126" t="s">
        <v>747</v>
      </c>
      <c r="F431" s="124">
        <v>4</v>
      </c>
      <c r="H431" s="124">
        <v>304</v>
      </c>
      <c r="I431" s="128" t="s">
        <v>748</v>
      </c>
      <c r="Q431" s="124">
        <v>1</v>
      </c>
      <c r="R431" s="124" t="s">
        <v>3728</v>
      </c>
      <c r="W431" s="124" t="s">
        <v>3729</v>
      </c>
      <c r="X431" s="124" t="s">
        <v>439</v>
      </c>
      <c r="AA431" s="124" t="s">
        <v>586</v>
      </c>
    </row>
    <row r="432" spans="1:34" s="124" customFormat="1">
      <c r="A432" s="124">
        <v>841314</v>
      </c>
      <c r="B432" s="124" t="s">
        <v>4473</v>
      </c>
      <c r="C432" s="124">
        <v>8</v>
      </c>
      <c r="E432" s="126" t="s">
        <v>747</v>
      </c>
      <c r="F432" s="124">
        <v>4</v>
      </c>
      <c r="H432" s="124">
        <v>308</v>
      </c>
      <c r="I432" s="128" t="s">
        <v>748</v>
      </c>
      <c r="Q432" s="124">
        <v>1</v>
      </c>
      <c r="R432" s="124" t="s">
        <v>3730</v>
      </c>
      <c r="W432" s="124" t="s">
        <v>3731</v>
      </c>
      <c r="X432" s="124" t="s">
        <v>539</v>
      </c>
      <c r="AA432" s="124" t="s">
        <v>586</v>
      </c>
    </row>
    <row r="433" spans="1:39" s="124" customFormat="1" ht="14.25" customHeight="1">
      <c r="E433" s="126"/>
      <c r="I433" s="127"/>
      <c r="AM433" s="126"/>
    </row>
    <row r="434" spans="1:39" s="124" customFormat="1" ht="15.75" customHeight="1">
      <c r="A434" s="124">
        <v>51510</v>
      </c>
      <c r="B434" s="124" t="s">
        <v>4032</v>
      </c>
      <c r="C434" s="124">
        <v>5</v>
      </c>
      <c r="E434" s="124" t="s">
        <v>4031</v>
      </c>
      <c r="F434" s="124">
        <v>1</v>
      </c>
      <c r="G434" s="124" t="s">
        <v>4142</v>
      </c>
      <c r="H434" s="124">
        <v>305</v>
      </c>
      <c r="I434" s="127" t="s">
        <v>4696</v>
      </c>
      <c r="J434" s="124">
        <v>1</v>
      </c>
      <c r="K434" s="124">
        <v>10691</v>
      </c>
      <c r="L434" s="124">
        <v>410692</v>
      </c>
      <c r="M434" s="124">
        <v>66</v>
      </c>
      <c r="N434" s="124">
        <v>83</v>
      </c>
      <c r="S434" s="124" t="s">
        <v>4151</v>
      </c>
      <c r="T434" s="124" t="s">
        <v>4143</v>
      </c>
      <c r="U434" s="105" t="s">
        <v>4033</v>
      </c>
      <c r="W434" s="124">
        <v>7</v>
      </c>
      <c r="X434" s="124" t="s">
        <v>3832</v>
      </c>
      <c r="Z434" s="124">
        <v>3</v>
      </c>
      <c r="AA434" s="124" t="s">
        <v>525</v>
      </c>
      <c r="AB434" s="105" t="s">
        <v>4034</v>
      </c>
      <c r="AC434" s="124">
        <v>6</v>
      </c>
      <c r="AD434" s="124" t="s">
        <v>4050</v>
      </c>
      <c r="AE434" s="124" t="s">
        <v>4051</v>
      </c>
      <c r="AF434" s="124" t="s">
        <v>4035</v>
      </c>
      <c r="AG434" s="124" t="s">
        <v>4036</v>
      </c>
      <c r="AH434" s="124" t="s">
        <v>4037</v>
      </c>
    </row>
    <row r="435" spans="1:39" s="124" customFormat="1" ht="15.75" customHeight="1">
      <c r="A435" s="124">
        <v>52490</v>
      </c>
      <c r="B435" s="124" t="s">
        <v>4038</v>
      </c>
      <c r="C435" s="124">
        <v>5</v>
      </c>
      <c r="E435" s="124" t="s">
        <v>4031</v>
      </c>
      <c r="F435" s="124">
        <v>2</v>
      </c>
      <c r="G435" s="124" t="s">
        <v>4144</v>
      </c>
      <c r="H435" s="124">
        <v>305</v>
      </c>
      <c r="I435" s="127" t="s">
        <v>4696</v>
      </c>
      <c r="J435" s="124">
        <v>1</v>
      </c>
      <c r="K435" s="124">
        <v>20681</v>
      </c>
      <c r="L435" s="124">
        <v>420683</v>
      </c>
      <c r="M435" s="124">
        <v>33</v>
      </c>
      <c r="N435" s="124">
        <v>50</v>
      </c>
      <c r="S435" s="124" t="s">
        <v>4152</v>
      </c>
      <c r="T435" s="124" t="s">
        <v>4145</v>
      </c>
      <c r="U435" s="106" t="s">
        <v>4039</v>
      </c>
      <c r="W435" s="124">
        <v>7</v>
      </c>
      <c r="X435" s="124" t="s">
        <v>3833</v>
      </c>
      <c r="Z435" s="124">
        <v>5</v>
      </c>
      <c r="AA435" s="124" t="s">
        <v>557</v>
      </c>
      <c r="AB435" s="106" t="s">
        <v>4047</v>
      </c>
      <c r="AC435" s="124">
        <v>6</v>
      </c>
      <c r="AD435" s="124" t="s">
        <v>4040</v>
      </c>
      <c r="AE435" s="124" t="s">
        <v>4041</v>
      </c>
      <c r="AF435" s="124" t="s">
        <v>4042</v>
      </c>
      <c r="AG435" s="124" t="s">
        <v>4043</v>
      </c>
      <c r="AH435" s="124" t="s">
        <v>4044</v>
      </c>
    </row>
    <row r="436" spans="1:39" s="124" customFormat="1">
      <c r="A436" s="124">
        <v>53520</v>
      </c>
      <c r="B436" s="124" t="s">
        <v>4027</v>
      </c>
      <c r="C436" s="124">
        <v>5</v>
      </c>
      <c r="E436" s="124" t="s">
        <v>4030</v>
      </c>
      <c r="F436" s="124">
        <v>3</v>
      </c>
      <c r="G436" s="124" t="s">
        <v>4146</v>
      </c>
      <c r="H436" s="124">
        <v>305</v>
      </c>
      <c r="I436" s="127" t="s">
        <v>4716</v>
      </c>
      <c r="J436" s="124">
        <v>1</v>
      </c>
      <c r="K436" s="124">
        <v>30681</v>
      </c>
      <c r="L436" s="124">
        <v>430682</v>
      </c>
      <c r="M436" s="124">
        <v>77</v>
      </c>
      <c r="N436" s="124">
        <v>91</v>
      </c>
      <c r="S436" s="124" t="s">
        <v>4155</v>
      </c>
      <c r="T436" s="124" t="s">
        <v>4147</v>
      </c>
      <c r="U436" s="105" t="s">
        <v>4028</v>
      </c>
      <c r="W436" s="124">
        <v>7</v>
      </c>
      <c r="X436" s="124" t="s">
        <v>3834</v>
      </c>
      <c r="Z436" s="124">
        <v>7</v>
      </c>
      <c r="AA436" s="124" t="s">
        <v>575</v>
      </c>
      <c r="AB436" s="105" t="s">
        <v>4029</v>
      </c>
      <c r="AC436" s="124">
        <v>6</v>
      </c>
      <c r="AD436" s="124" t="s">
        <v>4023</v>
      </c>
      <c r="AE436" s="124" t="s">
        <v>4052</v>
      </c>
      <c r="AF436" s="124" t="s">
        <v>4024</v>
      </c>
      <c r="AG436" s="124" t="s">
        <v>4025</v>
      </c>
      <c r="AH436" s="124" t="s">
        <v>4026</v>
      </c>
    </row>
    <row r="437" spans="1:39" s="124" customFormat="1">
      <c r="A437" s="124">
        <v>54510</v>
      </c>
      <c r="B437" s="124" t="s">
        <v>4045</v>
      </c>
      <c r="C437" s="124">
        <v>5</v>
      </c>
      <c r="E437" s="124" t="s">
        <v>4030</v>
      </c>
      <c r="F437" s="124">
        <v>4</v>
      </c>
      <c r="G437" s="124" t="s">
        <v>4148</v>
      </c>
      <c r="H437" s="124">
        <v>305</v>
      </c>
      <c r="I437" s="127" t="s">
        <v>4716</v>
      </c>
      <c r="J437" s="124">
        <v>1</v>
      </c>
      <c r="K437" s="124">
        <v>40701</v>
      </c>
      <c r="L437" s="107">
        <v>440703</v>
      </c>
      <c r="M437" s="107">
        <v>35</v>
      </c>
      <c r="N437" s="107">
        <v>49</v>
      </c>
      <c r="S437" s="124" t="s">
        <v>4153</v>
      </c>
      <c r="T437" s="124" t="s">
        <v>4149</v>
      </c>
      <c r="U437" s="106" t="s">
        <v>4135</v>
      </c>
      <c r="W437" s="124">
        <v>7</v>
      </c>
      <c r="X437" s="124" t="s">
        <v>3835</v>
      </c>
      <c r="Z437" s="124">
        <v>3</v>
      </c>
      <c r="AA437" s="124" t="s">
        <v>586</v>
      </c>
      <c r="AB437" s="124" t="s">
        <v>4305</v>
      </c>
      <c r="AC437" s="124">
        <v>6</v>
      </c>
      <c r="AD437" s="124" t="s">
        <v>4306</v>
      </c>
      <c r="AE437" s="124" t="s">
        <v>4307</v>
      </c>
      <c r="AF437" s="124" t="s">
        <v>4308</v>
      </c>
      <c r="AG437" s="124" t="s">
        <v>4309</v>
      </c>
      <c r="AH437" s="124" t="s">
        <v>4310</v>
      </c>
    </row>
    <row r="438" spans="1:39" s="124" customFormat="1">
      <c r="A438" s="124">
        <v>58080</v>
      </c>
      <c r="B438" s="124" t="s">
        <v>4046</v>
      </c>
      <c r="C438" s="124">
        <v>5</v>
      </c>
      <c r="E438" s="124" t="s">
        <v>4030</v>
      </c>
      <c r="F438" s="124">
        <v>8</v>
      </c>
      <c r="G438" s="124" t="s">
        <v>4150</v>
      </c>
      <c r="H438" s="124">
        <v>306</v>
      </c>
      <c r="I438" s="127" t="s">
        <v>4716</v>
      </c>
      <c r="J438" s="124">
        <v>1</v>
      </c>
      <c r="K438" s="124">
        <v>80131</v>
      </c>
      <c r="L438" s="124">
        <v>480132</v>
      </c>
      <c r="M438" s="124">
        <v>52</v>
      </c>
      <c r="N438" s="124">
        <v>67</v>
      </c>
      <c r="S438" s="124" t="s">
        <v>4154</v>
      </c>
      <c r="T438" s="124" t="s">
        <v>4150</v>
      </c>
      <c r="U438" s="105" t="s">
        <v>4136</v>
      </c>
      <c r="W438" s="124">
        <v>7</v>
      </c>
      <c r="X438" s="124" t="s">
        <v>3435</v>
      </c>
      <c r="Z438" s="124">
        <v>9</v>
      </c>
      <c r="AA438" s="124" t="s">
        <v>589</v>
      </c>
      <c r="AB438" s="105" t="s">
        <v>4048</v>
      </c>
      <c r="AC438" s="124">
        <v>6</v>
      </c>
      <c r="AD438" s="105" t="s">
        <v>4137</v>
      </c>
      <c r="AE438" s="124" t="s">
        <v>4138</v>
      </c>
      <c r="AF438" s="105" t="s">
        <v>4139</v>
      </c>
      <c r="AG438" s="105" t="s">
        <v>4140</v>
      </c>
      <c r="AH438" s="105" t="s">
        <v>4141</v>
      </c>
    </row>
    <row r="439" spans="1:39" s="124" customFormat="1">
      <c r="A439" s="124">
        <v>61050</v>
      </c>
      <c r="B439" s="124" t="s">
        <v>4358</v>
      </c>
      <c r="C439" s="124">
        <v>6</v>
      </c>
      <c r="E439" s="126" t="s">
        <v>4717</v>
      </c>
      <c r="F439" s="124">
        <v>1</v>
      </c>
      <c r="H439" s="124">
        <v>304</v>
      </c>
      <c r="I439" s="127" t="s">
        <v>4696</v>
      </c>
      <c r="J439" s="124">
        <v>3</v>
      </c>
      <c r="K439" s="124">
        <v>15051</v>
      </c>
      <c r="L439" s="124">
        <v>415052</v>
      </c>
      <c r="M439" s="124">
        <v>65</v>
      </c>
      <c r="N439" s="124">
        <v>80</v>
      </c>
      <c r="T439" s="124" t="s">
        <v>4361</v>
      </c>
      <c r="U439" s="124" t="s">
        <v>4432</v>
      </c>
      <c r="W439" s="124">
        <v>7</v>
      </c>
      <c r="X439" s="124" t="s">
        <v>3570</v>
      </c>
      <c r="Z439" s="124">
        <v>0</v>
      </c>
      <c r="AA439" s="124" t="s">
        <v>525</v>
      </c>
      <c r="AB439" s="124" t="s">
        <v>4365</v>
      </c>
      <c r="AC439" s="124">
        <v>9</v>
      </c>
      <c r="AD439" s="124" t="s">
        <v>4368</v>
      </c>
      <c r="AE439" s="124" t="s">
        <v>4369</v>
      </c>
      <c r="AF439" s="124" t="s">
        <v>4370</v>
      </c>
      <c r="AG439" s="124" t="s">
        <v>4371</v>
      </c>
      <c r="AH439" s="124" t="s">
        <v>4372</v>
      </c>
      <c r="AI439" s="124" t="s">
        <v>4373</v>
      </c>
      <c r="AJ439" s="124">
        <v>5</v>
      </c>
      <c r="AK439" s="124">
        <v>0</v>
      </c>
      <c r="AL439" s="124">
        <v>1</v>
      </c>
      <c r="AM439" s="126" t="s">
        <v>3600</v>
      </c>
    </row>
    <row r="440" spans="1:39" s="124" customFormat="1" ht="14.25" customHeight="1">
      <c r="A440" s="124">
        <v>62040</v>
      </c>
      <c r="B440" s="124" t="s">
        <v>4132</v>
      </c>
      <c r="C440" s="124">
        <v>6</v>
      </c>
      <c r="E440" s="126" t="s">
        <v>4718</v>
      </c>
      <c r="F440" s="124">
        <v>2</v>
      </c>
      <c r="H440" s="124">
        <v>304</v>
      </c>
      <c r="I440" s="127" t="s">
        <v>4696</v>
      </c>
      <c r="J440" s="124">
        <v>3</v>
      </c>
      <c r="K440" s="124">
        <v>25041</v>
      </c>
      <c r="L440" s="124">
        <v>425042</v>
      </c>
      <c r="M440" s="124">
        <v>45</v>
      </c>
      <c r="N440" s="124">
        <v>58</v>
      </c>
      <c r="T440" s="124" t="s">
        <v>4134</v>
      </c>
      <c r="U440" s="124" t="s">
        <v>4433</v>
      </c>
      <c r="W440" s="124">
        <v>7</v>
      </c>
      <c r="X440" s="124" t="s">
        <v>3572</v>
      </c>
      <c r="Z440" s="124">
        <v>0</v>
      </c>
      <c r="AA440" s="124" t="s">
        <v>552</v>
      </c>
      <c r="AB440" s="124" t="s">
        <v>4133</v>
      </c>
      <c r="AC440" s="124">
        <v>9</v>
      </c>
      <c r="AD440" s="124" t="s">
        <v>4156</v>
      </c>
      <c r="AE440" s="124" t="s">
        <v>4157</v>
      </c>
      <c r="AF440" s="124" t="s">
        <v>4158</v>
      </c>
      <c r="AG440" s="124" t="s">
        <v>4159</v>
      </c>
      <c r="AH440" s="124" t="s">
        <v>4160</v>
      </c>
      <c r="AI440" s="124" t="s">
        <v>4161</v>
      </c>
      <c r="AJ440" s="124">
        <v>5</v>
      </c>
      <c r="AK440" s="124">
        <v>0</v>
      </c>
      <c r="AL440" s="124">
        <v>1</v>
      </c>
      <c r="AM440" s="126" t="s">
        <v>4311</v>
      </c>
    </row>
    <row r="441" spans="1:39" s="124" customFormat="1" ht="14.25" customHeight="1">
      <c r="A441" s="124">
        <v>63040</v>
      </c>
      <c r="B441" s="124" t="s">
        <v>4583</v>
      </c>
      <c r="C441" s="124">
        <v>6</v>
      </c>
      <c r="E441" s="126" t="s">
        <v>4719</v>
      </c>
      <c r="F441" s="124">
        <v>3</v>
      </c>
      <c r="G441" s="142"/>
      <c r="H441" s="124">
        <v>304</v>
      </c>
      <c r="I441" s="127" t="s">
        <v>4696</v>
      </c>
      <c r="J441" s="124">
        <v>3</v>
      </c>
      <c r="K441" s="124">
        <v>35041</v>
      </c>
      <c r="L441" s="124">
        <v>435042</v>
      </c>
      <c r="M441" s="124">
        <v>57</v>
      </c>
      <c r="N441" s="124">
        <v>76</v>
      </c>
      <c r="T441" s="124" t="s">
        <v>4362</v>
      </c>
      <c r="U441" s="124" t="s">
        <v>4434</v>
      </c>
      <c r="W441" s="124">
        <v>7</v>
      </c>
      <c r="X441" s="124" t="s">
        <v>3570</v>
      </c>
      <c r="Z441" s="124">
        <v>0</v>
      </c>
      <c r="AA441" s="124" t="s">
        <v>577</v>
      </c>
      <c r="AB441" s="124" t="s">
        <v>4584</v>
      </c>
      <c r="AC441" s="124">
        <v>9</v>
      </c>
      <c r="AD441" s="124" t="s">
        <v>4374</v>
      </c>
      <c r="AE441" s="124" t="s">
        <v>4375</v>
      </c>
      <c r="AF441" s="124" t="s">
        <v>4376</v>
      </c>
      <c r="AG441" s="124" t="s">
        <v>4377</v>
      </c>
      <c r="AH441" s="124" t="s">
        <v>4378</v>
      </c>
      <c r="AI441" s="124" t="s">
        <v>4379</v>
      </c>
      <c r="AJ441" s="124">
        <v>5</v>
      </c>
      <c r="AK441" s="124">
        <v>0</v>
      </c>
      <c r="AL441" s="124">
        <v>1</v>
      </c>
      <c r="AM441" s="126" t="s">
        <v>4386</v>
      </c>
    </row>
    <row r="442" spans="1:39" s="124" customFormat="1" ht="14.25" customHeight="1">
      <c r="A442" s="124">
        <v>64050</v>
      </c>
      <c r="B442" s="124" t="s">
        <v>4359</v>
      </c>
      <c r="C442" s="124">
        <v>6</v>
      </c>
      <c r="E442" s="126" t="s">
        <v>4720</v>
      </c>
      <c r="F442" s="124">
        <v>4</v>
      </c>
      <c r="H442" s="124">
        <v>305</v>
      </c>
      <c r="I442" s="127" t="s">
        <v>4696</v>
      </c>
      <c r="J442" s="124">
        <v>3</v>
      </c>
      <c r="K442" s="124">
        <v>45051</v>
      </c>
      <c r="L442" s="124">
        <v>445052</v>
      </c>
      <c r="M442" s="124">
        <v>87</v>
      </c>
      <c r="N442" s="124">
        <v>103</v>
      </c>
      <c r="T442" s="124" t="s">
        <v>4363</v>
      </c>
      <c r="U442" s="124" t="s">
        <v>4380</v>
      </c>
      <c r="W442" s="124">
        <v>7</v>
      </c>
      <c r="X442" s="124" t="s">
        <v>3573</v>
      </c>
      <c r="Z442" s="124">
        <v>0</v>
      </c>
      <c r="AA442" s="124" t="s">
        <v>585</v>
      </c>
      <c r="AB442" s="124" t="s">
        <v>4366</v>
      </c>
      <c r="AC442" s="124">
        <v>9</v>
      </c>
      <c r="AD442" s="124" t="s">
        <v>4435</v>
      </c>
      <c r="AE442" s="124" t="s">
        <v>4436</v>
      </c>
      <c r="AF442" s="124" t="s">
        <v>4437</v>
      </c>
      <c r="AG442" s="124" t="s">
        <v>4438</v>
      </c>
      <c r="AH442" s="124" t="s">
        <v>4439</v>
      </c>
      <c r="AI442" s="124" t="s">
        <v>4440</v>
      </c>
      <c r="AJ442" s="124">
        <v>5</v>
      </c>
      <c r="AK442" s="124">
        <v>0</v>
      </c>
      <c r="AL442" s="124">
        <v>1</v>
      </c>
      <c r="AM442" s="126" t="s">
        <v>4387</v>
      </c>
    </row>
    <row r="443" spans="1:39" s="124" customFormat="1" ht="14.25" customHeight="1">
      <c r="A443" s="124">
        <v>68010</v>
      </c>
      <c r="B443" s="124" t="s">
        <v>4360</v>
      </c>
      <c r="C443" s="124">
        <v>6</v>
      </c>
      <c r="E443" s="126" t="s">
        <v>4721</v>
      </c>
      <c r="F443" s="124">
        <v>8</v>
      </c>
      <c r="H443" s="124">
        <v>304</v>
      </c>
      <c r="I443" s="127" t="s">
        <v>4696</v>
      </c>
      <c r="J443" s="124">
        <v>3</v>
      </c>
      <c r="K443" s="124">
        <v>85011</v>
      </c>
      <c r="L443" s="124">
        <v>485013</v>
      </c>
      <c r="M443" s="124">
        <v>13</v>
      </c>
      <c r="N443" s="124">
        <v>36</v>
      </c>
      <c r="T443" s="124" t="s">
        <v>4364</v>
      </c>
      <c r="U443" s="124" t="s">
        <v>4441</v>
      </c>
      <c r="W443" s="124">
        <v>7</v>
      </c>
      <c r="X443" s="124" t="s">
        <v>3320</v>
      </c>
      <c r="Z443" s="124">
        <v>0</v>
      </c>
      <c r="AA443" s="124" t="s">
        <v>589</v>
      </c>
      <c r="AB443" s="124" t="s">
        <v>4367</v>
      </c>
      <c r="AC443" s="124">
        <v>9</v>
      </c>
      <c r="AD443" s="124" t="s">
        <v>4442</v>
      </c>
      <c r="AE443" s="124" t="s">
        <v>4381</v>
      </c>
      <c r="AF443" s="124" t="s">
        <v>4382</v>
      </c>
      <c r="AG443" s="124" t="s">
        <v>4383</v>
      </c>
      <c r="AH443" s="124" t="s">
        <v>4385</v>
      </c>
      <c r="AI443" s="124" t="s">
        <v>4384</v>
      </c>
      <c r="AJ443" s="124">
        <v>5</v>
      </c>
      <c r="AK443" s="124">
        <v>0</v>
      </c>
      <c r="AL443" s="124">
        <v>1</v>
      </c>
      <c r="AM443" s="126" t="s">
        <v>4388</v>
      </c>
    </row>
    <row r="444" spans="1:39" s="124" customFormat="1">
      <c r="A444" s="124">
        <v>43330</v>
      </c>
      <c r="B444" s="124" t="s">
        <v>4312</v>
      </c>
      <c r="C444" s="124">
        <v>4</v>
      </c>
      <c r="E444" s="124" t="s">
        <v>1157</v>
      </c>
      <c r="F444" s="124">
        <v>3</v>
      </c>
      <c r="G444" s="124" t="s">
        <v>4338</v>
      </c>
      <c r="H444" s="124">
        <v>302</v>
      </c>
      <c r="I444" s="127" t="s">
        <v>4696</v>
      </c>
      <c r="J444" s="124">
        <v>1</v>
      </c>
      <c r="K444" s="124">
        <v>30671</v>
      </c>
      <c r="L444" s="124">
        <v>430671</v>
      </c>
      <c r="M444" s="124">
        <v>17</v>
      </c>
      <c r="N444" s="124">
        <v>33</v>
      </c>
      <c r="S444" s="124" t="s">
        <v>4339</v>
      </c>
      <c r="T444" s="124" t="s">
        <v>4340</v>
      </c>
      <c r="U444" s="124" t="s">
        <v>4313</v>
      </c>
      <c r="W444" s="124">
        <v>7</v>
      </c>
      <c r="X444" s="124" t="s">
        <v>3434</v>
      </c>
      <c r="Z444" s="124">
        <v>7</v>
      </c>
      <c r="AA444" s="124" t="s">
        <v>3532</v>
      </c>
      <c r="AB444" s="124" t="s">
        <v>4314</v>
      </c>
      <c r="AC444" s="124">
        <v>5</v>
      </c>
      <c r="AD444" s="124" t="s">
        <v>4315</v>
      </c>
      <c r="AE444" s="124" t="s">
        <v>4316</v>
      </c>
      <c r="AF444" s="124" t="s">
        <v>4317</v>
      </c>
      <c r="AG444" s="124" t="s">
        <v>4318</v>
      </c>
      <c r="AH444" s="124" t="s">
        <v>4319</v>
      </c>
    </row>
    <row r="445" spans="1:39" s="124" customFormat="1">
      <c r="A445" s="124">
        <v>54500</v>
      </c>
      <c r="B445" s="124" t="s">
        <v>4320</v>
      </c>
      <c r="C445" s="124">
        <v>5</v>
      </c>
      <c r="E445" s="124" t="s">
        <v>1157</v>
      </c>
      <c r="F445" s="124">
        <v>4</v>
      </c>
      <c r="G445" s="124" t="s">
        <v>4335</v>
      </c>
      <c r="H445" s="124">
        <v>302</v>
      </c>
      <c r="I445" s="127" t="s">
        <v>4696</v>
      </c>
      <c r="J445" s="124">
        <v>1</v>
      </c>
      <c r="K445" s="124">
        <v>40691</v>
      </c>
      <c r="L445" s="124">
        <v>440694</v>
      </c>
      <c r="M445" s="124">
        <v>31</v>
      </c>
      <c r="N445" s="124">
        <v>45</v>
      </c>
      <c r="S445" s="124" t="s">
        <v>4336</v>
      </c>
      <c r="T445" s="124" t="s">
        <v>4337</v>
      </c>
      <c r="U445" s="124" t="s">
        <v>4321</v>
      </c>
      <c r="W445" s="124">
        <v>6</v>
      </c>
      <c r="X445" s="124" t="s">
        <v>3574</v>
      </c>
      <c r="Z445" s="124">
        <v>5</v>
      </c>
      <c r="AA445" s="124" t="s">
        <v>3533</v>
      </c>
      <c r="AB445" s="124" t="s">
        <v>4322</v>
      </c>
      <c r="AC445" s="124">
        <v>6</v>
      </c>
      <c r="AD445" s="124" t="s">
        <v>4323</v>
      </c>
      <c r="AE445" s="124" t="s">
        <v>4324</v>
      </c>
      <c r="AF445" s="124" t="s">
        <v>4325</v>
      </c>
      <c r="AG445" s="124" t="s">
        <v>4326</v>
      </c>
      <c r="AH445" s="124" t="s">
        <v>4327</v>
      </c>
    </row>
    <row r="446" spans="1:39" s="124" customFormat="1">
      <c r="A446" s="124">
        <v>62050</v>
      </c>
      <c r="B446" s="124" t="s">
        <v>4328</v>
      </c>
      <c r="C446" s="124">
        <v>6</v>
      </c>
      <c r="E446" s="124" t="s">
        <v>1157</v>
      </c>
      <c r="F446" s="124">
        <v>2</v>
      </c>
      <c r="H446" s="124">
        <v>305</v>
      </c>
      <c r="I446" s="127" t="s">
        <v>4696</v>
      </c>
      <c r="J446" s="124">
        <v>3</v>
      </c>
      <c r="K446" s="124">
        <v>25051</v>
      </c>
      <c r="L446" s="124">
        <v>425052</v>
      </c>
      <c r="M446" s="124">
        <v>51</v>
      </c>
      <c r="N446" s="124">
        <v>63</v>
      </c>
      <c r="T446" s="124" t="s">
        <v>4345</v>
      </c>
      <c r="U446" s="124" t="s">
        <v>4449</v>
      </c>
      <c r="W446" s="124">
        <v>7</v>
      </c>
      <c r="X446" s="124" t="s">
        <v>3571</v>
      </c>
      <c r="Z446" s="124">
        <v>0</v>
      </c>
      <c r="AA446" s="124" t="s">
        <v>3534</v>
      </c>
      <c r="AB446" s="124" t="s">
        <v>4344</v>
      </c>
      <c r="AC446" s="124">
        <v>11</v>
      </c>
      <c r="AD446" s="124" t="s">
        <v>4443</v>
      </c>
      <c r="AE446" s="124" t="s">
        <v>4444</v>
      </c>
      <c r="AF446" s="124" t="s">
        <v>4445</v>
      </c>
      <c r="AG446" s="124" t="s">
        <v>4446</v>
      </c>
      <c r="AH446" s="124" t="s">
        <v>4447</v>
      </c>
      <c r="AI446" s="124" t="s">
        <v>4448</v>
      </c>
      <c r="AJ446" s="124">
        <v>4</v>
      </c>
      <c r="AL446" s="124">
        <v>1</v>
      </c>
    </row>
    <row r="447" spans="1:39" s="124" customFormat="1">
      <c r="A447" s="124">
        <v>71140</v>
      </c>
      <c r="B447" s="124" t="s">
        <v>4693</v>
      </c>
      <c r="C447" s="124">
        <v>7</v>
      </c>
      <c r="E447" s="124" t="s">
        <v>1157</v>
      </c>
      <c r="F447" s="124">
        <v>1</v>
      </c>
      <c r="G447" s="124" t="s">
        <v>4341</v>
      </c>
      <c r="H447" s="124">
        <v>306</v>
      </c>
      <c r="I447" s="127" t="s">
        <v>4696</v>
      </c>
      <c r="J447" s="124">
        <v>1</v>
      </c>
      <c r="K447" s="124">
        <v>10701</v>
      </c>
      <c r="L447" s="124">
        <v>410702</v>
      </c>
      <c r="M447" s="124">
        <v>19</v>
      </c>
      <c r="N447" s="124">
        <v>33</v>
      </c>
      <c r="T447" s="124" t="s">
        <v>4342</v>
      </c>
      <c r="U447" s="124" t="s">
        <v>4329</v>
      </c>
      <c r="V447" s="124">
        <v>1</v>
      </c>
      <c r="W447" s="124">
        <v>7</v>
      </c>
      <c r="X447" s="124" t="s">
        <v>3570</v>
      </c>
      <c r="Z447" s="124">
        <v>0</v>
      </c>
      <c r="AA447" s="124" t="s">
        <v>3535</v>
      </c>
      <c r="AB447" s="124" t="s">
        <v>4343</v>
      </c>
      <c r="AC447" s="124">
        <v>5</v>
      </c>
      <c r="AD447" s="124" t="s">
        <v>4330</v>
      </c>
      <c r="AE447" s="124" t="s">
        <v>4331</v>
      </c>
      <c r="AF447" s="124" t="s">
        <v>4332</v>
      </c>
      <c r="AG447" s="124" t="s">
        <v>4333</v>
      </c>
      <c r="AH447" s="124" t="s">
        <v>4334</v>
      </c>
    </row>
    <row r="448" spans="1:39" s="124" customFormat="1">
      <c r="A448" s="124">
        <v>71150</v>
      </c>
      <c r="B448" s="124" t="s">
        <v>4474</v>
      </c>
      <c r="C448" s="124">
        <v>7</v>
      </c>
      <c r="E448" s="126" t="s">
        <v>4475</v>
      </c>
      <c r="F448" s="124">
        <v>1</v>
      </c>
      <c r="G448" s="124" t="s">
        <v>4476</v>
      </c>
      <c r="H448" s="124">
        <v>303</v>
      </c>
      <c r="I448" s="127" t="s">
        <v>4477</v>
      </c>
      <c r="J448" s="124">
        <v>1</v>
      </c>
      <c r="K448" s="124">
        <v>10671</v>
      </c>
      <c r="T448" s="124" t="s">
        <v>4478</v>
      </c>
      <c r="U448" s="124" t="s">
        <v>4479</v>
      </c>
      <c r="V448" s="124">
        <v>-1</v>
      </c>
      <c r="W448" s="124">
        <v>5</v>
      </c>
      <c r="X448" s="124" t="s">
        <v>3320</v>
      </c>
      <c r="Z448" s="124">
        <v>0</v>
      </c>
      <c r="AA448" s="124" t="s">
        <v>516</v>
      </c>
      <c r="AB448" s="124" t="s">
        <v>4480</v>
      </c>
      <c r="AC448" s="124">
        <v>5</v>
      </c>
      <c r="AD448" s="124" t="s">
        <v>4481</v>
      </c>
      <c r="AE448" s="124" t="s">
        <v>4482</v>
      </c>
      <c r="AF448" s="124" t="s">
        <v>4483</v>
      </c>
      <c r="AG448" s="124" t="s">
        <v>4484</v>
      </c>
      <c r="AH448" s="124" t="s">
        <v>4485</v>
      </c>
    </row>
    <row r="449" spans="1:34" s="124" customFormat="1">
      <c r="A449" s="124">
        <v>72130</v>
      </c>
      <c r="B449" s="124" t="s">
        <v>4486</v>
      </c>
      <c r="C449" s="124">
        <v>7</v>
      </c>
      <c r="E449" s="126" t="s">
        <v>4475</v>
      </c>
      <c r="F449" s="124">
        <v>2</v>
      </c>
      <c r="G449" s="124" t="s">
        <v>4487</v>
      </c>
      <c r="H449" s="124">
        <v>305</v>
      </c>
      <c r="I449" s="127" t="s">
        <v>4477</v>
      </c>
      <c r="J449" s="124">
        <v>1</v>
      </c>
      <c r="K449" s="124">
        <v>20671</v>
      </c>
      <c r="T449" s="124" t="s">
        <v>4488</v>
      </c>
      <c r="U449" s="124" t="s">
        <v>4489</v>
      </c>
      <c r="V449" s="124">
        <v>-1</v>
      </c>
      <c r="W449" s="124">
        <v>5</v>
      </c>
      <c r="X449" s="124" t="s">
        <v>3603</v>
      </c>
      <c r="Z449" s="124">
        <v>0</v>
      </c>
      <c r="AA449" s="124" t="s">
        <v>550</v>
      </c>
      <c r="AB449" s="124" t="s">
        <v>4490</v>
      </c>
      <c r="AC449" s="124">
        <v>5</v>
      </c>
      <c r="AD449" s="124" t="s">
        <v>4491</v>
      </c>
      <c r="AE449" s="124" t="s">
        <v>4492</v>
      </c>
      <c r="AF449" s="124" t="s">
        <v>4493</v>
      </c>
      <c r="AG449" s="124" t="s">
        <v>4494</v>
      </c>
      <c r="AH449" s="124" t="s">
        <v>4495</v>
      </c>
    </row>
    <row r="450" spans="1:34" s="124" customFormat="1">
      <c r="A450" s="124">
        <v>73070</v>
      </c>
      <c r="B450" s="124" t="s">
        <v>4496</v>
      </c>
      <c r="C450" s="124">
        <v>7</v>
      </c>
      <c r="E450" s="126" t="s">
        <v>4475</v>
      </c>
      <c r="F450" s="124">
        <v>3</v>
      </c>
      <c r="G450" s="124" t="s">
        <v>4497</v>
      </c>
      <c r="H450" s="124">
        <v>302</v>
      </c>
      <c r="I450" s="127" t="s">
        <v>4477</v>
      </c>
      <c r="J450" s="124">
        <v>1</v>
      </c>
      <c r="K450" s="124">
        <v>30691</v>
      </c>
      <c r="T450" s="124" t="s">
        <v>4498</v>
      </c>
      <c r="U450" s="124" t="s">
        <v>4499</v>
      </c>
      <c r="V450" s="124">
        <v>-1</v>
      </c>
      <c r="W450" s="124">
        <v>5</v>
      </c>
      <c r="X450" s="124" t="s">
        <v>3605</v>
      </c>
      <c r="Z450" s="124">
        <v>0</v>
      </c>
      <c r="AA450" s="124" t="s">
        <v>567</v>
      </c>
      <c r="AB450" s="124" t="s">
        <v>4500</v>
      </c>
      <c r="AC450" s="124">
        <v>5</v>
      </c>
      <c r="AD450" s="124" t="s">
        <v>4501</v>
      </c>
      <c r="AE450" s="124" t="s">
        <v>4502</v>
      </c>
      <c r="AF450" s="124" t="s">
        <v>4503</v>
      </c>
      <c r="AG450" s="124" t="s">
        <v>4504</v>
      </c>
      <c r="AH450" s="124" t="s">
        <v>4505</v>
      </c>
    </row>
    <row r="451" spans="1:34" s="124" customFormat="1">
      <c r="A451" s="124">
        <v>74130</v>
      </c>
      <c r="B451" s="124" t="s">
        <v>4506</v>
      </c>
      <c r="C451" s="124">
        <v>7</v>
      </c>
      <c r="E451" s="126" t="s">
        <v>4475</v>
      </c>
      <c r="F451" s="124">
        <v>4</v>
      </c>
      <c r="G451" s="124" t="s">
        <v>4507</v>
      </c>
      <c r="H451" s="124">
        <v>308</v>
      </c>
      <c r="I451" s="127" t="s">
        <v>4477</v>
      </c>
      <c r="J451" s="124">
        <v>1</v>
      </c>
      <c r="K451" s="124">
        <v>40671</v>
      </c>
      <c r="T451" s="124" t="s">
        <v>4508</v>
      </c>
      <c r="U451" s="124" t="s">
        <v>4509</v>
      </c>
      <c r="V451" s="124">
        <v>-1</v>
      </c>
      <c r="W451" s="124">
        <v>5</v>
      </c>
      <c r="X451" s="124" t="s">
        <v>3574</v>
      </c>
      <c r="Z451" s="124">
        <v>0</v>
      </c>
      <c r="AA451" s="124" t="s">
        <v>579</v>
      </c>
      <c r="AB451" s="124" t="s">
        <v>4510</v>
      </c>
      <c r="AC451" s="124">
        <v>5</v>
      </c>
      <c r="AD451" s="124" t="s">
        <v>4511</v>
      </c>
      <c r="AE451" s="124" t="s">
        <v>4512</v>
      </c>
      <c r="AF451" s="124" t="s">
        <v>4513</v>
      </c>
      <c r="AG451" s="124" t="s">
        <v>4514</v>
      </c>
      <c r="AH451" s="124" t="s">
        <v>4515</v>
      </c>
    </row>
    <row r="452" spans="1:34" s="124" customFormat="1">
      <c r="A452" s="124">
        <v>78080</v>
      </c>
      <c r="B452" s="124" t="s">
        <v>4516</v>
      </c>
      <c r="C452" s="124">
        <v>7</v>
      </c>
      <c r="E452" s="126" t="s">
        <v>4475</v>
      </c>
      <c r="F452" s="124">
        <v>8</v>
      </c>
      <c r="G452" s="124" t="s">
        <v>4517</v>
      </c>
      <c r="H452" s="124">
        <v>304</v>
      </c>
      <c r="I452" s="127" t="s">
        <v>4477</v>
      </c>
      <c r="J452" s="124">
        <v>1</v>
      </c>
      <c r="K452" s="124">
        <v>80121</v>
      </c>
      <c r="T452" s="124" t="s">
        <v>4518</v>
      </c>
      <c r="U452" s="124" t="s">
        <v>4519</v>
      </c>
      <c r="V452" s="124">
        <v>-1</v>
      </c>
      <c r="W452" s="124">
        <v>5</v>
      </c>
      <c r="X452" s="124" t="s">
        <v>3435</v>
      </c>
      <c r="Z452" s="124">
        <v>0</v>
      </c>
      <c r="AA452" s="124" t="s">
        <v>588</v>
      </c>
      <c r="AB452" s="124" t="s">
        <v>4520</v>
      </c>
      <c r="AC452" s="124">
        <v>5</v>
      </c>
      <c r="AD452" s="124" t="s">
        <v>4521</v>
      </c>
      <c r="AE452" s="124" t="s">
        <v>4522</v>
      </c>
      <c r="AF452" s="124" t="s">
        <v>4523</v>
      </c>
      <c r="AG452" s="124" t="s">
        <v>4524</v>
      </c>
      <c r="AH452" s="124" t="s">
        <v>4525</v>
      </c>
    </row>
    <row r="453" spans="1:34" s="124" customFormat="1">
      <c r="A453" s="124">
        <v>810115</v>
      </c>
      <c r="B453" s="124" t="s">
        <v>4526</v>
      </c>
      <c r="C453" s="124">
        <v>8</v>
      </c>
      <c r="E453" s="126" t="s">
        <v>747</v>
      </c>
      <c r="F453" s="124">
        <v>1</v>
      </c>
      <c r="H453" s="124">
        <v>304</v>
      </c>
      <c r="I453" s="128" t="s">
        <v>748</v>
      </c>
      <c r="R453" s="124" t="s">
        <v>3606</v>
      </c>
      <c r="W453" s="124" t="s">
        <v>3607</v>
      </c>
      <c r="X453" s="124" t="s">
        <v>560</v>
      </c>
      <c r="AA453" s="124" t="s">
        <v>525</v>
      </c>
    </row>
    <row r="454" spans="1:34" s="124" customFormat="1">
      <c r="A454" s="124">
        <v>810215</v>
      </c>
      <c r="B454" s="124" t="s">
        <v>4527</v>
      </c>
      <c r="C454" s="124">
        <v>8</v>
      </c>
      <c r="E454" s="126" t="s">
        <v>747</v>
      </c>
      <c r="F454" s="124">
        <v>1</v>
      </c>
      <c r="H454" s="124">
        <v>307</v>
      </c>
      <c r="I454" s="128" t="s">
        <v>748</v>
      </c>
      <c r="R454" s="124" t="s">
        <v>3608</v>
      </c>
      <c r="W454" s="124" t="s">
        <v>3609</v>
      </c>
      <c r="X454" s="124" t="s">
        <v>560</v>
      </c>
      <c r="AA454" s="124" t="s">
        <v>525</v>
      </c>
    </row>
    <row r="455" spans="1:34" s="124" customFormat="1">
      <c r="A455" s="124">
        <v>810315</v>
      </c>
      <c r="B455" s="124" t="s">
        <v>4528</v>
      </c>
      <c r="C455" s="124">
        <v>8</v>
      </c>
      <c r="E455" s="126" t="s">
        <v>747</v>
      </c>
      <c r="F455" s="124">
        <v>1</v>
      </c>
      <c r="H455" s="124">
        <v>305</v>
      </c>
      <c r="I455" s="128" t="s">
        <v>748</v>
      </c>
      <c r="R455" s="124" t="s">
        <v>3610</v>
      </c>
      <c r="W455" s="124" t="s">
        <v>3611</v>
      </c>
      <c r="X455" s="124" t="s">
        <v>564</v>
      </c>
      <c r="AA455" s="124" t="s">
        <v>525</v>
      </c>
    </row>
    <row r="456" spans="1:34" s="124" customFormat="1">
      <c r="A456" s="124">
        <v>810415</v>
      </c>
      <c r="B456" s="124" t="s">
        <v>4529</v>
      </c>
      <c r="C456" s="124">
        <v>8</v>
      </c>
      <c r="E456" s="126" t="s">
        <v>747</v>
      </c>
      <c r="F456" s="124">
        <v>1</v>
      </c>
      <c r="H456" s="124">
        <v>306</v>
      </c>
      <c r="I456" s="128" t="s">
        <v>748</v>
      </c>
      <c r="R456" s="124" t="s">
        <v>3612</v>
      </c>
      <c r="W456" s="124" t="s">
        <v>3613</v>
      </c>
      <c r="X456" s="124" t="s">
        <v>545</v>
      </c>
      <c r="AA456" s="124" t="s">
        <v>525</v>
      </c>
    </row>
    <row r="457" spans="1:34" s="124" customFormat="1">
      <c r="A457" s="124">
        <v>810515</v>
      </c>
      <c r="B457" s="124" t="s">
        <v>4530</v>
      </c>
      <c r="C457" s="124">
        <v>8</v>
      </c>
      <c r="E457" s="126" t="s">
        <v>747</v>
      </c>
      <c r="F457" s="124">
        <v>1</v>
      </c>
      <c r="H457" s="124">
        <v>307</v>
      </c>
      <c r="I457" s="128" t="s">
        <v>748</v>
      </c>
      <c r="R457" s="124" t="s">
        <v>3614</v>
      </c>
      <c r="W457" s="124" t="s">
        <v>3615</v>
      </c>
      <c r="X457" s="124" t="s">
        <v>545</v>
      </c>
      <c r="AA457" s="124" t="s">
        <v>525</v>
      </c>
    </row>
    <row r="458" spans="1:34" s="124" customFormat="1">
      <c r="A458" s="124">
        <v>810615</v>
      </c>
      <c r="B458" s="124" t="s">
        <v>4531</v>
      </c>
      <c r="C458" s="124">
        <v>8</v>
      </c>
      <c r="E458" s="126" t="s">
        <v>747</v>
      </c>
      <c r="F458" s="124">
        <v>1</v>
      </c>
      <c r="H458" s="124">
        <v>301</v>
      </c>
      <c r="I458" s="128" t="s">
        <v>748</v>
      </c>
      <c r="R458" s="124" t="s">
        <v>3616</v>
      </c>
      <c r="W458" s="124" t="s">
        <v>3617</v>
      </c>
      <c r="X458" s="124" t="s">
        <v>566</v>
      </c>
      <c r="AA458" s="124" t="s">
        <v>525</v>
      </c>
    </row>
    <row r="459" spans="1:34" s="124" customFormat="1">
      <c r="A459" s="124">
        <v>810715</v>
      </c>
      <c r="B459" s="124" t="s">
        <v>4532</v>
      </c>
      <c r="C459" s="124">
        <v>8</v>
      </c>
      <c r="E459" s="126" t="s">
        <v>747</v>
      </c>
      <c r="F459" s="124">
        <v>1</v>
      </c>
      <c r="H459" s="124">
        <v>308</v>
      </c>
      <c r="I459" s="128" t="s">
        <v>748</v>
      </c>
      <c r="R459" s="124" t="s">
        <v>3618</v>
      </c>
      <c r="W459" s="124" t="s">
        <v>3619</v>
      </c>
      <c r="X459" s="124" t="s">
        <v>539</v>
      </c>
      <c r="AA459" s="124" t="s">
        <v>525</v>
      </c>
    </row>
    <row r="460" spans="1:34" s="124" customFormat="1">
      <c r="A460" s="124">
        <v>810815</v>
      </c>
      <c r="B460" s="124" t="s">
        <v>4533</v>
      </c>
      <c r="C460" s="124">
        <v>8</v>
      </c>
      <c r="E460" s="126" t="s">
        <v>747</v>
      </c>
      <c r="F460" s="124">
        <v>1</v>
      </c>
      <c r="H460" s="124">
        <v>303</v>
      </c>
      <c r="I460" s="128" t="s">
        <v>748</v>
      </c>
      <c r="R460" s="124" t="s">
        <v>3620</v>
      </c>
      <c r="W460" s="124" t="s">
        <v>3621</v>
      </c>
      <c r="X460" s="124" t="s">
        <v>570</v>
      </c>
      <c r="AA460" s="124" t="s">
        <v>525</v>
      </c>
    </row>
    <row r="461" spans="1:34" s="124" customFormat="1">
      <c r="A461" s="124">
        <v>810915</v>
      </c>
      <c r="B461" s="124" t="s">
        <v>4534</v>
      </c>
      <c r="C461" s="124">
        <v>8</v>
      </c>
      <c r="E461" s="126" t="s">
        <v>747</v>
      </c>
      <c r="F461" s="124">
        <v>1</v>
      </c>
      <c r="H461" s="124">
        <v>301</v>
      </c>
      <c r="I461" s="128" t="s">
        <v>748</v>
      </c>
      <c r="R461" s="124" t="s">
        <v>3622</v>
      </c>
      <c r="W461" s="124" t="s">
        <v>3623</v>
      </c>
      <c r="X461" s="124" t="s">
        <v>566</v>
      </c>
      <c r="AA461" s="124" t="s">
        <v>525</v>
      </c>
    </row>
    <row r="462" spans="1:34" s="124" customFormat="1">
      <c r="A462" s="124">
        <v>811015</v>
      </c>
      <c r="B462" s="124" t="s">
        <v>4535</v>
      </c>
      <c r="C462" s="124">
        <v>8</v>
      </c>
      <c r="E462" s="126" t="s">
        <v>747</v>
      </c>
      <c r="F462" s="124">
        <v>1</v>
      </c>
      <c r="H462" s="124">
        <v>304</v>
      </c>
      <c r="I462" s="128" t="s">
        <v>748</v>
      </c>
      <c r="R462" s="124" t="s">
        <v>3624</v>
      </c>
      <c r="W462" s="124" t="s">
        <v>3625</v>
      </c>
      <c r="X462" s="124" t="s">
        <v>545</v>
      </c>
      <c r="AA462" s="124" t="s">
        <v>525</v>
      </c>
    </row>
    <row r="463" spans="1:34" s="124" customFormat="1">
      <c r="A463" s="124">
        <v>811115</v>
      </c>
      <c r="B463" s="124" t="s">
        <v>4536</v>
      </c>
      <c r="C463" s="124">
        <v>8</v>
      </c>
      <c r="E463" s="126" t="s">
        <v>747</v>
      </c>
      <c r="F463" s="124">
        <v>1</v>
      </c>
      <c r="H463" s="124">
        <v>302</v>
      </c>
      <c r="I463" s="128" t="s">
        <v>748</v>
      </c>
      <c r="R463" s="124" t="s">
        <v>3626</v>
      </c>
      <c r="W463" s="124" t="s">
        <v>3627</v>
      </c>
      <c r="X463" s="124" t="s">
        <v>542</v>
      </c>
      <c r="AA463" s="124" t="s">
        <v>525</v>
      </c>
    </row>
    <row r="464" spans="1:34" s="124" customFormat="1">
      <c r="A464" s="124">
        <v>811215</v>
      </c>
      <c r="B464" s="124" t="s">
        <v>4537</v>
      </c>
      <c r="C464" s="124">
        <v>8</v>
      </c>
      <c r="E464" s="126" t="s">
        <v>747</v>
      </c>
      <c r="F464" s="124">
        <v>1</v>
      </c>
      <c r="H464" s="124">
        <v>305</v>
      </c>
      <c r="I464" s="128" t="s">
        <v>748</v>
      </c>
      <c r="R464" s="124" t="s">
        <v>3628</v>
      </c>
      <c r="W464" s="124" t="s">
        <v>3629</v>
      </c>
      <c r="X464" s="124" t="s">
        <v>560</v>
      </c>
      <c r="AA464" s="124" t="s">
        <v>525</v>
      </c>
    </row>
    <row r="465" spans="1:27" s="124" customFormat="1">
      <c r="A465" s="124">
        <v>811315</v>
      </c>
      <c r="B465" s="124" t="s">
        <v>4538</v>
      </c>
      <c r="C465" s="124">
        <v>8</v>
      </c>
      <c r="E465" s="126" t="s">
        <v>747</v>
      </c>
      <c r="F465" s="124">
        <v>1</v>
      </c>
      <c r="H465" s="124">
        <v>308</v>
      </c>
      <c r="I465" s="128" t="s">
        <v>748</v>
      </c>
      <c r="R465" s="124" t="s">
        <v>3630</v>
      </c>
      <c r="W465" s="124" t="s">
        <v>3631</v>
      </c>
      <c r="X465" s="124" t="s">
        <v>531</v>
      </c>
      <c r="AA465" s="124" t="s">
        <v>525</v>
      </c>
    </row>
    <row r="466" spans="1:27" s="124" customFormat="1">
      <c r="A466" s="124">
        <v>820113</v>
      </c>
      <c r="B466" s="124" t="s">
        <v>4539</v>
      </c>
      <c r="C466" s="124">
        <v>8</v>
      </c>
      <c r="E466" s="126" t="s">
        <v>747</v>
      </c>
      <c r="F466" s="124">
        <v>2</v>
      </c>
      <c r="H466" s="124">
        <v>305</v>
      </c>
      <c r="I466" s="128" t="s">
        <v>748</v>
      </c>
      <c r="R466" s="124" t="s">
        <v>3632</v>
      </c>
      <c r="W466" s="124" t="s">
        <v>3633</v>
      </c>
      <c r="X466" s="124" t="s">
        <v>439</v>
      </c>
      <c r="AA466" s="124" t="s">
        <v>559</v>
      </c>
    </row>
    <row r="467" spans="1:27" s="124" customFormat="1">
      <c r="A467" s="124">
        <v>820213</v>
      </c>
      <c r="B467" s="124" t="s">
        <v>4540</v>
      </c>
      <c r="C467" s="124">
        <v>8</v>
      </c>
      <c r="E467" s="126" t="s">
        <v>747</v>
      </c>
      <c r="F467" s="124">
        <v>2</v>
      </c>
      <c r="H467" s="124">
        <v>303</v>
      </c>
      <c r="I467" s="128" t="s">
        <v>748</v>
      </c>
      <c r="R467" s="124" t="s">
        <v>3634</v>
      </c>
      <c r="W467" s="124" t="s">
        <v>3635</v>
      </c>
      <c r="X467" s="124" t="s">
        <v>439</v>
      </c>
      <c r="AA467" s="124" t="s">
        <v>559</v>
      </c>
    </row>
    <row r="468" spans="1:27" s="124" customFormat="1">
      <c r="A468" s="124">
        <v>820313</v>
      </c>
      <c r="B468" s="124" t="s">
        <v>4541</v>
      </c>
      <c r="C468" s="124">
        <v>8</v>
      </c>
      <c r="E468" s="126" t="s">
        <v>747</v>
      </c>
      <c r="F468" s="124">
        <v>2</v>
      </c>
      <c r="H468" s="124">
        <v>301</v>
      </c>
      <c r="I468" s="128" t="s">
        <v>748</v>
      </c>
      <c r="R468" s="124" t="s">
        <v>3636</v>
      </c>
      <c r="W468" s="124" t="s">
        <v>3637</v>
      </c>
      <c r="X468" s="124" t="s">
        <v>468</v>
      </c>
      <c r="AA468" s="124" t="s">
        <v>559</v>
      </c>
    </row>
    <row r="469" spans="1:27" s="124" customFormat="1">
      <c r="A469" s="124">
        <v>820413</v>
      </c>
      <c r="B469" s="124" t="s">
        <v>4542</v>
      </c>
      <c r="C469" s="124">
        <v>8</v>
      </c>
      <c r="E469" s="126" t="s">
        <v>747</v>
      </c>
      <c r="F469" s="124">
        <v>2</v>
      </c>
      <c r="H469" s="124">
        <v>306</v>
      </c>
      <c r="I469" s="128" t="s">
        <v>748</v>
      </c>
      <c r="R469" s="124" t="s">
        <v>3638</v>
      </c>
      <c r="W469" s="124" t="s">
        <v>3639</v>
      </c>
      <c r="X469" s="124" t="s">
        <v>549</v>
      </c>
      <c r="AA469" s="124" t="s">
        <v>559</v>
      </c>
    </row>
    <row r="470" spans="1:27" s="124" customFormat="1">
      <c r="A470" s="124">
        <v>820513</v>
      </c>
      <c r="B470" s="124" t="s">
        <v>4543</v>
      </c>
      <c r="C470" s="124">
        <v>8</v>
      </c>
      <c r="E470" s="126" t="s">
        <v>747</v>
      </c>
      <c r="F470" s="124">
        <v>2</v>
      </c>
      <c r="H470" s="124">
        <v>303</v>
      </c>
      <c r="I470" s="128" t="s">
        <v>748</v>
      </c>
      <c r="R470" s="124" t="s">
        <v>3640</v>
      </c>
      <c r="W470" s="124" t="s">
        <v>3641</v>
      </c>
      <c r="X470" s="124" t="s">
        <v>549</v>
      </c>
      <c r="AA470" s="124" t="s">
        <v>559</v>
      </c>
    </row>
    <row r="471" spans="1:27" s="124" customFormat="1">
      <c r="A471" s="124">
        <v>820613</v>
      </c>
      <c r="B471" s="124" t="s">
        <v>4544</v>
      </c>
      <c r="C471" s="124">
        <v>8</v>
      </c>
      <c r="E471" s="126" t="s">
        <v>747</v>
      </c>
      <c r="F471" s="124">
        <v>2</v>
      </c>
      <c r="H471" s="124">
        <v>307</v>
      </c>
      <c r="I471" s="128" t="s">
        <v>748</v>
      </c>
      <c r="R471" s="124" t="s">
        <v>3642</v>
      </c>
      <c r="W471" s="124" t="s">
        <v>3643</v>
      </c>
      <c r="X471" s="124" t="s">
        <v>549</v>
      </c>
      <c r="AA471" s="124" t="s">
        <v>559</v>
      </c>
    </row>
    <row r="472" spans="1:27" s="124" customFormat="1">
      <c r="A472" s="124">
        <v>820713</v>
      </c>
      <c r="B472" s="124" t="s">
        <v>4545</v>
      </c>
      <c r="C472" s="124">
        <v>8</v>
      </c>
      <c r="E472" s="126" t="s">
        <v>747</v>
      </c>
      <c r="F472" s="124">
        <v>2</v>
      </c>
      <c r="H472" s="124">
        <v>308</v>
      </c>
      <c r="I472" s="128" t="s">
        <v>748</v>
      </c>
      <c r="R472" s="124" t="s">
        <v>3644</v>
      </c>
      <c r="W472" s="124" t="s">
        <v>3645</v>
      </c>
      <c r="X472" s="124" t="s">
        <v>484</v>
      </c>
      <c r="AA472" s="124" t="s">
        <v>559</v>
      </c>
    </row>
    <row r="473" spans="1:27" s="124" customFormat="1">
      <c r="A473" s="124">
        <v>820813</v>
      </c>
      <c r="B473" s="124" t="s">
        <v>4546</v>
      </c>
      <c r="C473" s="124">
        <v>8</v>
      </c>
      <c r="E473" s="126" t="s">
        <v>747</v>
      </c>
      <c r="F473" s="124">
        <v>2</v>
      </c>
      <c r="H473" s="124">
        <v>304</v>
      </c>
      <c r="I473" s="128" t="s">
        <v>748</v>
      </c>
      <c r="R473" s="124" t="s">
        <v>3646</v>
      </c>
      <c r="W473" s="124" t="s">
        <v>3647</v>
      </c>
      <c r="X473" s="124" t="s">
        <v>512</v>
      </c>
      <c r="AA473" s="124" t="s">
        <v>559</v>
      </c>
    </row>
    <row r="474" spans="1:27" s="124" customFormat="1">
      <c r="A474" s="124">
        <v>820913</v>
      </c>
      <c r="B474" s="124" t="s">
        <v>4547</v>
      </c>
      <c r="C474" s="124">
        <v>8</v>
      </c>
      <c r="E474" s="126" t="s">
        <v>747</v>
      </c>
      <c r="F474" s="124">
        <v>2</v>
      </c>
      <c r="H474" s="124">
        <v>301</v>
      </c>
      <c r="I474" s="128" t="s">
        <v>748</v>
      </c>
      <c r="R474" s="124" t="s">
        <v>3648</v>
      </c>
      <c r="W474" s="124" t="s">
        <v>3649</v>
      </c>
      <c r="X474" s="124" t="s">
        <v>484</v>
      </c>
      <c r="AA474" s="124" t="s">
        <v>559</v>
      </c>
    </row>
    <row r="475" spans="1:27" s="124" customFormat="1">
      <c r="A475" s="124">
        <v>821013</v>
      </c>
      <c r="B475" s="124" t="s">
        <v>4548</v>
      </c>
      <c r="C475" s="124">
        <v>8</v>
      </c>
      <c r="E475" s="126" t="s">
        <v>747</v>
      </c>
      <c r="F475" s="124">
        <v>2</v>
      </c>
      <c r="H475" s="124">
        <v>302</v>
      </c>
      <c r="I475" s="128" t="s">
        <v>748</v>
      </c>
      <c r="R475" s="124" t="s">
        <v>3650</v>
      </c>
      <c r="W475" s="124" t="s">
        <v>3651</v>
      </c>
      <c r="X475" s="124" t="s">
        <v>439</v>
      </c>
      <c r="AA475" s="124" t="s">
        <v>559</v>
      </c>
    </row>
    <row r="476" spans="1:27" s="124" customFormat="1">
      <c r="A476" s="124">
        <v>821113</v>
      </c>
      <c r="B476" s="124" t="s">
        <v>4549</v>
      </c>
      <c r="C476" s="124">
        <v>8</v>
      </c>
      <c r="E476" s="126" t="s">
        <v>747</v>
      </c>
      <c r="F476" s="124">
        <v>2</v>
      </c>
      <c r="H476" s="124">
        <v>302</v>
      </c>
      <c r="I476" s="128" t="s">
        <v>748</v>
      </c>
      <c r="R476" s="124" t="s">
        <v>3652</v>
      </c>
      <c r="W476" s="124" t="s">
        <v>3653</v>
      </c>
      <c r="X476" s="124" t="s">
        <v>547</v>
      </c>
      <c r="AA476" s="124" t="s">
        <v>559</v>
      </c>
    </row>
    <row r="477" spans="1:27" s="124" customFormat="1">
      <c r="A477" s="124">
        <v>821213</v>
      </c>
      <c r="B477" s="124" t="s">
        <v>4550</v>
      </c>
      <c r="C477" s="124">
        <v>8</v>
      </c>
      <c r="E477" s="126" t="s">
        <v>747</v>
      </c>
      <c r="F477" s="124">
        <v>2</v>
      </c>
      <c r="H477" s="124">
        <v>304</v>
      </c>
      <c r="I477" s="128" t="s">
        <v>748</v>
      </c>
      <c r="R477" s="124" t="s">
        <v>3654</v>
      </c>
      <c r="W477" s="124" t="s">
        <v>3655</v>
      </c>
      <c r="X477" s="124" t="s">
        <v>549</v>
      </c>
      <c r="AA477" s="124" t="s">
        <v>559</v>
      </c>
    </row>
    <row r="478" spans="1:27" s="124" customFormat="1">
      <c r="A478" s="124">
        <v>830107</v>
      </c>
      <c r="B478" s="124" t="s">
        <v>4551</v>
      </c>
      <c r="C478" s="124">
        <v>8</v>
      </c>
      <c r="E478" s="126" t="s">
        <v>747</v>
      </c>
      <c r="F478" s="124">
        <v>3</v>
      </c>
      <c r="H478" s="124">
        <v>304</v>
      </c>
      <c r="I478" s="128" t="s">
        <v>748</v>
      </c>
      <c r="R478" s="124" t="s">
        <v>3656</v>
      </c>
      <c r="W478" s="124" t="s">
        <v>3657</v>
      </c>
      <c r="X478" s="124" t="s">
        <v>558</v>
      </c>
      <c r="AA478" s="124" t="s">
        <v>574</v>
      </c>
    </row>
    <row r="479" spans="1:27" s="124" customFormat="1">
      <c r="A479" s="124">
        <v>830207</v>
      </c>
      <c r="B479" s="124" t="s">
        <v>4552</v>
      </c>
      <c r="C479" s="124">
        <v>8</v>
      </c>
      <c r="E479" s="126" t="s">
        <v>747</v>
      </c>
      <c r="F479" s="124">
        <v>3</v>
      </c>
      <c r="H479" s="124">
        <v>302</v>
      </c>
      <c r="I479" s="128" t="s">
        <v>748</v>
      </c>
      <c r="R479" s="124" t="s">
        <v>3658</v>
      </c>
      <c r="W479" s="124" t="s">
        <v>3659</v>
      </c>
      <c r="X479" s="124" t="s">
        <v>558</v>
      </c>
      <c r="AA479" s="124" t="s">
        <v>574</v>
      </c>
    </row>
    <row r="480" spans="1:27" s="124" customFormat="1">
      <c r="A480" s="124">
        <v>830307</v>
      </c>
      <c r="B480" s="124" t="s">
        <v>4553</v>
      </c>
      <c r="C480" s="124">
        <v>8</v>
      </c>
      <c r="E480" s="126" t="s">
        <v>747</v>
      </c>
      <c r="F480" s="124">
        <v>3</v>
      </c>
      <c r="H480" s="124">
        <v>306</v>
      </c>
      <c r="I480" s="128" t="s">
        <v>748</v>
      </c>
      <c r="R480" s="124" t="s">
        <v>3660</v>
      </c>
      <c r="W480" s="124" t="s">
        <v>3661</v>
      </c>
      <c r="X480" s="124" t="s">
        <v>553</v>
      </c>
      <c r="AA480" s="124" t="s">
        <v>574</v>
      </c>
    </row>
    <row r="481" spans="1:27" s="124" customFormat="1">
      <c r="A481" s="124">
        <v>830407</v>
      </c>
      <c r="B481" s="124" t="s">
        <v>4554</v>
      </c>
      <c r="C481" s="124">
        <v>8</v>
      </c>
      <c r="E481" s="126" t="s">
        <v>747</v>
      </c>
      <c r="F481" s="124">
        <v>3</v>
      </c>
      <c r="H481" s="124">
        <v>303</v>
      </c>
      <c r="I481" s="128" t="s">
        <v>748</v>
      </c>
      <c r="R481" s="124" t="s">
        <v>3662</v>
      </c>
      <c r="W481" s="124" t="s">
        <v>3663</v>
      </c>
      <c r="X481" s="124" t="s">
        <v>536</v>
      </c>
      <c r="AA481" s="124" t="s">
        <v>574</v>
      </c>
    </row>
    <row r="482" spans="1:27" s="124" customFormat="1">
      <c r="A482" s="124">
        <v>830507</v>
      </c>
      <c r="B482" s="124" t="s">
        <v>4555</v>
      </c>
      <c r="C482" s="124">
        <v>8</v>
      </c>
      <c r="E482" s="126" t="s">
        <v>747</v>
      </c>
      <c r="F482" s="124">
        <v>3</v>
      </c>
      <c r="H482" s="124">
        <v>307</v>
      </c>
      <c r="I482" s="128" t="s">
        <v>748</v>
      </c>
      <c r="R482" s="124" t="s">
        <v>3664</v>
      </c>
      <c r="W482" s="124" t="s">
        <v>3665</v>
      </c>
      <c r="X482" s="124" t="s">
        <v>536</v>
      </c>
      <c r="AA482" s="124" t="s">
        <v>574</v>
      </c>
    </row>
    <row r="483" spans="1:27" s="124" customFormat="1">
      <c r="A483" s="124">
        <v>830607</v>
      </c>
      <c r="B483" s="124" t="s">
        <v>4556</v>
      </c>
      <c r="C483" s="124">
        <v>8</v>
      </c>
      <c r="E483" s="126" t="s">
        <v>747</v>
      </c>
      <c r="F483" s="124">
        <v>3</v>
      </c>
      <c r="H483" s="124">
        <v>301</v>
      </c>
      <c r="I483" s="128" t="s">
        <v>748</v>
      </c>
      <c r="R483" s="124" t="s">
        <v>3666</v>
      </c>
      <c r="W483" s="124" t="s">
        <v>3667</v>
      </c>
      <c r="X483" s="124" t="s">
        <v>551</v>
      </c>
      <c r="AA483" s="124" t="s">
        <v>574</v>
      </c>
    </row>
    <row r="484" spans="1:27" s="124" customFormat="1">
      <c r="A484" s="124">
        <v>830708</v>
      </c>
      <c r="B484" s="124" t="s">
        <v>4557</v>
      </c>
      <c r="C484" s="124">
        <v>8</v>
      </c>
      <c r="E484" s="126" t="s">
        <v>747</v>
      </c>
      <c r="F484" s="124">
        <v>3</v>
      </c>
      <c r="H484" s="124">
        <v>302</v>
      </c>
      <c r="I484" s="128" t="s">
        <v>748</v>
      </c>
      <c r="R484" s="124" t="s">
        <v>3668</v>
      </c>
      <c r="W484" s="124" t="s">
        <v>3669</v>
      </c>
      <c r="X484" s="124" t="s">
        <v>547</v>
      </c>
      <c r="AA484" s="124" t="s">
        <v>574</v>
      </c>
    </row>
    <row r="485" spans="1:27" s="124" customFormat="1">
      <c r="A485" s="124">
        <v>830709</v>
      </c>
      <c r="B485" s="124" t="s">
        <v>4558</v>
      </c>
      <c r="C485" s="124">
        <v>8</v>
      </c>
      <c r="E485" s="126" t="s">
        <v>747</v>
      </c>
      <c r="F485" s="124">
        <v>3</v>
      </c>
      <c r="H485" s="124">
        <v>302</v>
      </c>
      <c r="I485" s="128" t="s">
        <v>748</v>
      </c>
      <c r="R485" s="124" t="s">
        <v>3670</v>
      </c>
      <c r="W485" s="124" t="s">
        <v>3671</v>
      </c>
      <c r="X485" s="124" t="s">
        <v>551</v>
      </c>
      <c r="AA485" s="124" t="s">
        <v>574</v>
      </c>
    </row>
    <row r="486" spans="1:27" s="124" customFormat="1">
      <c r="A486" s="124">
        <v>830710</v>
      </c>
      <c r="B486" s="124" t="s">
        <v>4559</v>
      </c>
      <c r="C486" s="124">
        <v>8</v>
      </c>
      <c r="E486" s="126" t="s">
        <v>747</v>
      </c>
      <c r="F486" s="124">
        <v>3</v>
      </c>
      <c r="H486" s="124">
        <v>302</v>
      </c>
      <c r="I486" s="128" t="s">
        <v>748</v>
      </c>
      <c r="R486" s="124" t="s">
        <v>3672</v>
      </c>
      <c r="W486" s="124" t="s">
        <v>3673</v>
      </c>
      <c r="X486" s="124" t="s">
        <v>545</v>
      </c>
      <c r="AA486" s="124" t="s">
        <v>574</v>
      </c>
    </row>
    <row r="487" spans="1:27" s="124" customFormat="1">
      <c r="A487" s="124">
        <v>830711</v>
      </c>
      <c r="B487" s="124" t="s">
        <v>4560</v>
      </c>
      <c r="C487" s="124">
        <v>8</v>
      </c>
      <c r="E487" s="126" t="s">
        <v>747</v>
      </c>
      <c r="F487" s="124">
        <v>3</v>
      </c>
      <c r="H487" s="124">
        <v>302</v>
      </c>
      <c r="I487" s="128" t="s">
        <v>748</v>
      </c>
      <c r="R487" s="124" t="s">
        <v>3674</v>
      </c>
      <c r="W487" s="124" t="s">
        <v>3675</v>
      </c>
      <c r="X487" s="124" t="s">
        <v>522</v>
      </c>
      <c r="AA487" s="124" t="s">
        <v>574</v>
      </c>
    </row>
    <row r="488" spans="1:27" s="124" customFormat="1">
      <c r="A488" s="124">
        <v>830712</v>
      </c>
      <c r="B488" s="124" t="s">
        <v>4561</v>
      </c>
      <c r="C488" s="124">
        <v>8</v>
      </c>
      <c r="E488" s="126" t="s">
        <v>747</v>
      </c>
      <c r="F488" s="124">
        <v>3</v>
      </c>
      <c r="H488" s="124">
        <v>302</v>
      </c>
      <c r="I488" s="128" t="s">
        <v>748</v>
      </c>
      <c r="R488" s="124" t="s">
        <v>3676</v>
      </c>
      <c r="W488" s="124" t="s">
        <v>3677</v>
      </c>
      <c r="X488" s="124" t="s">
        <v>536</v>
      </c>
      <c r="AA488" s="124" t="s">
        <v>574</v>
      </c>
    </row>
    <row r="489" spans="1:27" s="124" customFormat="1">
      <c r="A489" s="124">
        <v>830713</v>
      </c>
      <c r="B489" s="124" t="s">
        <v>4562</v>
      </c>
      <c r="C489" s="124">
        <v>8</v>
      </c>
      <c r="E489" s="126" t="s">
        <v>747</v>
      </c>
      <c r="F489" s="124">
        <v>3</v>
      </c>
      <c r="H489" s="124">
        <v>302</v>
      </c>
      <c r="I489" s="128" t="s">
        <v>748</v>
      </c>
      <c r="R489" s="124" t="s">
        <v>3678</v>
      </c>
      <c r="W489" s="124" t="s">
        <v>3679</v>
      </c>
      <c r="X489" s="124" t="s">
        <v>539</v>
      </c>
      <c r="AA489" s="124" t="s">
        <v>574</v>
      </c>
    </row>
    <row r="490" spans="1:27" s="124" customFormat="1">
      <c r="A490" s="124">
        <v>830714</v>
      </c>
      <c r="B490" s="124" t="s">
        <v>4563</v>
      </c>
      <c r="C490" s="124">
        <v>8</v>
      </c>
      <c r="E490" s="126" t="s">
        <v>747</v>
      </c>
      <c r="F490" s="124">
        <v>3</v>
      </c>
      <c r="H490" s="124">
        <v>302</v>
      </c>
      <c r="I490" s="128" t="s">
        <v>748</v>
      </c>
      <c r="R490" s="124" t="s">
        <v>3680</v>
      </c>
      <c r="W490" s="124" t="s">
        <v>3681</v>
      </c>
      <c r="X490" s="124" t="s">
        <v>545</v>
      </c>
      <c r="AA490" s="124" t="s">
        <v>574</v>
      </c>
    </row>
    <row r="491" spans="1:27" s="124" customFormat="1">
      <c r="A491" s="124">
        <v>840113</v>
      </c>
      <c r="B491" s="124" t="s">
        <v>4564</v>
      </c>
      <c r="C491" s="124">
        <v>8</v>
      </c>
      <c r="E491" s="126" t="s">
        <v>747</v>
      </c>
      <c r="F491" s="124">
        <v>4</v>
      </c>
      <c r="H491" s="124">
        <v>303</v>
      </c>
      <c r="I491" s="128" t="s">
        <v>748</v>
      </c>
      <c r="R491" s="124" t="s">
        <v>3682</v>
      </c>
      <c r="W491" s="124" t="s">
        <v>3683</v>
      </c>
      <c r="X491" s="124" t="s">
        <v>570</v>
      </c>
      <c r="AA491" s="124" t="s">
        <v>586</v>
      </c>
    </row>
    <row r="492" spans="1:27" s="124" customFormat="1">
      <c r="A492" s="124">
        <v>840213</v>
      </c>
      <c r="B492" s="124" t="s">
        <v>4565</v>
      </c>
      <c r="C492" s="124">
        <v>8</v>
      </c>
      <c r="E492" s="126" t="s">
        <v>747</v>
      </c>
      <c r="F492" s="124">
        <v>4</v>
      </c>
      <c r="H492" s="124">
        <v>302</v>
      </c>
      <c r="I492" s="128" t="s">
        <v>748</v>
      </c>
      <c r="R492" s="124" t="s">
        <v>3684</v>
      </c>
      <c r="W492" s="124" t="s">
        <v>3685</v>
      </c>
      <c r="X492" s="124" t="s">
        <v>539</v>
      </c>
      <c r="AA492" s="124" t="s">
        <v>586</v>
      </c>
    </row>
    <row r="493" spans="1:27" s="124" customFormat="1">
      <c r="A493" s="124">
        <v>840313</v>
      </c>
      <c r="B493" s="124" t="s">
        <v>4566</v>
      </c>
      <c r="C493" s="124">
        <v>8</v>
      </c>
      <c r="E493" s="126" t="s">
        <v>747</v>
      </c>
      <c r="F493" s="124">
        <v>4</v>
      </c>
      <c r="H493" s="124">
        <v>305</v>
      </c>
      <c r="I493" s="128" t="s">
        <v>748</v>
      </c>
      <c r="R493" s="124" t="s">
        <v>3686</v>
      </c>
      <c r="W493" s="124" t="s">
        <v>3687</v>
      </c>
      <c r="X493" s="124" t="s">
        <v>539</v>
      </c>
      <c r="AA493" s="124" t="s">
        <v>586</v>
      </c>
    </row>
    <row r="494" spans="1:27" s="124" customFormat="1">
      <c r="A494" s="124">
        <v>840413</v>
      </c>
      <c r="B494" s="124" t="s">
        <v>4567</v>
      </c>
      <c r="C494" s="124">
        <v>8</v>
      </c>
      <c r="E494" s="126" t="s">
        <v>747</v>
      </c>
      <c r="F494" s="124">
        <v>4</v>
      </c>
      <c r="H494" s="124">
        <v>307</v>
      </c>
      <c r="I494" s="128" t="s">
        <v>748</v>
      </c>
      <c r="R494" s="124" t="s">
        <v>3688</v>
      </c>
      <c r="W494" s="124" t="s">
        <v>3689</v>
      </c>
      <c r="X494" s="124" t="s">
        <v>545</v>
      </c>
      <c r="AA494" s="124" t="s">
        <v>586</v>
      </c>
    </row>
    <row r="495" spans="1:27" s="124" customFormat="1">
      <c r="A495" s="124">
        <v>840513</v>
      </c>
      <c r="B495" s="124" t="s">
        <v>4568</v>
      </c>
      <c r="C495" s="124">
        <v>8</v>
      </c>
      <c r="E495" s="126" t="s">
        <v>747</v>
      </c>
      <c r="F495" s="124">
        <v>4</v>
      </c>
      <c r="H495" s="124">
        <v>307</v>
      </c>
      <c r="I495" s="128" t="s">
        <v>748</v>
      </c>
      <c r="R495" s="124" t="s">
        <v>3690</v>
      </c>
      <c r="W495" s="124" t="s">
        <v>3691</v>
      </c>
      <c r="X495" s="124" t="s">
        <v>564</v>
      </c>
      <c r="AA495" s="124" t="s">
        <v>586</v>
      </c>
    </row>
    <row r="496" spans="1:27" s="124" customFormat="1">
      <c r="A496" s="124">
        <v>840613</v>
      </c>
      <c r="B496" s="124" t="s">
        <v>4569</v>
      </c>
      <c r="C496" s="124">
        <v>8</v>
      </c>
      <c r="E496" s="126" t="s">
        <v>747</v>
      </c>
      <c r="F496" s="124">
        <v>4</v>
      </c>
      <c r="H496" s="124">
        <v>306</v>
      </c>
      <c r="I496" s="128" t="s">
        <v>748</v>
      </c>
      <c r="R496" s="124" t="s">
        <v>3692</v>
      </c>
      <c r="W496" s="124" t="s">
        <v>3693</v>
      </c>
      <c r="X496" s="124" t="s">
        <v>564</v>
      </c>
      <c r="AA496" s="124" t="s">
        <v>586</v>
      </c>
    </row>
    <row r="497" spans="1:27" s="124" customFormat="1">
      <c r="A497" s="124">
        <v>840713</v>
      </c>
      <c r="B497" s="124" t="s">
        <v>4570</v>
      </c>
      <c r="C497" s="124">
        <v>8</v>
      </c>
      <c r="E497" s="126" t="s">
        <v>747</v>
      </c>
      <c r="F497" s="124">
        <v>4</v>
      </c>
      <c r="H497" s="124">
        <v>304</v>
      </c>
      <c r="I497" s="128" t="s">
        <v>748</v>
      </c>
      <c r="R497" s="124" t="s">
        <v>3694</v>
      </c>
      <c r="W497" s="124" t="s">
        <v>3695</v>
      </c>
      <c r="X497" s="124" t="s">
        <v>542</v>
      </c>
      <c r="AA497" s="124" t="s">
        <v>586</v>
      </c>
    </row>
    <row r="498" spans="1:27" s="124" customFormat="1">
      <c r="A498" s="124">
        <v>840813</v>
      </c>
      <c r="B498" s="124" t="s">
        <v>4571</v>
      </c>
      <c r="C498" s="124">
        <v>8</v>
      </c>
      <c r="E498" s="126" t="s">
        <v>747</v>
      </c>
      <c r="F498" s="124">
        <v>4</v>
      </c>
      <c r="H498" s="124">
        <v>301</v>
      </c>
      <c r="I498" s="128" t="s">
        <v>748</v>
      </c>
      <c r="R498" s="124" t="s">
        <v>3696</v>
      </c>
      <c r="W498" s="124" t="s">
        <v>3697</v>
      </c>
      <c r="X498" s="124" t="s">
        <v>531</v>
      </c>
      <c r="AA498" s="124" t="s">
        <v>586</v>
      </c>
    </row>
    <row r="499" spans="1:27" s="124" customFormat="1">
      <c r="A499" s="124">
        <v>840913</v>
      </c>
      <c r="B499" s="124" t="s">
        <v>4572</v>
      </c>
      <c r="C499" s="124">
        <v>8</v>
      </c>
      <c r="E499" s="126" t="s">
        <v>747</v>
      </c>
      <c r="F499" s="124">
        <v>4</v>
      </c>
      <c r="H499" s="124">
        <v>305</v>
      </c>
      <c r="I499" s="128" t="s">
        <v>748</v>
      </c>
      <c r="R499" s="124" t="s">
        <v>3698</v>
      </c>
      <c r="W499" s="124" t="s">
        <v>3699</v>
      </c>
      <c r="X499" s="124" t="s">
        <v>560</v>
      </c>
      <c r="AA499" s="124" t="s">
        <v>586</v>
      </c>
    </row>
    <row r="500" spans="1:27" s="124" customFormat="1">
      <c r="A500" s="124">
        <v>841013</v>
      </c>
      <c r="B500" s="124" t="s">
        <v>4573</v>
      </c>
      <c r="C500" s="124">
        <v>8</v>
      </c>
      <c r="E500" s="126" t="s">
        <v>747</v>
      </c>
      <c r="F500" s="124">
        <v>4</v>
      </c>
      <c r="H500" s="124">
        <v>301</v>
      </c>
      <c r="I500" s="128" t="s">
        <v>748</v>
      </c>
      <c r="R500" s="124" t="s">
        <v>3700</v>
      </c>
      <c r="W500" s="124" t="s">
        <v>3701</v>
      </c>
      <c r="X500" s="124" t="s">
        <v>542</v>
      </c>
      <c r="AA500" s="124" t="s">
        <v>586</v>
      </c>
    </row>
    <row r="501" spans="1:27" s="124" customFormat="1">
      <c r="A501" s="124">
        <v>841113</v>
      </c>
      <c r="B501" s="124" t="s">
        <v>4574</v>
      </c>
      <c r="C501" s="124">
        <v>8</v>
      </c>
      <c r="E501" s="126" t="s">
        <v>747</v>
      </c>
      <c r="F501" s="124">
        <v>4</v>
      </c>
      <c r="H501" s="124">
        <v>308</v>
      </c>
      <c r="I501" s="128" t="s">
        <v>748</v>
      </c>
      <c r="R501" s="124" t="s">
        <v>3702</v>
      </c>
      <c r="W501" s="124" t="s">
        <v>3703</v>
      </c>
      <c r="X501" s="124" t="s">
        <v>566</v>
      </c>
      <c r="AA501" s="124" t="s">
        <v>586</v>
      </c>
    </row>
    <row r="502" spans="1:27" s="124" customFormat="1">
      <c r="A502" s="124">
        <v>841213</v>
      </c>
      <c r="B502" s="124" t="s">
        <v>4575</v>
      </c>
      <c r="C502" s="124">
        <v>8</v>
      </c>
      <c r="E502" s="126" t="s">
        <v>747</v>
      </c>
      <c r="F502" s="124">
        <v>4</v>
      </c>
      <c r="H502" s="124">
        <v>304</v>
      </c>
      <c r="I502" s="128" t="s">
        <v>748</v>
      </c>
      <c r="R502" s="124" t="s">
        <v>3704</v>
      </c>
      <c r="W502" s="124" t="s">
        <v>3705</v>
      </c>
      <c r="X502" s="124" t="s">
        <v>564</v>
      </c>
      <c r="AA502" s="124" t="s">
        <v>586</v>
      </c>
    </row>
    <row r="503" spans="1:27" s="124" customFormat="1">
      <c r="A503" s="124">
        <v>880108</v>
      </c>
      <c r="B503" s="124" t="s">
        <v>4576</v>
      </c>
      <c r="C503" s="124">
        <v>8</v>
      </c>
      <c r="E503" s="126" t="s">
        <v>747</v>
      </c>
      <c r="F503" s="124">
        <v>8</v>
      </c>
      <c r="H503" s="124">
        <v>308</v>
      </c>
      <c r="I503" s="128" t="s">
        <v>748</v>
      </c>
      <c r="O503" s="124">
        <v>2</v>
      </c>
      <c r="R503" s="124" t="s">
        <v>3732</v>
      </c>
      <c r="W503" s="124" t="s">
        <v>3733</v>
      </c>
      <c r="X503" s="124" t="s">
        <v>568</v>
      </c>
      <c r="AA503" s="124" t="s">
        <v>589</v>
      </c>
    </row>
    <row r="504" spans="1:27" s="124" customFormat="1">
      <c r="A504" s="124">
        <v>880208</v>
      </c>
      <c r="B504" s="124" t="s">
        <v>4577</v>
      </c>
      <c r="C504" s="124">
        <v>8</v>
      </c>
      <c r="E504" s="126" t="s">
        <v>747</v>
      </c>
      <c r="F504" s="124">
        <v>8</v>
      </c>
      <c r="H504" s="124">
        <v>302</v>
      </c>
      <c r="I504" s="128" t="s">
        <v>748</v>
      </c>
      <c r="O504" s="124">
        <v>2</v>
      </c>
      <c r="R504" s="124" t="s">
        <v>3734</v>
      </c>
      <c r="W504" s="124" t="s">
        <v>3735</v>
      </c>
      <c r="X504" s="124" t="s">
        <v>568</v>
      </c>
      <c r="AA504" s="124" t="s">
        <v>589</v>
      </c>
    </row>
    <row r="505" spans="1:27" s="124" customFormat="1">
      <c r="A505" s="124">
        <v>880308</v>
      </c>
      <c r="B505" s="124" t="s">
        <v>4578</v>
      </c>
      <c r="C505" s="124">
        <v>8</v>
      </c>
      <c r="E505" s="126" t="s">
        <v>747</v>
      </c>
      <c r="F505" s="124">
        <v>8</v>
      </c>
      <c r="H505" s="124">
        <v>304</v>
      </c>
      <c r="I505" s="128" t="s">
        <v>748</v>
      </c>
      <c r="O505" s="124">
        <v>2</v>
      </c>
      <c r="R505" s="124" t="s">
        <v>3736</v>
      </c>
      <c r="W505" s="124" t="s">
        <v>3737</v>
      </c>
      <c r="X505" s="124" t="s">
        <v>562</v>
      </c>
      <c r="AA505" s="124" t="s">
        <v>589</v>
      </c>
    </row>
    <row r="506" spans="1:27" s="124" customFormat="1">
      <c r="A506" s="124">
        <v>880408</v>
      </c>
      <c r="B506" s="124" t="s">
        <v>4579</v>
      </c>
      <c r="C506" s="124">
        <v>8</v>
      </c>
      <c r="E506" s="126" t="s">
        <v>747</v>
      </c>
      <c r="F506" s="124">
        <v>8</v>
      </c>
      <c r="H506" s="124">
        <v>307</v>
      </c>
      <c r="I506" s="128" t="s">
        <v>748</v>
      </c>
      <c r="O506" s="124">
        <v>2</v>
      </c>
      <c r="R506" s="124" t="s">
        <v>3738</v>
      </c>
      <c r="W506" s="124" t="s">
        <v>3739</v>
      </c>
      <c r="X506" s="124" t="s">
        <v>499</v>
      </c>
      <c r="AA506" s="124" t="s">
        <v>589</v>
      </c>
    </row>
    <row r="507" spans="1:27" s="124" customFormat="1">
      <c r="A507" s="124">
        <v>880508</v>
      </c>
      <c r="B507" s="124" t="s">
        <v>4580</v>
      </c>
      <c r="C507" s="124">
        <v>8</v>
      </c>
      <c r="E507" s="126" t="s">
        <v>747</v>
      </c>
      <c r="F507" s="124">
        <v>8</v>
      </c>
      <c r="H507" s="124">
        <v>305</v>
      </c>
      <c r="I507" s="128" t="s">
        <v>748</v>
      </c>
      <c r="O507" s="124">
        <v>2</v>
      </c>
      <c r="R507" s="124" t="s">
        <v>3740</v>
      </c>
      <c r="W507" s="124" t="s">
        <v>3741</v>
      </c>
      <c r="X507" s="124" t="s">
        <v>560</v>
      </c>
      <c r="AA507" s="124" t="s">
        <v>589</v>
      </c>
    </row>
    <row r="508" spans="1:27" s="124" customFormat="1">
      <c r="A508" s="124">
        <v>880608</v>
      </c>
      <c r="B508" s="124" t="s">
        <v>4581</v>
      </c>
      <c r="C508" s="124">
        <v>8</v>
      </c>
      <c r="E508" s="126" t="s">
        <v>747</v>
      </c>
      <c r="F508" s="124">
        <v>8</v>
      </c>
      <c r="H508" s="124">
        <v>301</v>
      </c>
      <c r="I508" s="128" t="s">
        <v>748</v>
      </c>
      <c r="O508" s="124">
        <v>2</v>
      </c>
      <c r="R508" s="124" t="s">
        <v>3742</v>
      </c>
      <c r="W508" s="124" t="s">
        <v>3743</v>
      </c>
      <c r="X508" s="124" t="s">
        <v>484</v>
      </c>
      <c r="AA508" s="124" t="s">
        <v>589</v>
      </c>
    </row>
    <row r="509" spans="1:27" s="124" customFormat="1">
      <c r="A509" s="124">
        <v>880708</v>
      </c>
      <c r="B509" s="124" t="s">
        <v>4582</v>
      </c>
      <c r="C509" s="124">
        <v>8</v>
      </c>
      <c r="E509" s="126" t="s">
        <v>747</v>
      </c>
      <c r="F509" s="124">
        <v>8</v>
      </c>
      <c r="H509" s="124">
        <v>303</v>
      </c>
      <c r="I509" s="128" t="s">
        <v>748</v>
      </c>
      <c r="O509" s="124">
        <v>2</v>
      </c>
      <c r="R509" s="124" t="s">
        <v>3744</v>
      </c>
      <c r="W509" s="124" t="s">
        <v>3745</v>
      </c>
      <c r="X509" s="124" t="s">
        <v>512</v>
      </c>
      <c r="AA509" s="124" t="s">
        <v>589</v>
      </c>
    </row>
    <row r="510" spans="1:27" s="124" customFormat="1">
      <c r="A510" s="124">
        <v>810114</v>
      </c>
      <c r="B510" s="124" t="s">
        <v>4942</v>
      </c>
      <c r="C510" s="124">
        <v>8</v>
      </c>
      <c r="E510" s="126" t="s">
        <v>747</v>
      </c>
      <c r="F510" s="124">
        <v>1</v>
      </c>
      <c r="H510" s="124">
        <v>304</v>
      </c>
      <c r="I510" s="128" t="s">
        <v>748</v>
      </c>
      <c r="R510" s="124" t="s">
        <v>3575</v>
      </c>
      <c r="W510" s="124" t="s">
        <v>3576</v>
      </c>
      <c r="X510" s="124" t="s">
        <v>499</v>
      </c>
      <c r="AA510" s="124" t="s">
        <v>532</v>
      </c>
    </row>
    <row r="511" spans="1:27" s="124" customFormat="1">
      <c r="A511" s="124">
        <v>810214</v>
      </c>
      <c r="B511" s="124" t="s">
        <v>4943</v>
      </c>
      <c r="C511" s="124">
        <v>8</v>
      </c>
      <c r="E511" s="126" t="s">
        <v>747</v>
      </c>
      <c r="F511" s="124">
        <v>1</v>
      </c>
      <c r="H511" s="124">
        <v>307</v>
      </c>
      <c r="I511" s="128" t="s">
        <v>748</v>
      </c>
      <c r="R511" s="124" t="s">
        <v>3577</v>
      </c>
      <c r="W511" s="124" t="s">
        <v>3578</v>
      </c>
      <c r="X511" s="124" t="s">
        <v>499</v>
      </c>
      <c r="AA511" s="124" t="s">
        <v>532</v>
      </c>
    </row>
    <row r="512" spans="1:27" s="124" customFormat="1">
      <c r="A512" s="124">
        <v>810314</v>
      </c>
      <c r="B512" s="124" t="s">
        <v>4944</v>
      </c>
      <c r="C512" s="124">
        <v>8</v>
      </c>
      <c r="E512" s="126" t="s">
        <v>747</v>
      </c>
      <c r="F512" s="124">
        <v>1</v>
      </c>
      <c r="H512" s="124">
        <v>305</v>
      </c>
      <c r="I512" s="128" t="s">
        <v>748</v>
      </c>
      <c r="R512" s="124" t="s">
        <v>3579</v>
      </c>
      <c r="W512" s="124" t="s">
        <v>3580</v>
      </c>
      <c r="X512" s="124" t="s">
        <v>531</v>
      </c>
      <c r="AA512" s="124" t="s">
        <v>532</v>
      </c>
    </row>
    <row r="513" spans="1:34" s="124" customFormat="1">
      <c r="A513" s="124">
        <v>810414</v>
      </c>
      <c r="B513" s="124" t="s">
        <v>4945</v>
      </c>
      <c r="C513" s="124">
        <v>8</v>
      </c>
      <c r="E513" s="126" t="s">
        <v>747</v>
      </c>
      <c r="F513" s="124">
        <v>1</v>
      </c>
      <c r="H513" s="124">
        <v>306</v>
      </c>
      <c r="I513" s="128" t="s">
        <v>748</v>
      </c>
      <c r="R513" s="124" t="s">
        <v>3581</v>
      </c>
      <c r="W513" s="124" t="s">
        <v>3582</v>
      </c>
      <c r="X513" s="124" t="s">
        <v>522</v>
      </c>
      <c r="AA513" s="124" t="s">
        <v>532</v>
      </c>
    </row>
    <row r="514" spans="1:34" s="124" customFormat="1">
      <c r="A514" s="124">
        <v>810514</v>
      </c>
      <c r="B514" s="124" t="s">
        <v>4946</v>
      </c>
      <c r="C514" s="124">
        <v>8</v>
      </c>
      <c r="E514" s="126" t="s">
        <v>747</v>
      </c>
      <c r="F514" s="124">
        <v>1</v>
      </c>
      <c r="H514" s="124">
        <v>307</v>
      </c>
      <c r="I514" s="128" t="s">
        <v>748</v>
      </c>
      <c r="R514" s="124" t="s">
        <v>3583</v>
      </c>
      <c r="W514" s="124" t="s">
        <v>3584</v>
      </c>
      <c r="X514" s="124" t="s">
        <v>522</v>
      </c>
      <c r="AA514" s="124" t="s">
        <v>532</v>
      </c>
    </row>
    <row r="515" spans="1:34" s="124" customFormat="1">
      <c r="A515" s="124">
        <v>810614</v>
      </c>
      <c r="B515" s="124" t="s">
        <v>4947</v>
      </c>
      <c r="C515" s="124">
        <v>8</v>
      </c>
      <c r="E515" s="126" t="s">
        <v>747</v>
      </c>
      <c r="F515" s="124">
        <v>1</v>
      </c>
      <c r="H515" s="124">
        <v>301</v>
      </c>
      <c r="I515" s="128" t="s">
        <v>748</v>
      </c>
      <c r="R515" s="124" t="s">
        <v>3585</v>
      </c>
      <c r="W515" s="124" t="s">
        <v>3586</v>
      </c>
      <c r="X515" s="124" t="s">
        <v>542</v>
      </c>
      <c r="AA515" s="124" t="s">
        <v>532</v>
      </c>
    </row>
    <row r="516" spans="1:34" s="124" customFormat="1">
      <c r="A516" s="124">
        <v>810714</v>
      </c>
      <c r="B516" s="124" t="s">
        <v>4948</v>
      </c>
      <c r="C516" s="124">
        <v>8</v>
      </c>
      <c r="E516" s="126" t="s">
        <v>747</v>
      </c>
      <c r="F516" s="124">
        <v>1</v>
      </c>
      <c r="H516" s="124">
        <v>308</v>
      </c>
      <c r="I516" s="128" t="s">
        <v>748</v>
      </c>
      <c r="R516" s="124" t="s">
        <v>3587</v>
      </c>
      <c r="W516" s="124" t="s">
        <v>3588</v>
      </c>
      <c r="X516" s="124" t="s">
        <v>522</v>
      </c>
      <c r="AA516" s="124" t="s">
        <v>532</v>
      </c>
    </row>
    <row r="517" spans="1:34" s="124" customFormat="1">
      <c r="A517" s="124">
        <v>810814</v>
      </c>
      <c r="B517" s="124" t="s">
        <v>4949</v>
      </c>
      <c r="C517" s="124">
        <v>8</v>
      </c>
      <c r="E517" s="126" t="s">
        <v>747</v>
      </c>
      <c r="F517" s="124">
        <v>1</v>
      </c>
      <c r="H517" s="124">
        <v>303</v>
      </c>
      <c r="I517" s="128" t="s">
        <v>748</v>
      </c>
      <c r="R517" s="124" t="s">
        <v>3589</v>
      </c>
      <c r="W517" s="124" t="s">
        <v>3590</v>
      </c>
      <c r="X517" s="124" t="s">
        <v>562</v>
      </c>
      <c r="AA517" s="124" t="s">
        <v>532</v>
      </c>
    </row>
    <row r="518" spans="1:34" s="124" customFormat="1">
      <c r="A518" s="124">
        <v>810914</v>
      </c>
      <c r="B518" s="124" t="s">
        <v>4950</v>
      </c>
      <c r="C518" s="124">
        <v>8</v>
      </c>
      <c r="E518" s="126" t="s">
        <v>747</v>
      </c>
      <c r="F518" s="124">
        <v>1</v>
      </c>
      <c r="H518" s="124">
        <v>301</v>
      </c>
      <c r="I518" s="128" t="s">
        <v>748</v>
      </c>
      <c r="R518" s="124" t="s">
        <v>3591</v>
      </c>
      <c r="W518" s="124" t="s">
        <v>3592</v>
      </c>
      <c r="X518" s="124" t="s">
        <v>560</v>
      </c>
      <c r="AA518" s="124" t="s">
        <v>532</v>
      </c>
    </row>
    <row r="519" spans="1:34" s="124" customFormat="1">
      <c r="A519" s="124">
        <v>811014</v>
      </c>
      <c r="B519" s="124" t="s">
        <v>4951</v>
      </c>
      <c r="C519" s="124">
        <v>8</v>
      </c>
      <c r="E519" s="126" t="s">
        <v>747</v>
      </c>
      <c r="F519" s="124">
        <v>1</v>
      </c>
      <c r="H519" s="124">
        <v>304</v>
      </c>
      <c r="I519" s="128" t="s">
        <v>748</v>
      </c>
      <c r="R519" s="124" t="s">
        <v>3593</v>
      </c>
      <c r="W519" s="124" t="s">
        <v>3594</v>
      </c>
      <c r="X519" s="124" t="s">
        <v>522</v>
      </c>
      <c r="AA519" s="124" t="s">
        <v>532</v>
      </c>
    </row>
    <row r="520" spans="1:34" s="124" customFormat="1">
      <c r="A520" s="124">
        <v>811114</v>
      </c>
      <c r="B520" s="124" t="s">
        <v>4952</v>
      </c>
      <c r="C520" s="124">
        <v>8</v>
      </c>
      <c r="E520" s="126" t="s">
        <v>747</v>
      </c>
      <c r="F520" s="124">
        <v>1</v>
      </c>
      <c r="H520" s="124">
        <v>302</v>
      </c>
      <c r="I520" s="128" t="s">
        <v>748</v>
      </c>
      <c r="R520" s="124" t="s">
        <v>3595</v>
      </c>
      <c r="W520" s="124" t="s">
        <v>3596</v>
      </c>
      <c r="X520" s="124" t="s">
        <v>452</v>
      </c>
      <c r="AA520" s="124" t="s">
        <v>532</v>
      </c>
    </row>
    <row r="521" spans="1:34" s="124" customFormat="1">
      <c r="A521" s="124">
        <v>811214</v>
      </c>
      <c r="B521" s="124" t="s">
        <v>4953</v>
      </c>
      <c r="C521" s="124">
        <v>8</v>
      </c>
      <c r="E521" s="126" t="s">
        <v>747</v>
      </c>
      <c r="F521" s="124">
        <v>1</v>
      </c>
      <c r="H521" s="124">
        <v>305</v>
      </c>
      <c r="I521" s="128" t="s">
        <v>748</v>
      </c>
      <c r="R521" s="124" t="s">
        <v>3597</v>
      </c>
      <c r="W521" s="124" t="s">
        <v>3598</v>
      </c>
      <c r="X521" s="124" t="s">
        <v>499</v>
      </c>
      <c r="AA521" s="124" t="s">
        <v>532</v>
      </c>
    </row>
    <row r="522" spans="1:34" s="124" customFormat="1">
      <c r="A522" s="124">
        <v>811314</v>
      </c>
      <c r="B522" s="124" t="s">
        <v>4954</v>
      </c>
      <c r="C522" s="124">
        <v>8</v>
      </c>
      <c r="E522" s="126" t="s">
        <v>747</v>
      </c>
      <c r="F522" s="124">
        <v>1</v>
      </c>
      <c r="H522" s="124">
        <v>308</v>
      </c>
      <c r="I522" s="128" t="s">
        <v>748</v>
      </c>
      <c r="R522" s="124" t="s">
        <v>3601</v>
      </c>
      <c r="W522" s="124" t="s">
        <v>3602</v>
      </c>
      <c r="X522" s="124" t="s">
        <v>439</v>
      </c>
      <c r="AA522" s="124" t="s">
        <v>532</v>
      </c>
    </row>
    <row r="523" spans="1:34" s="124" customFormat="1">
      <c r="A523" s="124">
        <v>811415</v>
      </c>
      <c r="B523" s="124" t="s">
        <v>4957</v>
      </c>
      <c r="C523" s="124">
        <v>8</v>
      </c>
      <c r="E523" s="126" t="s">
        <v>747</v>
      </c>
      <c r="F523" s="124">
        <v>1</v>
      </c>
      <c r="H523" s="124">
        <v>303</v>
      </c>
      <c r="I523" s="128" t="s">
        <v>748</v>
      </c>
      <c r="R523" s="124" t="s">
        <v>4955</v>
      </c>
      <c r="W523" s="124" t="s">
        <v>4956</v>
      </c>
      <c r="X523" s="124" t="s">
        <v>531</v>
      </c>
      <c r="AA523" s="124" t="s">
        <v>525</v>
      </c>
    </row>
    <row r="524" spans="1:34" s="124" customFormat="1">
      <c r="E524" s="126"/>
      <c r="I524" s="128"/>
    </row>
    <row r="525" spans="1:34" s="124" customFormat="1">
      <c r="I525" s="127"/>
    </row>
    <row r="526" spans="1:34" s="124" customFormat="1">
      <c r="A526" s="124">
        <v>31720</v>
      </c>
      <c r="B526" s="124" t="s">
        <v>3746</v>
      </c>
      <c r="C526" s="124">
        <v>3</v>
      </c>
      <c r="E526" s="124" t="s">
        <v>3747</v>
      </c>
      <c r="F526" s="124">
        <v>1</v>
      </c>
      <c r="G526" s="124" t="s">
        <v>3748</v>
      </c>
      <c r="H526" s="124">
        <v>307</v>
      </c>
      <c r="I526" s="128" t="s">
        <v>3327</v>
      </c>
      <c r="J526" s="124">
        <v>0</v>
      </c>
      <c r="T526" s="124" t="s">
        <v>3755</v>
      </c>
      <c r="U526" s="124" t="s">
        <v>3756</v>
      </c>
      <c r="W526" s="124">
        <v>2</v>
      </c>
      <c r="X526" s="124" t="s">
        <v>3435</v>
      </c>
      <c r="Y526" s="124">
        <v>105</v>
      </c>
      <c r="Z526" s="124">
        <v>1</v>
      </c>
      <c r="AA526" s="124" t="s">
        <v>472</v>
      </c>
    </row>
    <row r="527" spans="1:34" s="124" customFormat="1">
      <c r="A527" s="124">
        <v>32710</v>
      </c>
      <c r="B527" s="124" t="s">
        <v>3749</v>
      </c>
      <c r="C527" s="124">
        <v>3</v>
      </c>
      <c r="E527" s="124" t="s">
        <v>3747</v>
      </c>
      <c r="F527" s="124">
        <v>2</v>
      </c>
      <c r="G527" s="124" t="s">
        <v>3750</v>
      </c>
      <c r="H527" s="124">
        <v>302</v>
      </c>
      <c r="I527" s="128" t="s">
        <v>3327</v>
      </c>
      <c r="J527" s="124">
        <v>0</v>
      </c>
      <c r="T527" s="124" t="s">
        <v>3757</v>
      </c>
      <c r="U527" s="124" t="s">
        <v>3758</v>
      </c>
      <c r="W527" s="124">
        <v>2</v>
      </c>
      <c r="X527" s="124" t="s">
        <v>3436</v>
      </c>
      <c r="Y527" s="124">
        <v>107</v>
      </c>
      <c r="Z527" s="124">
        <v>3</v>
      </c>
      <c r="AA527" s="124" t="s">
        <v>554</v>
      </c>
    </row>
    <row r="528" spans="1:34" s="124" customFormat="1">
      <c r="A528" s="124">
        <v>41370</v>
      </c>
      <c r="B528" s="124" t="s">
        <v>3751</v>
      </c>
      <c r="C528" s="124">
        <v>4</v>
      </c>
      <c r="E528" s="124" t="s">
        <v>3747</v>
      </c>
      <c r="F528" s="124">
        <v>1</v>
      </c>
      <c r="G528" s="124" t="s">
        <v>3752</v>
      </c>
      <c r="H528" s="124">
        <v>303</v>
      </c>
      <c r="I528" s="128" t="s">
        <v>3327</v>
      </c>
      <c r="J528" s="124">
        <v>1</v>
      </c>
      <c r="K528" s="124">
        <v>10681</v>
      </c>
      <c r="L528" s="124">
        <v>410682</v>
      </c>
      <c r="M528" s="124">
        <v>26</v>
      </c>
      <c r="N528" s="124">
        <v>40</v>
      </c>
      <c r="S528" s="124" t="s">
        <v>3759</v>
      </c>
      <c r="T528" s="124" t="s">
        <v>3760</v>
      </c>
      <c r="U528" s="124" t="s">
        <v>3761</v>
      </c>
      <c r="W528" s="124">
        <v>4</v>
      </c>
      <c r="X528" s="124" t="s">
        <v>3434</v>
      </c>
      <c r="Y528" s="124">
        <v>106</v>
      </c>
      <c r="Z528" s="124">
        <v>9</v>
      </c>
      <c r="AA528" s="124" t="s">
        <v>456</v>
      </c>
      <c r="AB528" s="124" t="s">
        <v>3765</v>
      </c>
      <c r="AC528" s="124">
        <v>5</v>
      </c>
      <c r="AD528" s="124" t="s">
        <v>3767</v>
      </c>
      <c r="AE528" s="124" t="s">
        <v>3768</v>
      </c>
      <c r="AF528" s="124" t="s">
        <v>3769</v>
      </c>
      <c r="AG528" s="124" t="s">
        <v>3770</v>
      </c>
      <c r="AH528" s="124" t="s">
        <v>3771</v>
      </c>
    </row>
    <row r="529" spans="1:34" s="124" customFormat="1">
      <c r="A529" s="124">
        <v>42360</v>
      </c>
      <c r="B529" s="124" t="s">
        <v>3753</v>
      </c>
      <c r="C529" s="124">
        <v>4</v>
      </c>
      <c r="E529" s="124" t="s">
        <v>3747</v>
      </c>
      <c r="F529" s="124">
        <v>2</v>
      </c>
      <c r="G529" s="124" t="s">
        <v>3754</v>
      </c>
      <c r="H529" s="124">
        <v>308</v>
      </c>
      <c r="I529" s="128" t="s">
        <v>3327</v>
      </c>
      <c r="J529" s="124">
        <v>1</v>
      </c>
      <c r="K529" s="124">
        <v>20661</v>
      </c>
      <c r="L529" s="145">
        <v>420664</v>
      </c>
      <c r="M529" s="124">
        <v>26</v>
      </c>
      <c r="N529" s="124">
        <v>40</v>
      </c>
      <c r="S529" s="124" t="s">
        <v>3762</v>
      </c>
      <c r="T529" s="124" t="s">
        <v>3763</v>
      </c>
      <c r="U529" s="124" t="s">
        <v>3764</v>
      </c>
      <c r="W529" s="124">
        <v>4</v>
      </c>
      <c r="X529" s="124" t="s">
        <v>3319</v>
      </c>
      <c r="Y529" s="124">
        <v>108</v>
      </c>
      <c r="Z529" s="124">
        <v>6</v>
      </c>
      <c r="AA529" s="124" t="s">
        <v>548</v>
      </c>
      <c r="AB529" s="124" t="s">
        <v>3766</v>
      </c>
      <c r="AC529" s="124">
        <v>5</v>
      </c>
      <c r="AD529" s="124" t="s">
        <v>3772</v>
      </c>
      <c r="AE529" s="124" t="s">
        <v>3773</v>
      </c>
      <c r="AF529" s="124" t="s">
        <v>3774</v>
      </c>
      <c r="AG529" s="124" t="s">
        <v>3775</v>
      </c>
      <c r="AH529" s="124" t="s">
        <v>3776</v>
      </c>
    </row>
    <row r="530" spans="1:34" s="124" customFormat="1">
      <c r="A530" s="124">
        <v>32720</v>
      </c>
      <c r="B530" s="124" t="s">
        <v>3828</v>
      </c>
      <c r="C530" s="124">
        <v>3</v>
      </c>
      <c r="E530" s="124" t="s">
        <v>3519</v>
      </c>
      <c r="F530" s="124">
        <v>2</v>
      </c>
      <c r="G530" s="124" t="s">
        <v>3831</v>
      </c>
      <c r="H530" s="124">
        <v>307</v>
      </c>
      <c r="I530" s="128" t="s">
        <v>3520</v>
      </c>
      <c r="J530" s="124">
        <v>0</v>
      </c>
      <c r="T530" s="124" t="s">
        <v>3830</v>
      </c>
      <c r="U530" s="124" t="s">
        <v>3829</v>
      </c>
      <c r="W530" s="124">
        <v>3</v>
      </c>
      <c r="X530" s="124" t="s">
        <v>3436</v>
      </c>
      <c r="Y530" s="124">
        <v>7</v>
      </c>
      <c r="Z530" s="124">
        <v>2</v>
      </c>
      <c r="AA530" s="124" t="s">
        <v>543</v>
      </c>
    </row>
    <row r="531" spans="1:34" s="124" customFormat="1">
      <c r="A531" s="124">
        <v>34750</v>
      </c>
      <c r="B531" s="124" t="s">
        <v>3437</v>
      </c>
      <c r="C531" s="124">
        <v>3</v>
      </c>
      <c r="E531" s="124" t="s">
        <v>3438</v>
      </c>
      <c r="F531" s="124">
        <v>4</v>
      </c>
      <c r="G531" s="124" t="s">
        <v>3439</v>
      </c>
      <c r="H531" s="124">
        <v>306</v>
      </c>
      <c r="I531" s="128" t="s">
        <v>3440</v>
      </c>
      <c r="J531" s="124">
        <v>1</v>
      </c>
      <c r="K531" s="124">
        <v>40651</v>
      </c>
      <c r="L531" s="124">
        <v>440652</v>
      </c>
      <c r="M531" s="124">
        <v>35</v>
      </c>
      <c r="N531" s="124">
        <v>52</v>
      </c>
      <c r="T531" s="124" t="s">
        <v>3441</v>
      </c>
      <c r="U531" s="124" t="s">
        <v>3442</v>
      </c>
      <c r="W531" s="124">
        <v>6</v>
      </c>
      <c r="X531" s="124" t="s">
        <v>468</v>
      </c>
      <c r="Y531" s="124">
        <v>133</v>
      </c>
      <c r="Z531" s="124">
        <v>7</v>
      </c>
      <c r="AA531" s="124" t="s">
        <v>581</v>
      </c>
      <c r="AB531" s="124" t="s">
        <v>3443</v>
      </c>
      <c r="AC531" s="124">
        <v>6</v>
      </c>
      <c r="AD531" s="124" t="s">
        <v>3521</v>
      </c>
      <c r="AE531" s="124" t="s">
        <v>3522</v>
      </c>
      <c r="AF531" s="124" t="s">
        <v>3523</v>
      </c>
      <c r="AG531" s="124" t="s">
        <v>3524</v>
      </c>
      <c r="AH531" s="124" t="s">
        <v>3525</v>
      </c>
    </row>
    <row r="532" spans="1:34" s="124" customFormat="1">
      <c r="A532" s="124">
        <v>44360</v>
      </c>
      <c r="B532" s="124" t="s">
        <v>3444</v>
      </c>
      <c r="C532" s="124">
        <v>4</v>
      </c>
      <c r="D532" s="124">
        <v>4</v>
      </c>
      <c r="E532" s="124" t="s">
        <v>3438</v>
      </c>
      <c r="F532" s="124">
        <v>4</v>
      </c>
      <c r="G532" s="124" t="s">
        <v>3445</v>
      </c>
      <c r="H532" s="124">
        <v>306</v>
      </c>
      <c r="I532" s="128" t="s">
        <v>3440</v>
      </c>
      <c r="J532" s="124">
        <v>1</v>
      </c>
      <c r="K532" s="124">
        <v>40651</v>
      </c>
      <c r="L532" s="124">
        <v>440652</v>
      </c>
      <c r="M532" s="124">
        <v>35</v>
      </c>
      <c r="N532" s="124">
        <v>52</v>
      </c>
      <c r="S532" s="124" t="s">
        <v>3446</v>
      </c>
      <c r="T532" s="124" t="s">
        <v>3447</v>
      </c>
      <c r="U532" s="124" t="s">
        <v>3448</v>
      </c>
      <c r="W532" s="124">
        <v>6</v>
      </c>
      <c r="X532" s="124" t="s">
        <v>542</v>
      </c>
      <c r="Y532" s="124">
        <v>224</v>
      </c>
      <c r="Z532" s="124">
        <v>5</v>
      </c>
      <c r="AA532" s="124" t="s">
        <v>580</v>
      </c>
      <c r="AB532" s="124" t="s">
        <v>3443</v>
      </c>
      <c r="AC532" s="124">
        <v>6</v>
      </c>
      <c r="AD532" s="124" t="s">
        <v>3521</v>
      </c>
      <c r="AE532" s="124" t="s">
        <v>3522</v>
      </c>
      <c r="AF532" s="124" t="s">
        <v>3523</v>
      </c>
      <c r="AG532" s="124" t="s">
        <v>3524</v>
      </c>
      <c r="AH532" s="124" t="s">
        <v>3525</v>
      </c>
    </row>
    <row r="533" spans="1:34" s="124" customFormat="1">
      <c r="I533" s="128"/>
    </row>
    <row r="534" spans="1:34" s="124" customFormat="1">
      <c r="A534" s="124">
        <v>31710</v>
      </c>
      <c r="B534" s="124" t="s">
        <v>3334</v>
      </c>
      <c r="C534" s="124">
        <v>3</v>
      </c>
      <c r="E534" s="124" t="s">
        <v>3335</v>
      </c>
      <c r="F534" s="124">
        <v>1</v>
      </c>
      <c r="G534" s="124" t="s">
        <v>3345</v>
      </c>
      <c r="H534" s="124">
        <v>307</v>
      </c>
      <c r="I534" s="128" t="s">
        <v>741</v>
      </c>
      <c r="J534" s="124">
        <v>0</v>
      </c>
      <c r="T534" s="124" t="s">
        <v>3346</v>
      </c>
      <c r="U534" s="124" t="s">
        <v>3336</v>
      </c>
      <c r="W534" s="124">
        <v>5</v>
      </c>
      <c r="X534" s="124" t="s">
        <v>558</v>
      </c>
      <c r="Y534" s="124">
        <v>104</v>
      </c>
      <c r="Z534" s="124">
        <v>8</v>
      </c>
      <c r="AA534" s="124" t="s">
        <v>472</v>
      </c>
    </row>
    <row r="535" spans="1:34" s="124" customFormat="1">
      <c r="A535" s="124">
        <v>32700</v>
      </c>
      <c r="B535" s="124" t="s">
        <v>3337</v>
      </c>
      <c r="C535" s="124">
        <v>3</v>
      </c>
      <c r="E535" s="124" t="s">
        <v>3335</v>
      </c>
      <c r="F535" s="124">
        <v>2</v>
      </c>
      <c r="G535" s="124" t="s">
        <v>3347</v>
      </c>
      <c r="H535" s="124">
        <v>307</v>
      </c>
      <c r="I535" s="128" t="s">
        <v>741</v>
      </c>
      <c r="J535" s="124">
        <v>0</v>
      </c>
      <c r="T535" s="124" t="s">
        <v>3348</v>
      </c>
      <c r="U535" s="124" t="s">
        <v>3338</v>
      </c>
      <c r="W535" s="124">
        <v>5</v>
      </c>
      <c r="X535" s="124" t="s">
        <v>531</v>
      </c>
      <c r="Y535" s="124">
        <v>102</v>
      </c>
      <c r="Z535" s="124">
        <v>4</v>
      </c>
      <c r="AA535" s="124" t="s">
        <v>554</v>
      </c>
    </row>
    <row r="536" spans="1:34" s="124" customFormat="1">
      <c r="A536" s="124">
        <v>33730</v>
      </c>
      <c r="B536" s="124" t="s">
        <v>3339</v>
      </c>
      <c r="C536" s="124">
        <v>3</v>
      </c>
      <c r="E536" s="124" t="s">
        <v>3335</v>
      </c>
      <c r="F536" s="124">
        <v>3</v>
      </c>
      <c r="G536" s="124" t="s">
        <v>3349</v>
      </c>
      <c r="H536" s="124">
        <v>307</v>
      </c>
      <c r="I536" s="128" t="s">
        <v>741</v>
      </c>
      <c r="J536" s="124">
        <v>0</v>
      </c>
      <c r="T536" s="124" t="s">
        <v>3350</v>
      </c>
      <c r="U536" s="124" t="s">
        <v>3340</v>
      </c>
      <c r="W536" s="124">
        <v>5</v>
      </c>
      <c r="X536" s="124" t="s">
        <v>568</v>
      </c>
      <c r="Y536" s="124">
        <v>103</v>
      </c>
      <c r="Z536" s="124">
        <v>1</v>
      </c>
      <c r="AA536" s="124" t="s">
        <v>569</v>
      </c>
    </row>
    <row r="537" spans="1:34" s="124" customFormat="1">
      <c r="A537" s="124">
        <v>34740</v>
      </c>
      <c r="B537" s="124" t="s">
        <v>3341</v>
      </c>
      <c r="C537" s="124">
        <v>3</v>
      </c>
      <c r="E537" s="124" t="s">
        <v>3335</v>
      </c>
      <c r="F537" s="124">
        <v>4</v>
      </c>
      <c r="G537" s="124" t="s">
        <v>3351</v>
      </c>
      <c r="H537" s="124">
        <v>307</v>
      </c>
      <c r="I537" s="128" t="s">
        <v>741</v>
      </c>
      <c r="J537" s="124">
        <v>0</v>
      </c>
      <c r="T537" s="124" t="s">
        <v>3352</v>
      </c>
      <c r="U537" s="124" t="s">
        <v>3342</v>
      </c>
      <c r="W537" s="124">
        <v>5</v>
      </c>
      <c r="X537" s="124" t="s">
        <v>549</v>
      </c>
      <c r="Y537" s="124">
        <v>101</v>
      </c>
      <c r="Z537" s="124">
        <v>6</v>
      </c>
      <c r="AA537" s="124" t="s">
        <v>580</v>
      </c>
    </row>
    <row r="538" spans="1:34" s="124" customFormat="1">
      <c r="A538" s="124">
        <v>38190</v>
      </c>
      <c r="B538" s="124" t="s">
        <v>3343</v>
      </c>
      <c r="C538" s="124">
        <v>3</v>
      </c>
      <c r="E538" s="124" t="s">
        <v>3335</v>
      </c>
      <c r="F538" s="124">
        <v>8</v>
      </c>
      <c r="G538" s="124" t="s">
        <v>3353</v>
      </c>
      <c r="H538" s="124">
        <v>307</v>
      </c>
      <c r="I538" s="128" t="s">
        <v>741</v>
      </c>
      <c r="J538" s="124">
        <v>0</v>
      </c>
      <c r="T538" s="124" t="s">
        <v>3354</v>
      </c>
      <c r="U538" s="124" t="s">
        <v>3344</v>
      </c>
      <c r="W538" s="124">
        <v>5</v>
      </c>
      <c r="X538" s="124" t="s">
        <v>468</v>
      </c>
      <c r="Y538" s="124">
        <v>6</v>
      </c>
      <c r="Z538" s="124">
        <v>1</v>
      </c>
      <c r="AA538" s="124" t="s">
        <v>588</v>
      </c>
    </row>
    <row r="539" spans="1:34" s="124" customFormat="1" ht="15.75" customHeight="1">
      <c r="A539" s="124">
        <v>51500</v>
      </c>
      <c r="B539" s="124" t="s">
        <v>3449</v>
      </c>
      <c r="C539" s="124">
        <v>5</v>
      </c>
      <c r="E539" s="124" t="s">
        <v>3450</v>
      </c>
      <c r="F539" s="124">
        <v>1</v>
      </c>
      <c r="G539" s="124" t="s">
        <v>3451</v>
      </c>
      <c r="H539" s="124">
        <v>302</v>
      </c>
      <c r="I539" s="128" t="s">
        <v>741</v>
      </c>
      <c r="J539" s="124">
        <v>1</v>
      </c>
      <c r="K539" s="124">
        <v>10651</v>
      </c>
      <c r="L539" s="124">
        <v>410651</v>
      </c>
      <c r="M539" s="124">
        <v>24</v>
      </c>
      <c r="N539" s="124">
        <v>45</v>
      </c>
      <c r="S539" s="124" t="s">
        <v>3452</v>
      </c>
      <c r="T539" s="124" t="s">
        <v>3453</v>
      </c>
      <c r="U539" s="124" t="s">
        <v>3355</v>
      </c>
      <c r="W539" s="124">
        <v>7</v>
      </c>
      <c r="X539" s="124" t="s">
        <v>549</v>
      </c>
      <c r="Y539" s="124">
        <v>202</v>
      </c>
      <c r="Z539" s="124">
        <v>5</v>
      </c>
      <c r="AA539" s="124" t="s">
        <v>532</v>
      </c>
      <c r="AB539" s="124" t="s">
        <v>3454</v>
      </c>
      <c r="AC539" s="124">
        <v>6</v>
      </c>
      <c r="AD539" s="124" t="s">
        <v>3455</v>
      </c>
      <c r="AE539" s="124" t="s">
        <v>3456</v>
      </c>
      <c r="AF539" s="124" t="s">
        <v>3457</v>
      </c>
      <c r="AG539" s="124" t="s">
        <v>3458</v>
      </c>
      <c r="AH539" s="124" t="s">
        <v>3459</v>
      </c>
    </row>
    <row r="540" spans="1:34" s="124" customFormat="1" ht="15.75" customHeight="1">
      <c r="A540" s="124">
        <v>52480</v>
      </c>
      <c r="B540" s="124" t="s">
        <v>3460</v>
      </c>
      <c r="C540" s="124">
        <v>5</v>
      </c>
      <c r="E540" s="124" t="s">
        <v>3450</v>
      </c>
      <c r="F540" s="124">
        <v>2</v>
      </c>
      <c r="G540" s="124" t="s">
        <v>3461</v>
      </c>
      <c r="H540" s="124">
        <v>302</v>
      </c>
      <c r="I540" s="128" t="s">
        <v>741</v>
      </c>
      <c r="J540" s="124">
        <v>1</v>
      </c>
      <c r="K540" s="124">
        <v>20651</v>
      </c>
      <c r="L540" s="124">
        <v>420652</v>
      </c>
      <c r="M540" s="124">
        <v>3</v>
      </c>
      <c r="N540" s="124">
        <v>24</v>
      </c>
      <c r="S540" s="124" t="s">
        <v>3462</v>
      </c>
      <c r="T540" s="124" t="s">
        <v>3463</v>
      </c>
      <c r="U540" s="124" t="s">
        <v>3464</v>
      </c>
      <c r="W540" s="124">
        <v>7</v>
      </c>
      <c r="X540" s="124" t="s">
        <v>484</v>
      </c>
      <c r="Y540" s="124">
        <v>201</v>
      </c>
      <c r="Z540" s="124">
        <v>1</v>
      </c>
      <c r="AA540" s="124" t="s">
        <v>552</v>
      </c>
      <c r="AB540" s="124" t="s">
        <v>3465</v>
      </c>
      <c r="AC540" s="124">
        <v>6</v>
      </c>
      <c r="AD540" s="124" t="s">
        <v>3466</v>
      </c>
      <c r="AE540" s="124" t="s">
        <v>3467</v>
      </c>
      <c r="AF540" s="124" t="s">
        <v>3468</v>
      </c>
      <c r="AG540" s="124" t="s">
        <v>3469</v>
      </c>
      <c r="AH540" s="124" t="s">
        <v>3470</v>
      </c>
    </row>
    <row r="541" spans="1:34" s="124" customFormat="1">
      <c r="A541" s="124">
        <v>53500</v>
      </c>
      <c r="B541" s="124" t="s">
        <v>3471</v>
      </c>
      <c r="C541" s="124">
        <v>5</v>
      </c>
      <c r="E541" s="124" t="s">
        <v>3450</v>
      </c>
      <c r="F541" s="124">
        <v>3</v>
      </c>
      <c r="G541" s="124" t="s">
        <v>3472</v>
      </c>
      <c r="H541" s="124">
        <v>301</v>
      </c>
      <c r="I541" s="128" t="s">
        <v>741</v>
      </c>
      <c r="J541" s="124">
        <v>1</v>
      </c>
      <c r="K541" s="124">
        <v>30651</v>
      </c>
      <c r="L541" s="124">
        <v>430651</v>
      </c>
      <c r="M541" s="124">
        <v>10</v>
      </c>
      <c r="N541" s="124">
        <v>28</v>
      </c>
      <c r="S541" s="124" t="s">
        <v>3473</v>
      </c>
      <c r="T541" s="124" t="s">
        <v>3474</v>
      </c>
      <c r="U541" s="124" t="s">
        <v>3356</v>
      </c>
      <c r="W541" s="124">
        <v>7</v>
      </c>
      <c r="X541" s="124" t="s">
        <v>536</v>
      </c>
      <c r="Y541" s="124">
        <v>203</v>
      </c>
      <c r="Z541" s="124">
        <v>5</v>
      </c>
      <c r="AA541" s="124" t="s">
        <v>577</v>
      </c>
      <c r="AB541" s="124" t="s">
        <v>3357</v>
      </c>
      <c r="AC541" s="124">
        <v>6</v>
      </c>
      <c r="AD541" s="124" t="s">
        <v>3475</v>
      </c>
      <c r="AE541" s="124" t="s">
        <v>3476</v>
      </c>
      <c r="AF541" s="124" t="s">
        <v>3477</v>
      </c>
      <c r="AG541" s="124" t="s">
        <v>3478</v>
      </c>
      <c r="AH541" s="124" t="s">
        <v>3479</v>
      </c>
    </row>
    <row r="542" spans="1:34" s="124" customFormat="1">
      <c r="A542" s="124">
        <v>54490</v>
      </c>
      <c r="B542" s="124" t="s">
        <v>3480</v>
      </c>
      <c r="C542" s="124">
        <v>5</v>
      </c>
      <c r="E542" s="124" t="s">
        <v>3450</v>
      </c>
      <c r="F542" s="124">
        <v>4</v>
      </c>
      <c r="G542" s="124" t="s">
        <v>3481</v>
      </c>
      <c r="H542" s="124">
        <v>303</v>
      </c>
      <c r="I542" s="128" t="s">
        <v>741</v>
      </c>
      <c r="J542" s="124">
        <v>1</v>
      </c>
      <c r="K542" s="124">
        <v>40661</v>
      </c>
      <c r="L542" s="124">
        <v>440661</v>
      </c>
      <c r="M542" s="124">
        <v>1</v>
      </c>
      <c r="N542" s="124">
        <v>20</v>
      </c>
      <c r="S542" s="124" t="s">
        <v>3482</v>
      </c>
      <c r="T542" s="124" t="s">
        <v>3483</v>
      </c>
      <c r="U542" s="124" t="s">
        <v>3358</v>
      </c>
      <c r="W542" s="124">
        <v>7</v>
      </c>
      <c r="X542" s="124" t="s">
        <v>568</v>
      </c>
      <c r="Y542" s="124">
        <v>204</v>
      </c>
      <c r="Z542" s="124">
        <v>8</v>
      </c>
      <c r="AA542" s="124" t="s">
        <v>584</v>
      </c>
      <c r="AB542" s="124" t="s">
        <v>3359</v>
      </c>
      <c r="AC542" s="124">
        <v>6</v>
      </c>
      <c r="AD542" s="124" t="s">
        <v>3360</v>
      </c>
      <c r="AE542" s="124" t="s">
        <v>3361</v>
      </c>
      <c r="AF542" s="124" t="s">
        <v>3484</v>
      </c>
      <c r="AG542" s="124" t="s">
        <v>3485</v>
      </c>
      <c r="AH542" s="124" t="s">
        <v>3486</v>
      </c>
    </row>
    <row r="543" spans="1:34" s="124" customFormat="1">
      <c r="A543" s="124">
        <v>73140</v>
      </c>
      <c r="B543" s="124" t="s">
        <v>3311</v>
      </c>
      <c r="C543" s="124">
        <v>7</v>
      </c>
      <c r="E543" s="124" t="s">
        <v>816</v>
      </c>
      <c r="F543" s="124">
        <v>3</v>
      </c>
      <c r="G543" s="124" t="s">
        <v>3363</v>
      </c>
      <c r="H543" s="124">
        <v>307</v>
      </c>
      <c r="I543" s="128" t="s">
        <v>3306</v>
      </c>
      <c r="J543" s="124">
        <v>1</v>
      </c>
      <c r="K543" s="124">
        <v>30641</v>
      </c>
      <c r="L543" s="124">
        <v>430644</v>
      </c>
      <c r="M543" s="124">
        <v>13</v>
      </c>
      <c r="N543" s="124">
        <v>30</v>
      </c>
      <c r="T543" s="124" t="s">
        <v>3310</v>
      </c>
      <c r="U543" s="124" t="s">
        <v>3312</v>
      </c>
      <c r="V543" s="124">
        <v>3</v>
      </c>
      <c r="W543" s="124">
        <v>7</v>
      </c>
      <c r="X543" s="124" t="s">
        <v>3320</v>
      </c>
      <c r="Y543" s="124">
        <v>224</v>
      </c>
      <c r="Z543" s="124">
        <v>0</v>
      </c>
      <c r="AA543" s="124" t="s">
        <v>577</v>
      </c>
      <c r="AB543" s="124" t="s">
        <v>3313</v>
      </c>
      <c r="AC543" s="124">
        <v>5</v>
      </c>
      <c r="AD543" s="124" t="s">
        <v>3314</v>
      </c>
      <c r="AE543" s="124" t="s">
        <v>3315</v>
      </c>
      <c r="AF543" s="124" t="s">
        <v>3316</v>
      </c>
      <c r="AG543" s="124" t="s">
        <v>3317</v>
      </c>
      <c r="AH543" s="124" t="s">
        <v>3318</v>
      </c>
    </row>
    <row r="544" spans="1:34" s="124" customFormat="1">
      <c r="A544" s="124">
        <v>71130</v>
      </c>
      <c r="B544" s="124" t="s">
        <v>3305</v>
      </c>
      <c r="C544" s="124">
        <v>7</v>
      </c>
      <c r="E544" s="124" t="s">
        <v>816</v>
      </c>
      <c r="F544" s="124">
        <v>1</v>
      </c>
      <c r="G544" s="124" t="s">
        <v>3362</v>
      </c>
      <c r="H544" s="124">
        <v>308</v>
      </c>
      <c r="I544" s="128" t="s">
        <v>3306</v>
      </c>
      <c r="J544" s="124">
        <v>1</v>
      </c>
      <c r="K544" s="124">
        <v>10661</v>
      </c>
      <c r="L544" s="124">
        <v>410663</v>
      </c>
      <c r="M544" s="124">
        <v>5</v>
      </c>
      <c r="N544" s="124">
        <v>18</v>
      </c>
      <c r="T544" s="124" t="s">
        <v>3309</v>
      </c>
      <c r="U544" s="124" t="s">
        <v>3307</v>
      </c>
      <c r="V544" s="124">
        <v>3</v>
      </c>
      <c r="W544" s="124">
        <v>7</v>
      </c>
      <c r="X544" s="124" t="s">
        <v>3319</v>
      </c>
      <c r="Y544" s="124">
        <v>225</v>
      </c>
      <c r="Z544" s="124">
        <v>0</v>
      </c>
      <c r="AA544" s="124" t="s">
        <v>503</v>
      </c>
      <c r="AB544" s="124" t="s">
        <v>3308</v>
      </c>
      <c r="AC544" s="124">
        <v>5</v>
      </c>
      <c r="AD544" s="124" t="s">
        <v>3321</v>
      </c>
      <c r="AE544" s="124" t="s">
        <v>3322</v>
      </c>
      <c r="AF544" s="124" t="s">
        <v>3323</v>
      </c>
      <c r="AG544" s="124" t="s">
        <v>3324</v>
      </c>
      <c r="AH544" s="124" t="s">
        <v>3325</v>
      </c>
    </row>
    <row r="545" spans="1:27" s="124" customFormat="1">
      <c r="A545" s="124">
        <v>810113</v>
      </c>
      <c r="B545" s="124" t="s">
        <v>3364</v>
      </c>
      <c r="C545" s="124">
        <v>8</v>
      </c>
      <c r="E545" s="124" t="s">
        <v>747</v>
      </c>
      <c r="F545" s="124">
        <v>1</v>
      </c>
      <c r="H545" s="124">
        <v>304</v>
      </c>
      <c r="I545" s="128" t="s">
        <v>748</v>
      </c>
      <c r="R545" s="124" t="s">
        <v>3365</v>
      </c>
      <c r="W545" s="124" t="s">
        <v>3366</v>
      </c>
      <c r="X545" s="124" t="s">
        <v>452</v>
      </c>
      <c r="Y545" s="124">
        <v>115</v>
      </c>
      <c r="AA545" s="124" t="s">
        <v>503</v>
      </c>
    </row>
    <row r="546" spans="1:27" s="124" customFormat="1">
      <c r="A546" s="124">
        <v>810213</v>
      </c>
      <c r="B546" s="124" t="s">
        <v>3367</v>
      </c>
      <c r="C546" s="124">
        <v>8</v>
      </c>
      <c r="E546" s="124" t="s">
        <v>747</v>
      </c>
      <c r="F546" s="124">
        <v>1</v>
      </c>
      <c r="H546" s="124">
        <v>307</v>
      </c>
      <c r="I546" s="128" t="s">
        <v>748</v>
      </c>
      <c r="R546" s="124" t="s">
        <v>3368</v>
      </c>
      <c r="W546" s="124" t="s">
        <v>3369</v>
      </c>
      <c r="X546" s="124" t="s">
        <v>499</v>
      </c>
      <c r="Y546" s="124">
        <v>116</v>
      </c>
      <c r="AA546" s="124" t="s">
        <v>503</v>
      </c>
    </row>
    <row r="547" spans="1:27" s="124" customFormat="1">
      <c r="A547" s="124">
        <v>810313</v>
      </c>
      <c r="B547" s="124" t="s">
        <v>3370</v>
      </c>
      <c r="C547" s="124">
        <v>8</v>
      </c>
      <c r="E547" s="124" t="s">
        <v>747</v>
      </c>
      <c r="F547" s="124">
        <v>1</v>
      </c>
      <c r="H547" s="124">
        <v>305</v>
      </c>
      <c r="I547" s="128" t="s">
        <v>748</v>
      </c>
      <c r="R547" s="124" t="s">
        <v>3371</v>
      </c>
      <c r="W547" s="124" t="s">
        <v>3372</v>
      </c>
      <c r="X547" s="124" t="s">
        <v>531</v>
      </c>
      <c r="Y547" s="124">
        <v>117</v>
      </c>
      <c r="AA547" s="124" t="s">
        <v>503</v>
      </c>
    </row>
    <row r="548" spans="1:27" s="124" customFormat="1">
      <c r="A548" s="124">
        <v>810413</v>
      </c>
      <c r="B548" s="124" t="s">
        <v>3373</v>
      </c>
      <c r="C548" s="124">
        <v>8</v>
      </c>
      <c r="E548" s="124" t="s">
        <v>747</v>
      </c>
      <c r="F548" s="124">
        <v>1</v>
      </c>
      <c r="H548" s="124">
        <v>306</v>
      </c>
      <c r="I548" s="128" t="s">
        <v>748</v>
      </c>
      <c r="R548" s="124" t="s">
        <v>3374</v>
      </c>
      <c r="W548" s="124" t="s">
        <v>3375</v>
      </c>
      <c r="X548" s="124" t="s">
        <v>536</v>
      </c>
      <c r="Y548" s="124">
        <v>118</v>
      </c>
      <c r="AA548" s="124" t="s">
        <v>503</v>
      </c>
    </row>
    <row r="549" spans="1:27" s="124" customFormat="1">
      <c r="A549" s="124">
        <v>810513</v>
      </c>
      <c r="B549" s="124" t="s">
        <v>3376</v>
      </c>
      <c r="C549" s="124">
        <v>8</v>
      </c>
      <c r="E549" s="124" t="s">
        <v>747</v>
      </c>
      <c r="F549" s="124">
        <v>1</v>
      </c>
      <c r="H549" s="124">
        <v>307</v>
      </c>
      <c r="I549" s="128" t="s">
        <v>748</v>
      </c>
      <c r="R549" s="124" t="s">
        <v>3377</v>
      </c>
      <c r="W549" s="124" t="s">
        <v>3378</v>
      </c>
      <c r="X549" s="124" t="s">
        <v>522</v>
      </c>
      <c r="Y549" s="124">
        <v>119</v>
      </c>
      <c r="AA549" s="124" t="s">
        <v>503</v>
      </c>
    </row>
    <row r="550" spans="1:27" s="124" customFormat="1">
      <c r="A550" s="124">
        <v>810613</v>
      </c>
      <c r="B550" s="124" t="s">
        <v>3379</v>
      </c>
      <c r="C550" s="124">
        <v>8</v>
      </c>
      <c r="E550" s="124" t="s">
        <v>747</v>
      </c>
      <c r="F550" s="124">
        <v>1</v>
      </c>
      <c r="H550" s="124">
        <v>301</v>
      </c>
      <c r="I550" s="128" t="s">
        <v>748</v>
      </c>
      <c r="R550" s="124" t="s">
        <v>3380</v>
      </c>
      <c r="W550" s="124" t="s">
        <v>3381</v>
      </c>
      <c r="X550" s="124" t="s">
        <v>536</v>
      </c>
      <c r="Y550" s="124">
        <v>120</v>
      </c>
      <c r="AA550" s="124" t="s">
        <v>503</v>
      </c>
    </row>
    <row r="551" spans="1:27" s="124" customFormat="1">
      <c r="A551" s="124">
        <v>810713</v>
      </c>
      <c r="B551" s="124" t="s">
        <v>3382</v>
      </c>
      <c r="C551" s="124">
        <v>8</v>
      </c>
      <c r="E551" s="124" t="s">
        <v>747</v>
      </c>
      <c r="F551" s="124">
        <v>1</v>
      </c>
      <c r="H551" s="124">
        <v>308</v>
      </c>
      <c r="I551" s="128" t="s">
        <v>748</v>
      </c>
      <c r="R551" s="124" t="s">
        <v>3383</v>
      </c>
      <c r="W551" s="124" t="s">
        <v>3384</v>
      </c>
      <c r="X551" s="124" t="s">
        <v>522</v>
      </c>
      <c r="Y551" s="124">
        <v>218</v>
      </c>
      <c r="AA551" s="124" t="s">
        <v>503</v>
      </c>
    </row>
    <row r="552" spans="1:27" s="124" customFormat="1">
      <c r="A552" s="124">
        <v>810813</v>
      </c>
      <c r="B552" s="124" t="s">
        <v>3385</v>
      </c>
      <c r="C552" s="124">
        <v>8</v>
      </c>
      <c r="E552" s="124" t="s">
        <v>747</v>
      </c>
      <c r="F552" s="124">
        <v>1</v>
      </c>
      <c r="H552" s="124">
        <v>303</v>
      </c>
      <c r="I552" s="128" t="s">
        <v>748</v>
      </c>
      <c r="R552" s="124" t="s">
        <v>3386</v>
      </c>
      <c r="W552" s="124" t="s">
        <v>3387</v>
      </c>
      <c r="X552" s="124" t="s">
        <v>484</v>
      </c>
      <c r="Y552" s="124">
        <v>219</v>
      </c>
      <c r="AA552" s="124" t="s">
        <v>503</v>
      </c>
    </row>
    <row r="553" spans="1:27" s="124" customFormat="1">
      <c r="A553" s="124">
        <v>810913</v>
      </c>
      <c r="B553" s="124" t="s">
        <v>3388</v>
      </c>
      <c r="C553" s="124">
        <v>8</v>
      </c>
      <c r="E553" s="124" t="s">
        <v>747</v>
      </c>
      <c r="F553" s="124">
        <v>1</v>
      </c>
      <c r="H553" s="124">
        <v>301</v>
      </c>
      <c r="I553" s="128" t="s">
        <v>748</v>
      </c>
      <c r="R553" s="124" t="s">
        <v>3389</v>
      </c>
      <c r="W553" s="124" t="s">
        <v>1382</v>
      </c>
      <c r="X553" s="124" t="s">
        <v>549</v>
      </c>
      <c r="Y553" s="124">
        <v>220</v>
      </c>
      <c r="AA553" s="124" t="s">
        <v>503</v>
      </c>
    </row>
    <row r="554" spans="1:27" s="124" customFormat="1">
      <c r="A554" s="124">
        <v>811013</v>
      </c>
      <c r="B554" s="124" t="s">
        <v>3390</v>
      </c>
      <c r="C554" s="124">
        <v>8</v>
      </c>
      <c r="E554" s="124" t="s">
        <v>747</v>
      </c>
      <c r="F554" s="124">
        <v>1</v>
      </c>
      <c r="H554" s="124">
        <v>304</v>
      </c>
      <c r="I554" s="128" t="s">
        <v>748</v>
      </c>
      <c r="R554" s="124" t="s">
        <v>3391</v>
      </c>
      <c r="W554" s="124" t="s">
        <v>3392</v>
      </c>
      <c r="X554" s="124" t="s">
        <v>536</v>
      </c>
      <c r="Y554" s="124">
        <v>221</v>
      </c>
      <c r="AA554" s="124" t="s">
        <v>503</v>
      </c>
    </row>
    <row r="555" spans="1:27" s="124" customFormat="1">
      <c r="A555" s="124">
        <v>811113</v>
      </c>
      <c r="B555" s="124" t="s">
        <v>3393</v>
      </c>
      <c r="C555" s="124">
        <v>8</v>
      </c>
      <c r="E555" s="124" t="s">
        <v>747</v>
      </c>
      <c r="F555" s="124">
        <v>1</v>
      </c>
      <c r="H555" s="124">
        <v>302</v>
      </c>
      <c r="I555" s="128" t="s">
        <v>748</v>
      </c>
      <c r="R555" s="124" t="s">
        <v>3394</v>
      </c>
      <c r="W555" s="124" t="s">
        <v>3395</v>
      </c>
      <c r="X555" s="124" t="s">
        <v>452</v>
      </c>
      <c r="Y555" s="124">
        <v>222</v>
      </c>
      <c r="AA555" s="124" t="s">
        <v>503</v>
      </c>
    </row>
    <row r="556" spans="1:27" s="124" customFormat="1">
      <c r="A556" s="124">
        <v>811213</v>
      </c>
      <c r="B556" s="124" t="s">
        <v>3396</v>
      </c>
      <c r="C556" s="124">
        <v>8</v>
      </c>
      <c r="E556" s="124" t="s">
        <v>747</v>
      </c>
      <c r="F556" s="124">
        <v>1</v>
      </c>
      <c r="H556" s="124">
        <v>305</v>
      </c>
      <c r="I556" s="128" t="s">
        <v>748</v>
      </c>
      <c r="R556" s="124" t="s">
        <v>3397</v>
      </c>
      <c r="W556" s="124" t="s">
        <v>3398</v>
      </c>
      <c r="X556" s="124" t="s">
        <v>452</v>
      </c>
      <c r="Y556" s="124">
        <v>223</v>
      </c>
      <c r="AA556" s="124" t="s">
        <v>503</v>
      </c>
    </row>
    <row r="557" spans="1:27" s="124" customFormat="1">
      <c r="A557" s="124">
        <v>830114</v>
      </c>
      <c r="B557" s="124" t="s">
        <v>3399</v>
      </c>
      <c r="C557" s="124">
        <v>8</v>
      </c>
      <c r="E557" s="124" t="s">
        <v>747</v>
      </c>
      <c r="F557" s="124">
        <v>3</v>
      </c>
      <c r="H557" s="124">
        <v>304</v>
      </c>
      <c r="I557" s="128" t="s">
        <v>748</v>
      </c>
      <c r="R557" s="124" t="s">
        <v>3400</v>
      </c>
      <c r="W557" s="124" t="s">
        <v>3401</v>
      </c>
      <c r="X557" s="124" t="s">
        <v>566</v>
      </c>
      <c r="Y557" s="124">
        <v>115</v>
      </c>
      <c r="AA557" s="124" t="s">
        <v>577</v>
      </c>
    </row>
    <row r="558" spans="1:27" s="124" customFormat="1">
      <c r="A558" s="124">
        <v>830214</v>
      </c>
      <c r="B558" s="124" t="s">
        <v>3402</v>
      </c>
      <c r="C558" s="124">
        <v>8</v>
      </c>
      <c r="E558" s="124" t="s">
        <v>747</v>
      </c>
      <c r="F558" s="124">
        <v>3</v>
      </c>
      <c r="H558" s="124">
        <v>302</v>
      </c>
      <c r="I558" s="128" t="s">
        <v>748</v>
      </c>
      <c r="R558" s="124" t="s">
        <v>3403</v>
      </c>
      <c r="W558" s="124" t="s">
        <v>3404</v>
      </c>
      <c r="X558" s="124" t="s">
        <v>570</v>
      </c>
      <c r="Y558" s="124">
        <v>116</v>
      </c>
      <c r="AA558" s="124" t="s">
        <v>577</v>
      </c>
    </row>
    <row r="559" spans="1:27" s="124" customFormat="1">
      <c r="A559" s="124">
        <v>830314</v>
      </c>
      <c r="B559" s="124" t="s">
        <v>3405</v>
      </c>
      <c r="C559" s="124">
        <v>8</v>
      </c>
      <c r="E559" s="124" t="s">
        <v>747</v>
      </c>
      <c r="F559" s="124">
        <v>3</v>
      </c>
      <c r="H559" s="124">
        <v>306</v>
      </c>
      <c r="I559" s="128" t="s">
        <v>748</v>
      </c>
      <c r="R559" s="124" t="s">
        <v>3406</v>
      </c>
      <c r="W559" s="124" t="s">
        <v>3407</v>
      </c>
      <c r="X559" s="124" t="s">
        <v>545</v>
      </c>
      <c r="Y559" s="124">
        <v>117</v>
      </c>
      <c r="AA559" s="124" t="s">
        <v>577</v>
      </c>
    </row>
    <row r="560" spans="1:27" s="124" customFormat="1">
      <c r="A560" s="124">
        <v>830414</v>
      </c>
      <c r="B560" s="124" t="s">
        <v>3408</v>
      </c>
      <c r="C560" s="124">
        <v>8</v>
      </c>
      <c r="E560" s="124" t="s">
        <v>747</v>
      </c>
      <c r="F560" s="124">
        <v>3</v>
      </c>
      <c r="H560" s="124">
        <v>303</v>
      </c>
      <c r="I560" s="128" t="s">
        <v>748</v>
      </c>
      <c r="R560" s="124" t="s">
        <v>3409</v>
      </c>
      <c r="W560" s="124" t="s">
        <v>3410</v>
      </c>
      <c r="X560" s="124" t="s">
        <v>531</v>
      </c>
      <c r="Y560" s="124">
        <v>118</v>
      </c>
      <c r="AA560" s="124" t="s">
        <v>577</v>
      </c>
    </row>
    <row r="561" spans="1:34" s="124" customFormat="1">
      <c r="A561" s="124">
        <v>830514</v>
      </c>
      <c r="B561" s="124" t="s">
        <v>3411</v>
      </c>
      <c r="C561" s="124">
        <v>8</v>
      </c>
      <c r="E561" s="124" t="s">
        <v>747</v>
      </c>
      <c r="F561" s="124">
        <v>3</v>
      </c>
      <c r="H561" s="124">
        <v>307</v>
      </c>
      <c r="I561" s="128" t="s">
        <v>748</v>
      </c>
      <c r="R561" s="124" t="s">
        <v>3412</v>
      </c>
      <c r="W561" s="124" t="s">
        <v>3413</v>
      </c>
      <c r="X561" s="124" t="s">
        <v>542</v>
      </c>
      <c r="Y561" s="124">
        <v>119</v>
      </c>
      <c r="AA561" s="124" t="s">
        <v>577</v>
      </c>
    </row>
    <row r="562" spans="1:34" s="124" customFormat="1">
      <c r="A562" s="124">
        <v>830614</v>
      </c>
      <c r="B562" s="124" t="s">
        <v>3414</v>
      </c>
      <c r="C562" s="124">
        <v>8</v>
      </c>
      <c r="E562" s="124" t="s">
        <v>747</v>
      </c>
      <c r="F562" s="124">
        <v>3</v>
      </c>
      <c r="H562" s="124">
        <v>301</v>
      </c>
      <c r="I562" s="128" t="s">
        <v>748</v>
      </c>
      <c r="R562" s="124" t="s">
        <v>3415</v>
      </c>
      <c r="W562" s="124" t="s">
        <v>3416</v>
      </c>
      <c r="X562" s="124" t="s">
        <v>531</v>
      </c>
      <c r="Y562" s="124">
        <v>120</v>
      </c>
      <c r="AA562" s="124" t="s">
        <v>577</v>
      </c>
    </row>
    <row r="563" spans="1:34" s="124" customFormat="1">
      <c r="A563" s="124">
        <v>830814</v>
      </c>
      <c r="B563" s="124" t="s">
        <v>3417</v>
      </c>
      <c r="C563" s="124">
        <v>8</v>
      </c>
      <c r="E563" s="124" t="s">
        <v>747</v>
      </c>
      <c r="F563" s="124">
        <v>3</v>
      </c>
      <c r="H563" s="124">
        <v>305</v>
      </c>
      <c r="I563" s="128" t="s">
        <v>748</v>
      </c>
      <c r="R563" s="124" t="s">
        <v>3418</v>
      </c>
      <c r="W563" s="124" t="s">
        <v>3419</v>
      </c>
      <c r="X563" s="124" t="s">
        <v>562</v>
      </c>
      <c r="Y563" s="124">
        <v>212</v>
      </c>
      <c r="AA563" s="124" t="s">
        <v>577</v>
      </c>
    </row>
    <row r="564" spans="1:34" s="124" customFormat="1">
      <c r="A564" s="124">
        <v>830914</v>
      </c>
      <c r="B564" s="124" t="s">
        <v>3420</v>
      </c>
      <c r="C564" s="124">
        <v>8</v>
      </c>
      <c r="E564" s="124" t="s">
        <v>747</v>
      </c>
      <c r="F564" s="124">
        <v>3</v>
      </c>
      <c r="H564" s="124">
        <v>301</v>
      </c>
      <c r="I564" s="128" t="s">
        <v>748</v>
      </c>
      <c r="R564" s="124" t="s">
        <v>3421</v>
      </c>
      <c r="W564" s="124" t="s">
        <v>3422</v>
      </c>
      <c r="X564" s="124" t="s">
        <v>512</v>
      </c>
      <c r="Y564" s="124">
        <v>213</v>
      </c>
      <c r="AA564" s="124" t="s">
        <v>577</v>
      </c>
    </row>
    <row r="565" spans="1:34" s="124" customFormat="1">
      <c r="A565" s="124">
        <v>831014</v>
      </c>
      <c r="B565" s="124" t="s">
        <v>3423</v>
      </c>
      <c r="C565" s="124">
        <v>8</v>
      </c>
      <c r="E565" s="124" t="s">
        <v>747</v>
      </c>
      <c r="F565" s="124">
        <v>3</v>
      </c>
      <c r="H565" s="124">
        <v>304</v>
      </c>
      <c r="I565" s="128" t="s">
        <v>748</v>
      </c>
      <c r="R565" s="124" t="s">
        <v>3424</v>
      </c>
      <c r="W565" s="124" t="s">
        <v>3531</v>
      </c>
      <c r="X565" s="124" t="s">
        <v>564</v>
      </c>
      <c r="Y565" s="124">
        <v>214</v>
      </c>
      <c r="AA565" s="124" t="s">
        <v>577</v>
      </c>
    </row>
    <row r="566" spans="1:34" s="124" customFormat="1">
      <c r="A566" s="124">
        <v>831114</v>
      </c>
      <c r="B566" s="124" t="s">
        <v>3425</v>
      </c>
      <c r="C566" s="124">
        <v>8</v>
      </c>
      <c r="E566" s="124" t="s">
        <v>747</v>
      </c>
      <c r="F566" s="124">
        <v>3</v>
      </c>
      <c r="H566" s="124">
        <v>305</v>
      </c>
      <c r="I566" s="128" t="s">
        <v>748</v>
      </c>
      <c r="R566" s="124" t="s">
        <v>3426</v>
      </c>
      <c r="W566" s="124" t="s">
        <v>3427</v>
      </c>
      <c r="X566" s="124" t="s">
        <v>542</v>
      </c>
      <c r="Y566" s="124">
        <v>215</v>
      </c>
      <c r="AA566" s="124" t="s">
        <v>577</v>
      </c>
    </row>
    <row r="567" spans="1:34" s="124" customFormat="1">
      <c r="A567" s="124">
        <v>831214</v>
      </c>
      <c r="B567" s="124" t="s">
        <v>3428</v>
      </c>
      <c r="C567" s="124">
        <v>8</v>
      </c>
      <c r="E567" s="124" t="s">
        <v>747</v>
      </c>
      <c r="F567" s="124">
        <v>3</v>
      </c>
      <c r="H567" s="124">
        <v>304</v>
      </c>
      <c r="I567" s="128" t="s">
        <v>748</v>
      </c>
      <c r="R567" s="124" t="s">
        <v>3429</v>
      </c>
      <c r="W567" s="124" t="s">
        <v>3430</v>
      </c>
      <c r="X567" s="124" t="s">
        <v>531</v>
      </c>
      <c r="Y567" s="124">
        <v>216</v>
      </c>
      <c r="AA567" s="124" t="s">
        <v>577</v>
      </c>
    </row>
    <row r="568" spans="1:34" s="124" customFormat="1">
      <c r="A568" s="124">
        <v>831314</v>
      </c>
      <c r="B568" s="124" t="s">
        <v>3431</v>
      </c>
      <c r="C568" s="124">
        <v>8</v>
      </c>
      <c r="E568" s="124" t="s">
        <v>747</v>
      </c>
      <c r="F568" s="124">
        <v>3</v>
      </c>
      <c r="H568" s="124">
        <v>308</v>
      </c>
      <c r="I568" s="128" t="s">
        <v>748</v>
      </c>
      <c r="R568" s="124" t="s">
        <v>3432</v>
      </c>
      <c r="W568" s="124" t="s">
        <v>3433</v>
      </c>
      <c r="X568" s="124" t="s">
        <v>566</v>
      </c>
      <c r="Y568" s="124">
        <v>217</v>
      </c>
      <c r="AA568" s="124" t="s">
        <v>577</v>
      </c>
    </row>
    <row r="569" spans="1:34" s="124" customFormat="1">
      <c r="I569" s="128"/>
    </row>
    <row r="570" spans="1:34" s="124" customFormat="1">
      <c r="A570" s="124">
        <v>42350</v>
      </c>
      <c r="B570" s="124" t="s">
        <v>715</v>
      </c>
      <c r="C570" s="124">
        <v>4</v>
      </c>
      <c r="E570" s="124" t="s">
        <v>716</v>
      </c>
      <c r="F570" s="124">
        <v>2</v>
      </c>
      <c r="G570" s="124" t="s">
        <v>717</v>
      </c>
      <c r="H570" s="124">
        <v>303</v>
      </c>
      <c r="I570" s="127" t="s">
        <v>718</v>
      </c>
      <c r="J570" s="124">
        <v>1</v>
      </c>
      <c r="K570" s="124">
        <v>20641</v>
      </c>
      <c r="L570" s="145">
        <v>420643</v>
      </c>
      <c r="M570" s="124">
        <v>37</v>
      </c>
      <c r="N570" s="124">
        <v>53</v>
      </c>
      <c r="S570" s="142" t="s">
        <v>719</v>
      </c>
      <c r="T570" s="124" t="s">
        <v>720</v>
      </c>
      <c r="U570" s="124" t="s">
        <v>721</v>
      </c>
      <c r="W570" s="124">
        <v>2</v>
      </c>
      <c r="X570" s="124" t="s">
        <v>551</v>
      </c>
      <c r="Y570" s="124">
        <v>106</v>
      </c>
      <c r="Z570" s="124">
        <v>5</v>
      </c>
      <c r="AA570" s="124" t="s">
        <v>548</v>
      </c>
      <c r="AB570" s="124" t="s">
        <v>722</v>
      </c>
      <c r="AC570" s="124">
        <v>7</v>
      </c>
      <c r="AD570" s="124" t="s">
        <v>723</v>
      </c>
      <c r="AE570" s="124" t="s">
        <v>724</v>
      </c>
      <c r="AF570" s="124" t="s">
        <v>725</v>
      </c>
      <c r="AG570" s="124" t="s">
        <v>726</v>
      </c>
      <c r="AH570" s="124" t="s">
        <v>727</v>
      </c>
    </row>
    <row r="571" spans="1:34" s="124" customFormat="1">
      <c r="A571" s="124">
        <v>53490</v>
      </c>
      <c r="B571" s="124" t="s">
        <v>728</v>
      </c>
      <c r="C571" s="124">
        <v>5</v>
      </c>
      <c r="E571" s="124" t="s">
        <v>729</v>
      </c>
      <c r="F571" s="124">
        <v>3</v>
      </c>
      <c r="G571" s="124" t="s">
        <v>730</v>
      </c>
      <c r="H571" s="124">
        <v>302</v>
      </c>
      <c r="I571" s="128" t="s">
        <v>718</v>
      </c>
      <c r="J571" s="124">
        <v>1</v>
      </c>
      <c r="K571" s="124">
        <v>30631</v>
      </c>
      <c r="L571" s="124">
        <v>430632</v>
      </c>
      <c r="M571" s="124">
        <v>21</v>
      </c>
      <c r="N571" s="124">
        <v>39</v>
      </c>
      <c r="S571" s="124" t="s">
        <v>731</v>
      </c>
      <c r="T571" s="124" t="s">
        <v>732</v>
      </c>
      <c r="U571" s="124" t="s">
        <v>733</v>
      </c>
      <c r="W571" s="124">
        <v>7</v>
      </c>
      <c r="X571" s="124" t="s">
        <v>570</v>
      </c>
      <c r="Y571" s="124">
        <v>107</v>
      </c>
      <c r="Z571" s="124">
        <v>8</v>
      </c>
      <c r="AA571" s="124" t="s">
        <v>576</v>
      </c>
      <c r="AB571" s="124" t="s">
        <v>734</v>
      </c>
      <c r="AC571" s="124">
        <v>6</v>
      </c>
      <c r="AD571" s="124" t="s">
        <v>735</v>
      </c>
      <c r="AE571" s="124" t="s">
        <v>736</v>
      </c>
      <c r="AF571" s="124" t="s">
        <v>737</v>
      </c>
      <c r="AG571" s="124" t="s">
        <v>738</v>
      </c>
      <c r="AH571" s="124" t="s">
        <v>739</v>
      </c>
    </row>
    <row r="572" spans="1:34" s="124" customFormat="1" ht="14.25" customHeight="1">
      <c r="A572" s="124">
        <v>34730</v>
      </c>
      <c r="B572" s="124" t="s">
        <v>743</v>
      </c>
      <c r="C572" s="124">
        <v>3</v>
      </c>
      <c r="E572" s="124" t="s">
        <v>744</v>
      </c>
      <c r="F572" s="124">
        <v>4</v>
      </c>
      <c r="G572" s="124" t="s">
        <v>745</v>
      </c>
      <c r="H572" s="124">
        <v>303</v>
      </c>
      <c r="I572" s="127" t="s">
        <v>708</v>
      </c>
      <c r="J572" s="124">
        <v>0</v>
      </c>
      <c r="S572" s="142"/>
      <c r="U572" s="124" t="s">
        <v>746</v>
      </c>
      <c r="W572" s="124">
        <v>3</v>
      </c>
      <c r="X572" s="124" t="s">
        <v>522</v>
      </c>
      <c r="Y572" s="124">
        <v>19</v>
      </c>
      <c r="Z572" s="124">
        <v>9</v>
      </c>
      <c r="AA572" s="124" t="s">
        <v>581</v>
      </c>
    </row>
    <row r="573" spans="1:34" s="124" customFormat="1">
      <c r="A573" s="124">
        <v>71120</v>
      </c>
      <c r="B573" s="124" t="s">
        <v>705</v>
      </c>
      <c r="C573" s="124">
        <v>7</v>
      </c>
      <c r="E573" s="124" t="s">
        <v>706</v>
      </c>
      <c r="F573" s="124">
        <v>1</v>
      </c>
      <c r="G573" s="124" t="s">
        <v>707</v>
      </c>
      <c r="H573" s="124">
        <v>305</v>
      </c>
      <c r="I573" s="127" t="s">
        <v>708</v>
      </c>
      <c r="J573" s="124">
        <v>1</v>
      </c>
      <c r="K573" s="124">
        <v>10641</v>
      </c>
      <c r="Q573" s="124">
        <v>1</v>
      </c>
      <c r="T573" s="124" t="s">
        <v>709</v>
      </c>
      <c r="U573" s="124" t="s">
        <v>710</v>
      </c>
      <c r="V573" s="124">
        <v>1</v>
      </c>
      <c r="W573" s="124">
        <v>5</v>
      </c>
      <c r="X573" s="124" t="s">
        <v>512</v>
      </c>
      <c r="Y573" s="124">
        <v>219</v>
      </c>
      <c r="Z573" s="124">
        <v>0</v>
      </c>
      <c r="AA573" s="124" t="s">
        <v>532</v>
      </c>
      <c r="AB573" s="124" t="s">
        <v>4454</v>
      </c>
      <c r="AC573" s="124">
        <v>5</v>
      </c>
      <c r="AD573" s="124" t="s">
        <v>711</v>
      </c>
      <c r="AE573" s="124" t="s">
        <v>3328</v>
      </c>
      <c r="AF573" s="124" t="s">
        <v>712</v>
      </c>
      <c r="AG573" s="124" t="s">
        <v>713</v>
      </c>
      <c r="AH573" s="124" t="s">
        <v>714</v>
      </c>
    </row>
    <row r="574" spans="1:34" s="124" customFormat="1">
      <c r="A574" s="124">
        <v>810112</v>
      </c>
      <c r="B574" s="124" t="s">
        <v>3284</v>
      </c>
      <c r="C574" s="124">
        <v>8</v>
      </c>
      <c r="E574" s="124" t="s">
        <v>747</v>
      </c>
      <c r="F574" s="124">
        <v>1</v>
      </c>
      <c r="H574" s="124">
        <v>304</v>
      </c>
      <c r="I574" s="128" t="s">
        <v>748</v>
      </c>
      <c r="Q574" s="124">
        <v>1</v>
      </c>
      <c r="R574" s="124" t="s">
        <v>749</v>
      </c>
      <c r="W574" s="124" t="s">
        <v>750</v>
      </c>
      <c r="X574" s="124" t="s">
        <v>512</v>
      </c>
      <c r="Y574" s="124">
        <v>207</v>
      </c>
      <c r="AA574" s="124" t="s">
        <v>532</v>
      </c>
    </row>
    <row r="575" spans="1:34" s="124" customFormat="1">
      <c r="A575" s="124">
        <v>810212</v>
      </c>
      <c r="B575" s="124" t="s">
        <v>3285</v>
      </c>
      <c r="C575" s="124">
        <v>8</v>
      </c>
      <c r="E575" s="124" t="s">
        <v>747</v>
      </c>
      <c r="F575" s="124">
        <v>1</v>
      </c>
      <c r="H575" s="124">
        <v>307</v>
      </c>
      <c r="I575" s="128" t="s">
        <v>748</v>
      </c>
      <c r="Q575" s="124">
        <v>1</v>
      </c>
      <c r="R575" s="124" t="s">
        <v>751</v>
      </c>
      <c r="W575" s="124" t="s">
        <v>752</v>
      </c>
      <c r="X575" s="124" t="s">
        <v>512</v>
      </c>
      <c r="Y575" s="124">
        <v>208</v>
      </c>
      <c r="AA575" s="124" t="s">
        <v>532</v>
      </c>
    </row>
    <row r="576" spans="1:34" s="124" customFormat="1">
      <c r="A576" s="124">
        <v>810312</v>
      </c>
      <c r="B576" s="124" t="s">
        <v>3286</v>
      </c>
      <c r="C576" s="124">
        <v>8</v>
      </c>
      <c r="E576" s="124" t="s">
        <v>747</v>
      </c>
      <c r="F576" s="124">
        <v>1</v>
      </c>
      <c r="H576" s="124">
        <v>305</v>
      </c>
      <c r="I576" s="128" t="s">
        <v>748</v>
      </c>
      <c r="Q576" s="124">
        <v>1</v>
      </c>
      <c r="R576" s="124" t="s">
        <v>753</v>
      </c>
      <c r="W576" s="124" t="s">
        <v>754</v>
      </c>
      <c r="X576" s="124" t="s">
        <v>560</v>
      </c>
      <c r="Y576" s="124">
        <v>209</v>
      </c>
      <c r="AA576" s="124" t="s">
        <v>532</v>
      </c>
    </row>
    <row r="577" spans="1:34" s="124" customFormat="1">
      <c r="A577" s="124">
        <v>810412</v>
      </c>
      <c r="B577" s="124" t="s">
        <v>3287</v>
      </c>
      <c r="C577" s="124">
        <v>8</v>
      </c>
      <c r="E577" s="124" t="s">
        <v>747</v>
      </c>
      <c r="F577" s="124">
        <v>1</v>
      </c>
      <c r="H577" s="124">
        <v>306</v>
      </c>
      <c r="I577" s="128" t="s">
        <v>748</v>
      </c>
      <c r="Q577" s="124">
        <v>1</v>
      </c>
      <c r="R577" s="124" t="s">
        <v>755</v>
      </c>
      <c r="W577" s="124" t="s">
        <v>756</v>
      </c>
      <c r="X577" s="124" t="s">
        <v>553</v>
      </c>
      <c r="Y577" s="124">
        <v>210</v>
      </c>
      <c r="AA577" s="124" t="s">
        <v>532</v>
      </c>
    </row>
    <row r="578" spans="1:34" s="124" customFormat="1">
      <c r="A578" s="124">
        <v>810512</v>
      </c>
      <c r="B578" s="124" t="s">
        <v>3288</v>
      </c>
      <c r="C578" s="124">
        <v>8</v>
      </c>
      <c r="E578" s="124" t="s">
        <v>747</v>
      </c>
      <c r="F578" s="124">
        <v>1</v>
      </c>
      <c r="H578" s="124">
        <v>307</v>
      </c>
      <c r="I578" s="128" t="s">
        <v>748</v>
      </c>
      <c r="Q578" s="124">
        <v>1</v>
      </c>
      <c r="R578" s="124" t="s">
        <v>757</v>
      </c>
      <c r="W578" s="124" t="s">
        <v>758</v>
      </c>
      <c r="X578" s="124" t="s">
        <v>547</v>
      </c>
      <c r="Y578" s="124">
        <v>211</v>
      </c>
      <c r="AA578" s="124" t="s">
        <v>532</v>
      </c>
    </row>
    <row r="579" spans="1:34" s="124" customFormat="1">
      <c r="A579" s="124">
        <v>810612</v>
      </c>
      <c r="B579" s="124" t="s">
        <v>3289</v>
      </c>
      <c r="C579" s="124">
        <v>8</v>
      </c>
      <c r="E579" s="124" t="s">
        <v>747</v>
      </c>
      <c r="F579" s="124">
        <v>1</v>
      </c>
      <c r="H579" s="124">
        <v>301</v>
      </c>
      <c r="I579" s="128" t="s">
        <v>748</v>
      </c>
      <c r="Q579" s="124">
        <v>1</v>
      </c>
      <c r="R579" s="124" t="s">
        <v>759</v>
      </c>
      <c r="W579" s="124" t="s">
        <v>760</v>
      </c>
      <c r="X579" s="124" t="s">
        <v>568</v>
      </c>
      <c r="Y579" s="124">
        <v>212</v>
      </c>
      <c r="AA579" s="124" t="s">
        <v>532</v>
      </c>
    </row>
    <row r="580" spans="1:34" s="124" customFormat="1">
      <c r="A580" s="124">
        <v>810712</v>
      </c>
      <c r="B580" s="124" t="s">
        <v>3290</v>
      </c>
      <c r="C580" s="124">
        <v>8</v>
      </c>
      <c r="E580" s="124" t="s">
        <v>747</v>
      </c>
      <c r="F580" s="124">
        <v>1</v>
      </c>
      <c r="H580" s="124">
        <v>308</v>
      </c>
      <c r="I580" s="128" t="s">
        <v>748</v>
      </c>
      <c r="Q580" s="124">
        <v>1</v>
      </c>
      <c r="R580" s="124" t="s">
        <v>761</v>
      </c>
      <c r="W580" s="124" t="s">
        <v>762</v>
      </c>
      <c r="X580" s="124" t="s">
        <v>468</v>
      </c>
      <c r="Y580" s="124">
        <v>213</v>
      </c>
      <c r="AA580" s="124" t="s">
        <v>532</v>
      </c>
    </row>
    <row r="581" spans="1:34" s="124" customFormat="1">
      <c r="A581" s="124">
        <v>810812</v>
      </c>
      <c r="B581" s="124" t="s">
        <v>3291</v>
      </c>
      <c r="C581" s="124">
        <v>8</v>
      </c>
      <c r="E581" s="124" t="s">
        <v>747</v>
      </c>
      <c r="F581" s="124">
        <v>1</v>
      </c>
      <c r="H581" s="124">
        <v>303</v>
      </c>
      <c r="I581" s="128" t="s">
        <v>748</v>
      </c>
      <c r="Q581" s="124">
        <v>1</v>
      </c>
      <c r="R581" s="124" t="s">
        <v>763</v>
      </c>
      <c r="W581" s="124" t="s">
        <v>764</v>
      </c>
      <c r="X581" s="124" t="s">
        <v>568</v>
      </c>
      <c r="Y581" s="124">
        <v>214</v>
      </c>
      <c r="AA581" s="124" t="s">
        <v>532</v>
      </c>
    </row>
    <row r="582" spans="1:34" s="124" customFormat="1">
      <c r="A582" s="124">
        <v>810912</v>
      </c>
      <c r="B582" s="124" t="s">
        <v>3292</v>
      </c>
      <c r="C582" s="124">
        <v>8</v>
      </c>
      <c r="E582" s="124" t="s">
        <v>747</v>
      </c>
      <c r="F582" s="124">
        <v>1</v>
      </c>
      <c r="H582" s="124">
        <v>301</v>
      </c>
      <c r="I582" s="128" t="s">
        <v>748</v>
      </c>
      <c r="Q582" s="124">
        <v>1</v>
      </c>
      <c r="R582" s="124" t="s">
        <v>765</v>
      </c>
      <c r="W582" s="124" t="s">
        <v>766</v>
      </c>
      <c r="X582" s="124" t="s">
        <v>568</v>
      </c>
      <c r="Y582" s="124">
        <v>215</v>
      </c>
      <c r="AA582" s="124" t="s">
        <v>532</v>
      </c>
    </row>
    <row r="583" spans="1:34" s="124" customFormat="1">
      <c r="A583" s="124">
        <v>811012</v>
      </c>
      <c r="B583" s="124" t="s">
        <v>3293</v>
      </c>
      <c r="C583" s="124">
        <v>8</v>
      </c>
      <c r="E583" s="124" t="s">
        <v>747</v>
      </c>
      <c r="F583" s="124">
        <v>1</v>
      </c>
      <c r="H583" s="124">
        <v>304</v>
      </c>
      <c r="I583" s="128" t="s">
        <v>748</v>
      </c>
      <c r="Q583" s="124">
        <v>1</v>
      </c>
      <c r="R583" s="124" t="s">
        <v>767</v>
      </c>
      <c r="W583" s="124" t="s">
        <v>768</v>
      </c>
      <c r="X583" s="124" t="s">
        <v>556</v>
      </c>
      <c r="Y583" s="124">
        <v>216</v>
      </c>
      <c r="AA583" s="124" t="s">
        <v>532</v>
      </c>
    </row>
    <row r="584" spans="1:34" s="124" customFormat="1">
      <c r="A584" s="124">
        <v>811112</v>
      </c>
      <c r="B584" s="124" t="s">
        <v>3294</v>
      </c>
      <c r="C584" s="124">
        <v>8</v>
      </c>
      <c r="E584" s="124" t="s">
        <v>747</v>
      </c>
      <c r="F584" s="124">
        <v>1</v>
      </c>
      <c r="H584" s="124">
        <v>302</v>
      </c>
      <c r="I584" s="128" t="s">
        <v>748</v>
      </c>
      <c r="Q584" s="124">
        <v>1</v>
      </c>
      <c r="R584" s="124" t="s">
        <v>769</v>
      </c>
      <c r="W584" s="124" t="s">
        <v>770</v>
      </c>
      <c r="X584" s="124" t="s">
        <v>499</v>
      </c>
      <c r="Y584" s="124">
        <v>217</v>
      </c>
      <c r="AA584" s="124" t="s">
        <v>532</v>
      </c>
    </row>
    <row r="585" spans="1:34" s="124" customFormat="1">
      <c r="I585" s="127"/>
    </row>
    <row r="586" spans="1:34" s="124" customFormat="1" ht="14.25" customHeight="1">
      <c r="A586" s="124">
        <v>48020</v>
      </c>
      <c r="B586" s="124" t="s">
        <v>771</v>
      </c>
      <c r="C586" s="124">
        <v>4</v>
      </c>
      <c r="D586" s="124">
        <v>8</v>
      </c>
      <c r="E586" s="124" t="s">
        <v>772</v>
      </c>
      <c r="F586" s="124">
        <v>8</v>
      </c>
      <c r="G586" s="124" t="s">
        <v>773</v>
      </c>
      <c r="H586" s="124">
        <v>306</v>
      </c>
      <c r="I586" s="127" t="s">
        <v>774</v>
      </c>
      <c r="J586" s="124">
        <v>1</v>
      </c>
      <c r="K586" s="124">
        <v>80111</v>
      </c>
      <c r="L586" s="124">
        <v>480113</v>
      </c>
      <c r="M586" s="124">
        <v>16</v>
      </c>
      <c r="N586" s="124">
        <v>28</v>
      </c>
      <c r="S586" s="142" t="s">
        <v>775</v>
      </c>
      <c r="T586" s="124" t="s">
        <v>776</v>
      </c>
      <c r="U586" s="124" t="s">
        <v>777</v>
      </c>
      <c r="W586" s="124">
        <v>6</v>
      </c>
      <c r="X586" s="124" t="s">
        <v>531</v>
      </c>
      <c r="Y586" s="124">
        <v>5</v>
      </c>
      <c r="Z586" s="124">
        <v>1</v>
      </c>
      <c r="AA586" s="124" t="s">
        <v>589</v>
      </c>
      <c r="AB586" s="124" t="s">
        <v>778</v>
      </c>
      <c r="AC586" s="124">
        <v>6</v>
      </c>
      <c r="AD586" s="124" t="s">
        <v>779</v>
      </c>
      <c r="AE586" s="124" t="s">
        <v>780</v>
      </c>
      <c r="AF586" s="124" t="s">
        <v>781</v>
      </c>
      <c r="AG586" s="124" t="s">
        <v>782</v>
      </c>
      <c r="AH586" s="124" t="s">
        <v>783</v>
      </c>
    </row>
    <row r="587" spans="1:34" s="124" customFormat="1" ht="14.25" customHeight="1">
      <c r="A587" s="124">
        <v>38180</v>
      </c>
      <c r="B587" s="124" t="s">
        <v>784</v>
      </c>
      <c r="C587" s="124">
        <v>3</v>
      </c>
      <c r="E587" s="124" t="s">
        <v>772</v>
      </c>
      <c r="F587" s="124">
        <v>8</v>
      </c>
      <c r="G587" s="124" t="s">
        <v>785</v>
      </c>
      <c r="H587" s="124">
        <v>301</v>
      </c>
      <c r="I587" s="127" t="s">
        <v>774</v>
      </c>
      <c r="J587" s="124">
        <v>1</v>
      </c>
      <c r="K587" s="124">
        <v>80111</v>
      </c>
      <c r="L587" s="124">
        <v>480113</v>
      </c>
      <c r="M587" s="124">
        <v>16</v>
      </c>
      <c r="N587" s="124">
        <v>28</v>
      </c>
      <c r="T587" s="124" t="s">
        <v>786</v>
      </c>
      <c r="U587" s="124" t="s">
        <v>787</v>
      </c>
      <c r="W587" s="124">
        <v>6</v>
      </c>
      <c r="X587" s="124" t="s">
        <v>556</v>
      </c>
      <c r="Y587" s="124">
        <v>3</v>
      </c>
      <c r="Z587" s="124">
        <v>8</v>
      </c>
      <c r="AA587" s="124" t="s">
        <v>589</v>
      </c>
      <c r="AB587" s="124" t="s">
        <v>778</v>
      </c>
      <c r="AC587" s="124">
        <v>6</v>
      </c>
      <c r="AD587" s="124" t="s">
        <v>779</v>
      </c>
      <c r="AE587" s="124" t="s">
        <v>780</v>
      </c>
      <c r="AF587" s="124" t="s">
        <v>781</v>
      </c>
      <c r="AG587" s="124" t="s">
        <v>782</v>
      </c>
      <c r="AH587" s="124" t="s">
        <v>783</v>
      </c>
    </row>
    <row r="588" spans="1:34" s="143" customFormat="1">
      <c r="I588" s="144"/>
    </row>
    <row r="589" spans="1:34" s="124" customFormat="1" ht="15.75" customHeight="1">
      <c r="A589" s="124">
        <v>51490</v>
      </c>
      <c r="B589" s="124" t="s">
        <v>788</v>
      </c>
      <c r="C589" s="124">
        <v>5</v>
      </c>
      <c r="E589" s="124" t="s">
        <v>789</v>
      </c>
      <c r="F589" s="124">
        <v>1</v>
      </c>
      <c r="G589" s="124" t="s">
        <v>790</v>
      </c>
      <c r="H589" s="124">
        <v>307</v>
      </c>
      <c r="I589" s="127" t="s">
        <v>791</v>
      </c>
      <c r="J589" s="124">
        <v>2</v>
      </c>
      <c r="K589" s="124">
        <v>12</v>
      </c>
      <c r="S589" s="124" t="s">
        <v>792</v>
      </c>
      <c r="T589" s="124" t="s">
        <v>793</v>
      </c>
      <c r="U589" s="124" t="s">
        <v>794</v>
      </c>
      <c r="W589" s="124">
        <v>7</v>
      </c>
      <c r="X589" s="124" t="s">
        <v>468</v>
      </c>
      <c r="Y589" s="124">
        <v>102</v>
      </c>
      <c r="Z589" s="124">
        <v>6</v>
      </c>
      <c r="AA589" s="124" t="s">
        <v>503</v>
      </c>
    </row>
    <row r="590" spans="1:34" s="124" customFormat="1" ht="15.75" customHeight="1">
      <c r="A590" s="124">
        <v>52470</v>
      </c>
      <c r="B590" s="124" t="s">
        <v>795</v>
      </c>
      <c r="C590" s="124">
        <v>5</v>
      </c>
      <c r="E590" s="124" t="s">
        <v>789</v>
      </c>
      <c r="F590" s="124">
        <v>2</v>
      </c>
      <c r="G590" s="124" t="s">
        <v>796</v>
      </c>
      <c r="H590" s="124">
        <v>307</v>
      </c>
      <c r="I590" s="127" t="s">
        <v>791</v>
      </c>
      <c r="J590" s="124">
        <v>2</v>
      </c>
      <c r="K590" s="124">
        <v>22</v>
      </c>
      <c r="S590" s="124" t="s">
        <v>797</v>
      </c>
      <c r="T590" s="124" t="s">
        <v>798</v>
      </c>
      <c r="U590" s="124" t="s">
        <v>799</v>
      </c>
      <c r="W590" s="124">
        <v>7</v>
      </c>
      <c r="X590" s="124" t="s">
        <v>568</v>
      </c>
      <c r="Y590" s="124">
        <v>103</v>
      </c>
      <c r="Z590" s="124">
        <v>2</v>
      </c>
      <c r="AA590" s="124" t="s">
        <v>557</v>
      </c>
    </row>
    <row r="591" spans="1:34" s="124" customFormat="1">
      <c r="A591" s="124">
        <v>53480</v>
      </c>
      <c r="B591" s="124" t="s">
        <v>800</v>
      </c>
      <c r="C591" s="124">
        <v>5</v>
      </c>
      <c r="E591" s="124" t="s">
        <v>789</v>
      </c>
      <c r="F591" s="124">
        <v>3</v>
      </c>
      <c r="G591" s="124" t="s">
        <v>801</v>
      </c>
      <c r="H591" s="124">
        <v>307</v>
      </c>
      <c r="I591" s="127" t="s">
        <v>791</v>
      </c>
      <c r="J591" s="124">
        <v>2</v>
      </c>
      <c r="K591" s="124">
        <v>32</v>
      </c>
      <c r="S591" s="124" t="s">
        <v>802</v>
      </c>
      <c r="T591" s="124" t="s">
        <v>803</v>
      </c>
      <c r="U591" s="124" t="s">
        <v>804</v>
      </c>
      <c r="W591" s="124">
        <v>7</v>
      </c>
      <c r="X591" s="124" t="s">
        <v>512</v>
      </c>
      <c r="Y591" s="124">
        <v>101</v>
      </c>
      <c r="Z591" s="124">
        <v>6</v>
      </c>
      <c r="AA591" s="124" t="s">
        <v>575</v>
      </c>
    </row>
    <row r="592" spans="1:34" s="124" customFormat="1">
      <c r="A592" s="124">
        <v>54480</v>
      </c>
      <c r="B592" s="124" t="s">
        <v>805</v>
      </c>
      <c r="C592" s="124">
        <v>5</v>
      </c>
      <c r="E592" s="124" t="s">
        <v>789</v>
      </c>
      <c r="F592" s="124">
        <v>4</v>
      </c>
      <c r="G592" s="124" t="s">
        <v>806</v>
      </c>
      <c r="H592" s="124">
        <v>307</v>
      </c>
      <c r="I592" s="127" t="s">
        <v>791</v>
      </c>
      <c r="J592" s="124">
        <v>2</v>
      </c>
      <c r="K592" s="124">
        <v>42</v>
      </c>
      <c r="S592" s="124" t="s">
        <v>807</v>
      </c>
      <c r="T592" s="124" t="s">
        <v>808</v>
      </c>
      <c r="U592" s="124" t="s">
        <v>809</v>
      </c>
      <c r="W592" s="124">
        <v>7</v>
      </c>
      <c r="X592" s="124" t="s">
        <v>549</v>
      </c>
      <c r="Y592" s="124">
        <v>104</v>
      </c>
      <c r="Z592" s="124">
        <v>9</v>
      </c>
      <c r="AA592" s="124" t="s">
        <v>586</v>
      </c>
    </row>
    <row r="593" spans="1:34" s="124" customFormat="1">
      <c r="A593" s="124">
        <v>58070</v>
      </c>
      <c r="B593" s="124" t="s">
        <v>810</v>
      </c>
      <c r="C593" s="124">
        <v>5</v>
      </c>
      <c r="E593" s="124" t="s">
        <v>789</v>
      </c>
      <c r="F593" s="124">
        <v>8</v>
      </c>
      <c r="G593" s="124" t="s">
        <v>811</v>
      </c>
      <c r="H593" s="124">
        <v>307</v>
      </c>
      <c r="I593" s="127" t="s">
        <v>791</v>
      </c>
      <c r="J593" s="124">
        <v>2</v>
      </c>
      <c r="K593" s="124">
        <v>82</v>
      </c>
      <c r="O593" s="124">
        <v>2</v>
      </c>
      <c r="S593" s="124" t="s">
        <v>812</v>
      </c>
      <c r="T593" s="124" t="s">
        <v>813</v>
      </c>
      <c r="U593" s="124" t="s">
        <v>814</v>
      </c>
      <c r="W593" s="124">
        <v>7</v>
      </c>
      <c r="X593" s="124" t="s">
        <v>522</v>
      </c>
      <c r="Y593" s="124">
        <v>105</v>
      </c>
      <c r="Z593" s="124">
        <v>2</v>
      </c>
      <c r="AA593" s="124" t="s">
        <v>589</v>
      </c>
    </row>
    <row r="594" spans="1:34" s="124" customFormat="1">
      <c r="A594" s="124">
        <v>72120</v>
      </c>
      <c r="B594" s="124" t="s">
        <v>815</v>
      </c>
      <c r="C594" s="124">
        <v>7</v>
      </c>
      <c r="E594" s="124" t="s">
        <v>816</v>
      </c>
      <c r="F594" s="124">
        <v>2</v>
      </c>
      <c r="G594" s="124" t="s">
        <v>817</v>
      </c>
      <c r="H594" s="124">
        <v>304</v>
      </c>
      <c r="I594" s="128" t="s">
        <v>791</v>
      </c>
      <c r="J594" s="124">
        <v>1</v>
      </c>
      <c r="K594" s="124">
        <v>20631</v>
      </c>
      <c r="L594" s="124">
        <v>420632</v>
      </c>
      <c r="M594" s="124">
        <v>1</v>
      </c>
      <c r="N594" s="124">
        <v>15</v>
      </c>
      <c r="T594" s="124" t="s">
        <v>818</v>
      </c>
      <c r="U594" s="124" t="s">
        <v>819</v>
      </c>
      <c r="V594" s="124">
        <v>2</v>
      </c>
      <c r="W594" s="124">
        <v>7</v>
      </c>
      <c r="X594" s="124" t="s">
        <v>568</v>
      </c>
      <c r="Y594" s="124">
        <v>133</v>
      </c>
      <c r="Z594" s="124">
        <v>0</v>
      </c>
      <c r="AA594" s="124" t="s">
        <v>563</v>
      </c>
      <c r="AB594" s="124" t="s">
        <v>820</v>
      </c>
      <c r="AC594" s="124">
        <v>6</v>
      </c>
      <c r="AD594" s="124" t="s">
        <v>821</v>
      </c>
      <c r="AE594" s="124" t="s">
        <v>822</v>
      </c>
      <c r="AF594" s="124" t="s">
        <v>823</v>
      </c>
      <c r="AG594" s="124" t="s">
        <v>824</v>
      </c>
      <c r="AH594" s="124" t="s">
        <v>825</v>
      </c>
    </row>
    <row r="595" spans="1:34" s="124" customFormat="1">
      <c r="A595" s="124">
        <v>74120</v>
      </c>
      <c r="B595" s="124" t="s">
        <v>826</v>
      </c>
      <c r="C595" s="124">
        <v>7</v>
      </c>
      <c r="E595" s="124" t="s">
        <v>816</v>
      </c>
      <c r="F595" s="124">
        <v>4</v>
      </c>
      <c r="G595" s="124" t="s">
        <v>827</v>
      </c>
      <c r="H595" s="124">
        <v>304</v>
      </c>
      <c r="I595" s="128" t="s">
        <v>791</v>
      </c>
      <c r="J595" s="124">
        <v>1</v>
      </c>
      <c r="K595" s="124">
        <v>40641</v>
      </c>
      <c r="L595" s="124">
        <v>440641</v>
      </c>
      <c r="M595" s="124">
        <v>21</v>
      </c>
      <c r="N595" s="124">
        <v>36</v>
      </c>
      <c r="T595" s="124" t="s">
        <v>828</v>
      </c>
      <c r="U595" s="124" t="s">
        <v>829</v>
      </c>
      <c r="V595" s="124">
        <v>2</v>
      </c>
      <c r="W595" s="124">
        <v>7</v>
      </c>
      <c r="X595" s="124" t="s">
        <v>499</v>
      </c>
      <c r="Y595" s="124">
        <v>134</v>
      </c>
      <c r="Z595" s="124">
        <v>0</v>
      </c>
      <c r="AA595" s="124" t="s">
        <v>586</v>
      </c>
      <c r="AB595" s="124" t="s">
        <v>830</v>
      </c>
      <c r="AC595" s="124">
        <v>6</v>
      </c>
      <c r="AD595" s="124" t="s">
        <v>831</v>
      </c>
      <c r="AE595" s="124" t="s">
        <v>832</v>
      </c>
      <c r="AF595" s="124" t="s">
        <v>833</v>
      </c>
      <c r="AG595" s="124" t="s">
        <v>834</v>
      </c>
      <c r="AH595" s="124" t="s">
        <v>835</v>
      </c>
    </row>
    <row r="596" spans="1:34" s="124" customFormat="1">
      <c r="A596" s="124">
        <v>820112</v>
      </c>
      <c r="B596" s="124" t="s">
        <v>836</v>
      </c>
      <c r="C596" s="124">
        <v>8</v>
      </c>
      <c r="E596" s="124" t="s">
        <v>747</v>
      </c>
      <c r="F596" s="124">
        <v>2</v>
      </c>
      <c r="H596" s="124">
        <v>305</v>
      </c>
      <c r="I596" s="128" t="s">
        <v>748</v>
      </c>
      <c r="R596" s="124" t="s">
        <v>837</v>
      </c>
      <c r="W596" s="124" t="s">
        <v>838</v>
      </c>
      <c r="X596" s="124" t="s">
        <v>499</v>
      </c>
      <c r="Y596" s="124">
        <v>105</v>
      </c>
      <c r="AA596" s="124" t="s">
        <v>563</v>
      </c>
    </row>
    <row r="597" spans="1:34" s="124" customFormat="1">
      <c r="A597" s="124">
        <v>820212</v>
      </c>
      <c r="B597" s="124" t="s">
        <v>839</v>
      </c>
      <c r="C597" s="124">
        <v>8</v>
      </c>
      <c r="E597" s="124" t="s">
        <v>747</v>
      </c>
      <c r="F597" s="124">
        <v>2</v>
      </c>
      <c r="H597" s="124">
        <v>303</v>
      </c>
      <c r="I597" s="128" t="s">
        <v>748</v>
      </c>
      <c r="R597" s="124" t="s">
        <v>840</v>
      </c>
      <c r="W597" s="124" t="s">
        <v>841</v>
      </c>
      <c r="X597" s="124" t="s">
        <v>560</v>
      </c>
      <c r="Y597" s="124">
        <v>106</v>
      </c>
      <c r="AA597" s="124" t="s">
        <v>563</v>
      </c>
    </row>
    <row r="598" spans="1:34" s="124" customFormat="1">
      <c r="A598" s="124">
        <v>820312</v>
      </c>
      <c r="B598" s="124" t="s">
        <v>842</v>
      </c>
      <c r="C598" s="124">
        <v>8</v>
      </c>
      <c r="E598" s="124" t="s">
        <v>747</v>
      </c>
      <c r="F598" s="124">
        <v>2</v>
      </c>
      <c r="H598" s="124">
        <v>301</v>
      </c>
      <c r="I598" s="128" t="s">
        <v>748</v>
      </c>
      <c r="R598" s="124" t="s">
        <v>843</v>
      </c>
      <c r="W598" s="124" t="s">
        <v>844</v>
      </c>
      <c r="X598" s="124" t="s">
        <v>549</v>
      </c>
      <c r="Y598" s="124">
        <v>107</v>
      </c>
      <c r="AA598" s="124" t="s">
        <v>563</v>
      </c>
    </row>
    <row r="599" spans="1:34" s="124" customFormat="1">
      <c r="A599" s="124">
        <v>820412</v>
      </c>
      <c r="B599" s="124" t="s">
        <v>845</v>
      </c>
      <c r="C599" s="124">
        <v>8</v>
      </c>
      <c r="E599" s="124" t="s">
        <v>747</v>
      </c>
      <c r="F599" s="124">
        <v>2</v>
      </c>
      <c r="H599" s="124">
        <v>306</v>
      </c>
      <c r="I599" s="128" t="s">
        <v>748</v>
      </c>
      <c r="R599" s="124" t="s">
        <v>846</v>
      </c>
      <c r="W599" s="124" t="s">
        <v>847</v>
      </c>
      <c r="X599" s="124" t="s">
        <v>570</v>
      </c>
      <c r="Y599" s="124">
        <v>108</v>
      </c>
      <c r="AA599" s="124" t="s">
        <v>563</v>
      </c>
    </row>
    <row r="600" spans="1:34" s="124" customFormat="1">
      <c r="A600" s="124">
        <v>820512</v>
      </c>
      <c r="B600" s="124" t="s">
        <v>848</v>
      </c>
      <c r="C600" s="124">
        <v>8</v>
      </c>
      <c r="E600" s="124" t="s">
        <v>747</v>
      </c>
      <c r="F600" s="124">
        <v>2</v>
      </c>
      <c r="H600" s="124">
        <v>303</v>
      </c>
      <c r="I600" s="128" t="s">
        <v>748</v>
      </c>
      <c r="R600" s="124" t="s">
        <v>849</v>
      </c>
      <c r="W600" s="124" t="s">
        <v>850</v>
      </c>
      <c r="X600" s="124" t="s">
        <v>568</v>
      </c>
      <c r="Y600" s="124">
        <v>109</v>
      </c>
      <c r="AA600" s="124" t="s">
        <v>563</v>
      </c>
    </row>
    <row r="601" spans="1:34" s="124" customFormat="1">
      <c r="A601" s="124">
        <v>820612</v>
      </c>
      <c r="B601" s="124" t="s">
        <v>851</v>
      </c>
      <c r="C601" s="124">
        <v>8</v>
      </c>
      <c r="E601" s="124" t="s">
        <v>747</v>
      </c>
      <c r="F601" s="124">
        <v>2</v>
      </c>
      <c r="H601" s="124">
        <v>307</v>
      </c>
      <c r="I601" s="128" t="s">
        <v>748</v>
      </c>
      <c r="R601" s="124" t="s">
        <v>852</v>
      </c>
      <c r="W601" s="124" t="s">
        <v>853</v>
      </c>
      <c r="X601" s="124" t="s">
        <v>568</v>
      </c>
      <c r="Y601" s="124">
        <v>110</v>
      </c>
      <c r="AA601" s="124" t="s">
        <v>563</v>
      </c>
    </row>
    <row r="602" spans="1:34" s="124" customFormat="1">
      <c r="A602" s="124">
        <v>820712</v>
      </c>
      <c r="B602" s="124" t="s">
        <v>854</v>
      </c>
      <c r="C602" s="124">
        <v>8</v>
      </c>
      <c r="E602" s="124" t="s">
        <v>747</v>
      </c>
      <c r="F602" s="124">
        <v>2</v>
      </c>
      <c r="H602" s="124">
        <v>308</v>
      </c>
      <c r="I602" s="128" t="s">
        <v>748</v>
      </c>
      <c r="R602" s="124" t="s">
        <v>855</v>
      </c>
      <c r="W602" s="124" t="s">
        <v>856</v>
      </c>
      <c r="X602" s="124" t="s">
        <v>568</v>
      </c>
      <c r="Y602" s="124">
        <v>111</v>
      </c>
      <c r="AA602" s="124" t="s">
        <v>563</v>
      </c>
    </row>
    <row r="603" spans="1:34" s="124" customFormat="1">
      <c r="A603" s="124">
        <v>820812</v>
      </c>
      <c r="B603" s="124" t="s">
        <v>857</v>
      </c>
      <c r="C603" s="124">
        <v>8</v>
      </c>
      <c r="E603" s="124" t="s">
        <v>747</v>
      </c>
      <c r="F603" s="124">
        <v>2</v>
      </c>
      <c r="H603" s="124">
        <v>304</v>
      </c>
      <c r="I603" s="128" t="s">
        <v>748</v>
      </c>
      <c r="R603" s="124" t="s">
        <v>858</v>
      </c>
      <c r="W603" s="124" t="s">
        <v>859</v>
      </c>
      <c r="X603" s="124" t="s">
        <v>562</v>
      </c>
      <c r="Y603" s="124">
        <v>112</v>
      </c>
      <c r="AA603" s="124" t="s">
        <v>563</v>
      </c>
    </row>
    <row r="604" spans="1:34" s="124" customFormat="1">
      <c r="A604" s="124">
        <v>820912</v>
      </c>
      <c r="B604" s="124" t="s">
        <v>860</v>
      </c>
      <c r="C604" s="124">
        <v>8</v>
      </c>
      <c r="E604" s="124" t="s">
        <v>747</v>
      </c>
      <c r="F604" s="124">
        <v>2</v>
      </c>
      <c r="H604" s="124">
        <v>301</v>
      </c>
      <c r="I604" s="128" t="s">
        <v>748</v>
      </c>
      <c r="R604" s="124" t="s">
        <v>861</v>
      </c>
      <c r="W604" s="124" t="s">
        <v>862</v>
      </c>
      <c r="X604" s="124" t="s">
        <v>562</v>
      </c>
      <c r="Y604" s="124">
        <v>113</v>
      </c>
      <c r="AA604" s="124" t="s">
        <v>563</v>
      </c>
    </row>
    <row r="605" spans="1:34" s="124" customFormat="1">
      <c r="A605" s="124">
        <v>821012</v>
      </c>
      <c r="B605" s="124" t="s">
        <v>863</v>
      </c>
      <c r="C605" s="124">
        <v>8</v>
      </c>
      <c r="E605" s="124" t="s">
        <v>747</v>
      </c>
      <c r="F605" s="124">
        <v>2</v>
      </c>
      <c r="H605" s="124">
        <v>302</v>
      </c>
      <c r="I605" s="128" t="s">
        <v>748</v>
      </c>
      <c r="R605" s="124" t="s">
        <v>864</v>
      </c>
      <c r="W605" s="124" t="s">
        <v>865</v>
      </c>
      <c r="X605" s="124" t="s">
        <v>560</v>
      </c>
      <c r="Y605" s="124">
        <v>114</v>
      </c>
      <c r="AA605" s="124" t="s">
        <v>563</v>
      </c>
    </row>
    <row r="606" spans="1:34" s="124" customFormat="1">
      <c r="A606" s="124">
        <v>821112</v>
      </c>
      <c r="B606" s="124" t="s">
        <v>866</v>
      </c>
      <c r="C606" s="124">
        <v>8</v>
      </c>
      <c r="E606" s="124" t="s">
        <v>747</v>
      </c>
      <c r="F606" s="124">
        <v>2</v>
      </c>
      <c r="H606" s="124">
        <v>302</v>
      </c>
      <c r="I606" s="128" t="s">
        <v>748</v>
      </c>
      <c r="R606" s="124" t="s">
        <v>867</v>
      </c>
      <c r="W606" s="124" t="s">
        <v>868</v>
      </c>
      <c r="X606" s="124" t="s">
        <v>558</v>
      </c>
      <c r="Y606" s="124">
        <v>115</v>
      </c>
      <c r="AA606" s="124" t="s">
        <v>563</v>
      </c>
    </row>
    <row r="607" spans="1:34" s="124" customFormat="1">
      <c r="A607" s="124">
        <v>840112</v>
      </c>
      <c r="B607" s="124" t="s">
        <v>869</v>
      </c>
      <c r="C607" s="124">
        <v>8</v>
      </c>
      <c r="E607" s="124" t="s">
        <v>747</v>
      </c>
      <c r="F607" s="124">
        <v>4</v>
      </c>
      <c r="H607" s="124">
        <v>303</v>
      </c>
      <c r="I607" s="128" t="s">
        <v>748</v>
      </c>
      <c r="R607" s="124" t="s">
        <v>870</v>
      </c>
      <c r="W607" s="124" t="s">
        <v>871</v>
      </c>
      <c r="X607" s="124" t="s">
        <v>562</v>
      </c>
      <c r="Y607" s="124">
        <v>116</v>
      </c>
      <c r="AA607" s="124" t="s">
        <v>586</v>
      </c>
    </row>
    <row r="608" spans="1:34" s="124" customFormat="1">
      <c r="A608" s="124">
        <v>840212</v>
      </c>
      <c r="B608" s="124" t="s">
        <v>872</v>
      </c>
      <c r="C608" s="124">
        <v>8</v>
      </c>
      <c r="E608" s="124" t="s">
        <v>747</v>
      </c>
      <c r="F608" s="124">
        <v>4</v>
      </c>
      <c r="H608" s="124">
        <v>302</v>
      </c>
      <c r="I608" s="128" t="s">
        <v>748</v>
      </c>
      <c r="R608" s="124" t="s">
        <v>873</v>
      </c>
      <c r="W608" s="124" t="s">
        <v>874</v>
      </c>
      <c r="X608" s="124" t="s">
        <v>522</v>
      </c>
      <c r="Y608" s="124">
        <v>117</v>
      </c>
      <c r="AA608" s="124" t="s">
        <v>586</v>
      </c>
    </row>
    <row r="609" spans="1:27" s="124" customFormat="1">
      <c r="A609" s="124">
        <v>840312</v>
      </c>
      <c r="B609" s="124" t="s">
        <v>875</v>
      </c>
      <c r="C609" s="124">
        <v>8</v>
      </c>
      <c r="E609" s="124" t="s">
        <v>747</v>
      </c>
      <c r="F609" s="124">
        <v>4</v>
      </c>
      <c r="H609" s="124">
        <v>305</v>
      </c>
      <c r="I609" s="128" t="s">
        <v>748</v>
      </c>
      <c r="R609" s="124" t="s">
        <v>876</v>
      </c>
      <c r="W609" s="124" t="s">
        <v>877</v>
      </c>
      <c r="X609" s="124" t="s">
        <v>439</v>
      </c>
      <c r="Y609" s="124">
        <v>118</v>
      </c>
      <c r="AA609" s="124" t="s">
        <v>586</v>
      </c>
    </row>
    <row r="610" spans="1:27" s="124" customFormat="1">
      <c r="A610" s="124">
        <v>840412</v>
      </c>
      <c r="B610" s="124" t="s">
        <v>878</v>
      </c>
      <c r="C610" s="124">
        <v>8</v>
      </c>
      <c r="E610" s="124" t="s">
        <v>747</v>
      </c>
      <c r="F610" s="124">
        <v>4</v>
      </c>
      <c r="H610" s="124">
        <v>307</v>
      </c>
      <c r="I610" s="128" t="s">
        <v>748</v>
      </c>
      <c r="R610" s="124" t="s">
        <v>879</v>
      </c>
      <c r="W610" s="124" t="s">
        <v>880</v>
      </c>
      <c r="X610" s="124" t="s">
        <v>564</v>
      </c>
      <c r="Y610" s="124">
        <v>119</v>
      </c>
      <c r="AA610" s="124" t="s">
        <v>586</v>
      </c>
    </row>
    <row r="611" spans="1:27" s="124" customFormat="1">
      <c r="A611" s="124">
        <v>840512</v>
      </c>
      <c r="B611" s="124" t="s">
        <v>881</v>
      </c>
      <c r="C611" s="124">
        <v>8</v>
      </c>
      <c r="E611" s="124" t="s">
        <v>747</v>
      </c>
      <c r="F611" s="124">
        <v>4</v>
      </c>
      <c r="H611" s="124">
        <v>307</v>
      </c>
      <c r="I611" s="128" t="s">
        <v>748</v>
      </c>
      <c r="R611" s="124" t="s">
        <v>882</v>
      </c>
      <c r="W611" s="124" t="s">
        <v>883</v>
      </c>
      <c r="X611" s="124" t="s">
        <v>499</v>
      </c>
      <c r="Y611" s="124">
        <v>120</v>
      </c>
      <c r="AA611" s="124" t="s">
        <v>586</v>
      </c>
    </row>
    <row r="612" spans="1:27" s="124" customFormat="1">
      <c r="A612" s="124">
        <v>840612</v>
      </c>
      <c r="B612" s="124" t="s">
        <v>884</v>
      </c>
      <c r="C612" s="124">
        <v>8</v>
      </c>
      <c r="E612" s="124" t="s">
        <v>747</v>
      </c>
      <c r="F612" s="124">
        <v>4</v>
      </c>
      <c r="H612" s="124">
        <v>306</v>
      </c>
      <c r="I612" s="128" t="s">
        <v>748</v>
      </c>
      <c r="R612" s="124" t="s">
        <v>885</v>
      </c>
      <c r="W612" s="124" t="s">
        <v>886</v>
      </c>
      <c r="X612" s="124" t="s">
        <v>499</v>
      </c>
      <c r="Y612" s="124">
        <v>201</v>
      </c>
      <c r="AA612" s="124" t="s">
        <v>586</v>
      </c>
    </row>
    <row r="613" spans="1:27" s="124" customFormat="1">
      <c r="A613" s="124">
        <v>840712</v>
      </c>
      <c r="B613" s="124" t="s">
        <v>887</v>
      </c>
      <c r="C613" s="124">
        <v>8</v>
      </c>
      <c r="E613" s="124" t="s">
        <v>747</v>
      </c>
      <c r="F613" s="124">
        <v>4</v>
      </c>
      <c r="H613" s="124">
        <v>304</v>
      </c>
      <c r="I613" s="128" t="s">
        <v>748</v>
      </c>
      <c r="R613" s="124" t="s">
        <v>888</v>
      </c>
      <c r="W613" s="124" t="s">
        <v>889</v>
      </c>
      <c r="X613" s="124" t="s">
        <v>499</v>
      </c>
      <c r="Y613" s="124">
        <v>202</v>
      </c>
      <c r="AA613" s="124" t="s">
        <v>586</v>
      </c>
    </row>
    <row r="614" spans="1:27" s="124" customFormat="1">
      <c r="A614" s="124">
        <v>840812</v>
      </c>
      <c r="B614" s="124" t="s">
        <v>890</v>
      </c>
      <c r="C614" s="124">
        <v>8</v>
      </c>
      <c r="E614" s="124" t="s">
        <v>747</v>
      </c>
      <c r="F614" s="124">
        <v>4</v>
      </c>
      <c r="H614" s="124">
        <v>301</v>
      </c>
      <c r="I614" s="128" t="s">
        <v>748</v>
      </c>
      <c r="R614" s="124" t="s">
        <v>891</v>
      </c>
      <c r="W614" s="124" t="s">
        <v>892</v>
      </c>
      <c r="X614" s="124" t="s">
        <v>452</v>
      </c>
      <c r="Y614" s="124">
        <v>203</v>
      </c>
      <c r="AA614" s="124" t="s">
        <v>586</v>
      </c>
    </row>
    <row r="615" spans="1:27" s="124" customFormat="1">
      <c r="A615" s="124">
        <v>840912</v>
      </c>
      <c r="B615" s="124" t="s">
        <v>893</v>
      </c>
      <c r="C615" s="124">
        <v>8</v>
      </c>
      <c r="E615" s="124" t="s">
        <v>747</v>
      </c>
      <c r="F615" s="124">
        <v>4</v>
      </c>
      <c r="H615" s="124">
        <v>305</v>
      </c>
      <c r="I615" s="128" t="s">
        <v>748</v>
      </c>
      <c r="R615" s="124" t="s">
        <v>894</v>
      </c>
      <c r="W615" s="124" t="s">
        <v>895</v>
      </c>
      <c r="X615" s="124" t="s">
        <v>512</v>
      </c>
      <c r="Y615" s="124">
        <v>204</v>
      </c>
      <c r="AA615" s="124" t="s">
        <v>586</v>
      </c>
    </row>
    <row r="616" spans="1:27" s="124" customFormat="1">
      <c r="A616" s="124">
        <v>841012</v>
      </c>
      <c r="B616" s="124" t="s">
        <v>896</v>
      </c>
      <c r="C616" s="124">
        <v>8</v>
      </c>
      <c r="E616" s="124" t="s">
        <v>747</v>
      </c>
      <c r="F616" s="124">
        <v>4</v>
      </c>
      <c r="H616" s="124">
        <v>301</v>
      </c>
      <c r="I616" s="128" t="s">
        <v>748</v>
      </c>
      <c r="R616" s="124" t="s">
        <v>897</v>
      </c>
      <c r="W616" s="124" t="s">
        <v>898</v>
      </c>
      <c r="X616" s="124" t="s">
        <v>452</v>
      </c>
      <c r="Y616" s="124">
        <v>205</v>
      </c>
      <c r="AA616" s="124" t="s">
        <v>586</v>
      </c>
    </row>
    <row r="617" spans="1:27" s="124" customFormat="1">
      <c r="A617" s="124">
        <v>841112</v>
      </c>
      <c r="B617" s="124" t="s">
        <v>899</v>
      </c>
      <c r="C617" s="124">
        <v>8</v>
      </c>
      <c r="E617" s="124" t="s">
        <v>747</v>
      </c>
      <c r="F617" s="124">
        <v>4</v>
      </c>
      <c r="H617" s="124">
        <v>308</v>
      </c>
      <c r="I617" s="128" t="s">
        <v>748</v>
      </c>
      <c r="R617" s="124" t="s">
        <v>900</v>
      </c>
      <c r="W617" s="124" t="s">
        <v>901</v>
      </c>
      <c r="X617" s="124" t="s">
        <v>562</v>
      </c>
      <c r="Y617" s="124">
        <v>206</v>
      </c>
      <c r="AA617" s="124" t="s">
        <v>586</v>
      </c>
    </row>
    <row r="618" spans="1:27" s="124" customFormat="1">
      <c r="I618" s="127"/>
    </row>
    <row r="619" spans="1:27" s="124" customFormat="1" ht="18" customHeight="1">
      <c r="A619" s="124">
        <v>31700</v>
      </c>
      <c r="B619" s="124" t="s">
        <v>902</v>
      </c>
      <c r="C619" s="124">
        <v>3</v>
      </c>
      <c r="E619" s="124" t="s">
        <v>903</v>
      </c>
      <c r="F619" s="124">
        <v>1</v>
      </c>
      <c r="G619" s="142" t="s">
        <v>904</v>
      </c>
      <c r="H619" s="124">
        <v>305</v>
      </c>
      <c r="I619" s="128" t="s">
        <v>905</v>
      </c>
      <c r="J619" s="124">
        <v>0</v>
      </c>
      <c r="T619" s="142" t="s">
        <v>906</v>
      </c>
      <c r="U619" s="124" t="s">
        <v>907</v>
      </c>
      <c r="W619" s="124">
        <v>3</v>
      </c>
      <c r="X619" s="124" t="s">
        <v>568</v>
      </c>
      <c r="Y619" s="124">
        <v>101</v>
      </c>
      <c r="Z619" s="124">
        <v>2</v>
      </c>
      <c r="AA619" s="124" t="s">
        <v>443</v>
      </c>
    </row>
    <row r="620" spans="1:27" s="124" customFormat="1">
      <c r="A620" s="124">
        <v>33720</v>
      </c>
      <c r="B620" s="124" t="s">
        <v>908</v>
      </c>
      <c r="C620" s="124">
        <v>3</v>
      </c>
      <c r="E620" s="124" t="s">
        <v>909</v>
      </c>
      <c r="F620" s="124">
        <v>3</v>
      </c>
      <c r="G620" s="142" t="s">
        <v>910</v>
      </c>
      <c r="H620" s="124">
        <v>308</v>
      </c>
      <c r="I620" s="128" t="s">
        <v>911</v>
      </c>
      <c r="J620" s="124">
        <v>0</v>
      </c>
      <c r="T620" s="142" t="s">
        <v>912</v>
      </c>
      <c r="U620" s="124" t="s">
        <v>913</v>
      </c>
      <c r="W620" s="124">
        <v>4</v>
      </c>
      <c r="X620" s="124" t="s">
        <v>558</v>
      </c>
      <c r="Y620" s="124">
        <v>16</v>
      </c>
      <c r="Z620" s="124">
        <v>8</v>
      </c>
      <c r="AA620" s="124" t="s">
        <v>567</v>
      </c>
    </row>
    <row r="621" spans="1:27" s="124" customFormat="1">
      <c r="A621" s="124">
        <v>32680</v>
      </c>
      <c r="B621" s="124" t="s">
        <v>914</v>
      </c>
      <c r="C621" s="124">
        <v>3</v>
      </c>
      <c r="E621" s="124" t="s">
        <v>909</v>
      </c>
      <c r="F621" s="124">
        <v>2</v>
      </c>
      <c r="G621" s="142" t="s">
        <v>915</v>
      </c>
      <c r="H621" s="124">
        <v>308</v>
      </c>
      <c r="I621" s="128" t="s">
        <v>911</v>
      </c>
      <c r="J621" s="124">
        <v>0</v>
      </c>
      <c r="T621" s="142" t="s">
        <v>916</v>
      </c>
      <c r="U621" s="124" t="s">
        <v>917</v>
      </c>
      <c r="W621" s="124">
        <v>4</v>
      </c>
      <c r="X621" s="124" t="s">
        <v>568</v>
      </c>
      <c r="Y621" s="124">
        <v>12</v>
      </c>
      <c r="Z621" s="124">
        <v>8</v>
      </c>
      <c r="AA621" s="124" t="s">
        <v>548</v>
      </c>
    </row>
    <row r="622" spans="1:27" s="124" customFormat="1">
      <c r="A622" s="124">
        <v>31690</v>
      </c>
      <c r="B622" s="124" t="s">
        <v>918</v>
      </c>
      <c r="C622" s="124">
        <v>3</v>
      </c>
      <c r="E622" s="124" t="s">
        <v>909</v>
      </c>
      <c r="F622" s="124">
        <v>1</v>
      </c>
      <c r="G622" s="142" t="s">
        <v>919</v>
      </c>
      <c r="H622" s="124">
        <v>308</v>
      </c>
      <c r="I622" s="128" t="s">
        <v>911</v>
      </c>
      <c r="J622" s="124">
        <v>0</v>
      </c>
      <c r="T622" s="142" t="s">
        <v>920</v>
      </c>
      <c r="U622" s="124" t="s">
        <v>921</v>
      </c>
      <c r="W622" s="124">
        <v>4</v>
      </c>
      <c r="X622" s="124" t="s">
        <v>439</v>
      </c>
      <c r="Y622" s="124">
        <v>15</v>
      </c>
      <c r="Z622" s="124">
        <v>1</v>
      </c>
      <c r="AA622" s="124" t="s">
        <v>488</v>
      </c>
    </row>
    <row r="623" spans="1:27" s="124" customFormat="1">
      <c r="A623" s="124">
        <v>34720</v>
      </c>
      <c r="B623" s="124" t="s">
        <v>922</v>
      </c>
      <c r="C623" s="124">
        <v>3</v>
      </c>
      <c r="E623" s="124" t="s">
        <v>909</v>
      </c>
      <c r="F623" s="124">
        <v>4</v>
      </c>
      <c r="G623" s="142" t="s">
        <v>923</v>
      </c>
      <c r="H623" s="124">
        <v>308</v>
      </c>
      <c r="I623" s="128" t="s">
        <v>911</v>
      </c>
      <c r="J623" s="124">
        <v>0</v>
      </c>
      <c r="T623" s="142" t="s">
        <v>924</v>
      </c>
      <c r="U623" s="124" t="s">
        <v>925</v>
      </c>
      <c r="W623" s="124">
        <v>4</v>
      </c>
      <c r="X623" s="124" t="s">
        <v>564</v>
      </c>
      <c r="Y623" s="124">
        <v>10</v>
      </c>
      <c r="Z623" s="124">
        <v>2</v>
      </c>
      <c r="AA623" s="124" t="s">
        <v>583</v>
      </c>
    </row>
    <row r="624" spans="1:27" s="124" customFormat="1">
      <c r="A624" s="124">
        <v>38170</v>
      </c>
      <c r="B624" s="124" t="s">
        <v>926</v>
      </c>
      <c r="C624" s="124">
        <v>3</v>
      </c>
      <c r="E624" s="124" t="s">
        <v>909</v>
      </c>
      <c r="F624" s="124">
        <v>8</v>
      </c>
      <c r="G624" s="142" t="s">
        <v>927</v>
      </c>
      <c r="H624" s="124">
        <v>308</v>
      </c>
      <c r="I624" s="128" t="s">
        <v>911</v>
      </c>
      <c r="J624" s="124">
        <v>0</v>
      </c>
      <c r="T624" s="142" t="s">
        <v>928</v>
      </c>
      <c r="U624" s="124" t="s">
        <v>929</v>
      </c>
      <c r="W624" s="124">
        <v>4</v>
      </c>
      <c r="X624" s="124" t="s">
        <v>536</v>
      </c>
      <c r="Y624" s="124">
        <v>2</v>
      </c>
      <c r="Z624" s="124">
        <v>5</v>
      </c>
      <c r="AA624" s="124" t="s">
        <v>588</v>
      </c>
    </row>
    <row r="625" spans="1:35" s="124" customFormat="1">
      <c r="A625" s="124">
        <v>31680</v>
      </c>
      <c r="B625" s="124" t="s">
        <v>3536</v>
      </c>
      <c r="C625" s="124">
        <v>3</v>
      </c>
      <c r="E625" s="124" t="s">
        <v>740</v>
      </c>
      <c r="F625" s="124">
        <v>1</v>
      </c>
      <c r="H625" s="124">
        <v>306</v>
      </c>
      <c r="I625" s="128" t="s">
        <v>3537</v>
      </c>
      <c r="J625" s="124">
        <v>0</v>
      </c>
      <c r="U625" s="124" t="s">
        <v>742</v>
      </c>
      <c r="W625" s="124">
        <v>5</v>
      </c>
      <c r="X625" s="124" t="s">
        <v>539</v>
      </c>
      <c r="Y625" s="124">
        <v>121</v>
      </c>
      <c r="Z625" s="124">
        <v>9</v>
      </c>
      <c r="AA625" s="124" t="s">
        <v>516</v>
      </c>
    </row>
    <row r="626" spans="1:35" s="124" customFormat="1">
      <c r="A626" s="124">
        <v>32670</v>
      </c>
      <c r="B626" s="124" t="s">
        <v>930</v>
      </c>
      <c r="C626" s="124">
        <v>3</v>
      </c>
      <c r="E626" s="124" t="s">
        <v>740</v>
      </c>
      <c r="F626" s="124">
        <v>2</v>
      </c>
      <c r="H626" s="124">
        <v>306</v>
      </c>
      <c r="I626" s="128" t="s">
        <v>3537</v>
      </c>
      <c r="J626" s="124">
        <v>0</v>
      </c>
      <c r="U626" s="124" t="s">
        <v>742</v>
      </c>
      <c r="W626" s="124">
        <v>5</v>
      </c>
      <c r="X626" s="124" t="s">
        <v>484</v>
      </c>
      <c r="Y626" s="124">
        <v>22</v>
      </c>
      <c r="Z626" s="124">
        <v>3</v>
      </c>
      <c r="AA626" s="124" t="s">
        <v>546</v>
      </c>
    </row>
    <row r="627" spans="1:35" s="124" customFormat="1">
      <c r="A627" s="124">
        <v>33690</v>
      </c>
      <c r="B627" s="124" t="s">
        <v>931</v>
      </c>
      <c r="C627" s="124">
        <v>3</v>
      </c>
      <c r="E627" s="124" t="s">
        <v>740</v>
      </c>
      <c r="F627" s="124">
        <v>3</v>
      </c>
      <c r="H627" s="124">
        <v>306</v>
      </c>
      <c r="I627" s="128" t="s">
        <v>3537</v>
      </c>
      <c r="J627" s="124">
        <v>0</v>
      </c>
      <c r="U627" s="124" t="s">
        <v>742</v>
      </c>
      <c r="W627" s="124">
        <v>5</v>
      </c>
      <c r="X627" s="124" t="s">
        <v>499</v>
      </c>
      <c r="Y627" s="124">
        <v>4</v>
      </c>
      <c r="Z627" s="124">
        <v>3</v>
      </c>
      <c r="AA627" s="124" t="s">
        <v>571</v>
      </c>
    </row>
    <row r="628" spans="1:35" s="124" customFormat="1">
      <c r="A628" s="124">
        <v>34710</v>
      </c>
      <c r="B628" s="124" t="s">
        <v>932</v>
      </c>
      <c r="C628" s="124">
        <v>3</v>
      </c>
      <c r="E628" s="124" t="s">
        <v>740</v>
      </c>
      <c r="F628" s="124">
        <v>4</v>
      </c>
      <c r="H628" s="124">
        <v>306</v>
      </c>
      <c r="I628" s="128" t="s">
        <v>3537</v>
      </c>
      <c r="J628" s="124">
        <v>0</v>
      </c>
      <c r="U628" s="124" t="s">
        <v>742</v>
      </c>
      <c r="W628" s="124">
        <v>5</v>
      </c>
      <c r="X628" s="124" t="s">
        <v>439</v>
      </c>
      <c r="Y628" s="124">
        <v>8</v>
      </c>
      <c r="Z628" s="124">
        <v>8</v>
      </c>
      <c r="AA628" s="124" t="s">
        <v>579</v>
      </c>
    </row>
    <row r="629" spans="1:35" s="124" customFormat="1">
      <c r="A629" s="124">
        <v>38160</v>
      </c>
      <c r="B629" s="124" t="s">
        <v>933</v>
      </c>
      <c r="C629" s="124">
        <v>3</v>
      </c>
      <c r="E629" s="124" t="s">
        <v>740</v>
      </c>
      <c r="F629" s="124">
        <v>8</v>
      </c>
      <c r="H629" s="124">
        <v>306</v>
      </c>
      <c r="I629" s="128" t="s">
        <v>3537</v>
      </c>
      <c r="J629" s="124">
        <v>0</v>
      </c>
      <c r="U629" s="124" t="s">
        <v>742</v>
      </c>
      <c r="W629" s="124">
        <v>5</v>
      </c>
      <c r="X629" s="124" t="s">
        <v>556</v>
      </c>
      <c r="Y629" s="124">
        <v>1</v>
      </c>
      <c r="Z629" s="124">
        <v>6</v>
      </c>
      <c r="AA629" s="124" t="s">
        <v>588</v>
      </c>
    </row>
    <row r="630" spans="1:35" s="124" customFormat="1">
      <c r="I630" s="127"/>
    </row>
    <row r="631" spans="1:35" s="124" customFormat="1" ht="16.5" customHeight="1">
      <c r="A631" s="124">
        <v>32690</v>
      </c>
      <c r="B631" s="124" t="s">
        <v>934</v>
      </c>
      <c r="C631" s="124">
        <v>3</v>
      </c>
      <c r="E631" s="124" t="s">
        <v>935</v>
      </c>
      <c r="F631" s="124">
        <v>2</v>
      </c>
      <c r="G631" s="142" t="s">
        <v>936</v>
      </c>
      <c r="H631" s="124">
        <v>303</v>
      </c>
      <c r="I631" s="128" t="s">
        <v>937</v>
      </c>
      <c r="J631" s="124">
        <v>1</v>
      </c>
      <c r="K631" s="124">
        <v>20621</v>
      </c>
      <c r="T631" s="142" t="s">
        <v>938</v>
      </c>
      <c r="U631" s="124" t="s">
        <v>939</v>
      </c>
      <c r="W631" s="124" t="s">
        <v>940</v>
      </c>
      <c r="X631" s="124" t="s">
        <v>549</v>
      </c>
      <c r="Y631" s="124">
        <v>214</v>
      </c>
      <c r="Z631" s="124">
        <v>1</v>
      </c>
      <c r="AA631" s="124" t="s">
        <v>548</v>
      </c>
      <c r="AB631" s="124" t="s">
        <v>941</v>
      </c>
      <c r="AC631" s="124">
        <v>4</v>
      </c>
      <c r="AD631" s="124" t="s">
        <v>942</v>
      </c>
      <c r="AE631" s="124" t="s">
        <v>943</v>
      </c>
      <c r="AF631" s="124" t="s">
        <v>944</v>
      </c>
      <c r="AG631" s="124" t="s">
        <v>945</v>
      </c>
      <c r="AH631" s="124" t="s">
        <v>946</v>
      </c>
      <c r="AI631" s="124" t="s">
        <v>946</v>
      </c>
    </row>
    <row r="632" spans="1:35" s="124" customFormat="1">
      <c r="A632" s="124">
        <v>42340</v>
      </c>
      <c r="B632" s="124" t="s">
        <v>947</v>
      </c>
      <c r="C632" s="124">
        <v>4</v>
      </c>
      <c r="E632" s="124" t="s">
        <v>935</v>
      </c>
      <c r="F632" s="124">
        <v>2</v>
      </c>
      <c r="G632" s="142" t="s">
        <v>948</v>
      </c>
      <c r="H632" s="124">
        <v>305</v>
      </c>
      <c r="I632" s="128" t="s">
        <v>937</v>
      </c>
      <c r="J632" s="124">
        <v>1</v>
      </c>
      <c r="K632" s="124">
        <v>20621</v>
      </c>
      <c r="S632" s="124" t="s">
        <v>949</v>
      </c>
      <c r="T632" s="142" t="s">
        <v>950</v>
      </c>
      <c r="U632" s="124" t="s">
        <v>951</v>
      </c>
      <c r="W632" s="124" t="s">
        <v>952</v>
      </c>
      <c r="X632" s="124" t="s">
        <v>499</v>
      </c>
      <c r="Y632" s="124">
        <v>216</v>
      </c>
      <c r="Z632" s="124">
        <v>4</v>
      </c>
      <c r="AA632" s="124" t="s">
        <v>559</v>
      </c>
      <c r="AB632" s="124" t="s">
        <v>941</v>
      </c>
      <c r="AC632" s="124">
        <v>4</v>
      </c>
      <c r="AD632" s="124" t="s">
        <v>942</v>
      </c>
      <c r="AE632" s="124" t="s">
        <v>943</v>
      </c>
      <c r="AF632" s="124" t="s">
        <v>944</v>
      </c>
      <c r="AG632" s="124" t="s">
        <v>945</v>
      </c>
      <c r="AH632" s="124" t="s">
        <v>946</v>
      </c>
      <c r="AI632" s="124" t="s">
        <v>946</v>
      </c>
    </row>
    <row r="633" spans="1:35" s="124" customFormat="1"/>
    <row r="634" spans="1:35" s="124" customFormat="1">
      <c r="A634" s="124">
        <v>71110</v>
      </c>
      <c r="B634" s="124" t="s">
        <v>953</v>
      </c>
      <c r="C634" s="124">
        <v>7</v>
      </c>
      <c r="E634" s="126" t="s">
        <v>954</v>
      </c>
      <c r="F634" s="124">
        <v>1</v>
      </c>
      <c r="G634" s="124" t="s">
        <v>955</v>
      </c>
      <c r="H634" s="124">
        <v>302</v>
      </c>
      <c r="I634" s="128" t="s">
        <v>956</v>
      </c>
      <c r="J634" s="124">
        <v>1</v>
      </c>
      <c r="K634" s="124">
        <v>10631</v>
      </c>
      <c r="T634" s="124" t="s">
        <v>957</v>
      </c>
      <c r="U634" s="124" t="s">
        <v>958</v>
      </c>
      <c r="V634" s="124">
        <v>2</v>
      </c>
      <c r="W634" s="124">
        <v>3</v>
      </c>
      <c r="X634" s="124" t="s">
        <v>531</v>
      </c>
      <c r="Y634" s="124">
        <v>215</v>
      </c>
      <c r="Z634" s="124">
        <v>0</v>
      </c>
      <c r="AA634" s="124" t="s">
        <v>516</v>
      </c>
      <c r="AB634" s="124" t="s">
        <v>959</v>
      </c>
      <c r="AC634" s="124">
        <v>5</v>
      </c>
      <c r="AD634" s="124" t="s">
        <v>960</v>
      </c>
      <c r="AE634" s="124" t="s">
        <v>961</v>
      </c>
      <c r="AF634" s="124" t="s">
        <v>962</v>
      </c>
      <c r="AG634" s="124" t="s">
        <v>963</v>
      </c>
      <c r="AH634" s="124" t="s">
        <v>964</v>
      </c>
    </row>
    <row r="635" spans="1:35" s="124" customFormat="1">
      <c r="A635" s="124">
        <v>72110</v>
      </c>
      <c r="B635" s="124" t="s">
        <v>965</v>
      </c>
      <c r="C635" s="124">
        <v>7</v>
      </c>
      <c r="E635" s="126" t="s">
        <v>966</v>
      </c>
      <c r="F635" s="124">
        <v>2</v>
      </c>
      <c r="G635" s="124" t="s">
        <v>967</v>
      </c>
      <c r="H635" s="124">
        <v>302</v>
      </c>
      <c r="I635" s="128" t="s">
        <v>956</v>
      </c>
      <c r="J635" s="124">
        <v>1</v>
      </c>
      <c r="K635" s="124">
        <v>20611</v>
      </c>
      <c r="T635" s="124" t="s">
        <v>968</v>
      </c>
      <c r="U635" s="124" t="s">
        <v>969</v>
      </c>
      <c r="V635" s="124">
        <v>2</v>
      </c>
      <c r="W635" s="124">
        <v>3</v>
      </c>
      <c r="X635" s="124" t="s">
        <v>551</v>
      </c>
      <c r="Y635" s="124">
        <v>216</v>
      </c>
      <c r="Z635" s="124">
        <v>0</v>
      </c>
      <c r="AA635" s="124" t="s">
        <v>550</v>
      </c>
      <c r="AB635" s="124" t="s">
        <v>970</v>
      </c>
      <c r="AC635" s="124">
        <v>5</v>
      </c>
      <c r="AD635" s="124" t="s">
        <v>971</v>
      </c>
      <c r="AE635" s="124" t="s">
        <v>972</v>
      </c>
      <c r="AF635" s="124" t="s">
        <v>973</v>
      </c>
      <c r="AG635" s="124" t="s">
        <v>974</v>
      </c>
      <c r="AH635" s="124" t="s">
        <v>975</v>
      </c>
    </row>
    <row r="636" spans="1:35" s="124" customFormat="1">
      <c r="A636" s="124">
        <v>73130</v>
      </c>
      <c r="B636" s="124" t="s">
        <v>976</v>
      </c>
      <c r="C636" s="124">
        <v>7</v>
      </c>
      <c r="E636" s="126" t="s">
        <v>977</v>
      </c>
      <c r="F636" s="124">
        <v>3</v>
      </c>
      <c r="G636" s="124" t="s">
        <v>978</v>
      </c>
      <c r="H636" s="124">
        <v>308</v>
      </c>
      <c r="I636" s="128" t="s">
        <v>956</v>
      </c>
      <c r="J636" s="124">
        <v>1</v>
      </c>
      <c r="K636" s="124">
        <v>30621</v>
      </c>
      <c r="T636" s="124" t="s">
        <v>979</v>
      </c>
      <c r="U636" s="124" t="s">
        <v>980</v>
      </c>
      <c r="V636" s="124">
        <v>2</v>
      </c>
      <c r="W636" s="124">
        <v>3</v>
      </c>
      <c r="X636" s="124" t="s">
        <v>545</v>
      </c>
      <c r="Y636" s="124">
        <v>217</v>
      </c>
      <c r="Z636" s="124">
        <v>0</v>
      </c>
      <c r="AA636" s="124" t="s">
        <v>567</v>
      </c>
      <c r="AB636" s="124" t="s">
        <v>981</v>
      </c>
      <c r="AC636" s="124">
        <v>5</v>
      </c>
      <c r="AD636" s="124" t="s">
        <v>982</v>
      </c>
      <c r="AE636" s="124" t="s">
        <v>983</v>
      </c>
      <c r="AF636" s="124" t="s">
        <v>984</v>
      </c>
      <c r="AG636" s="124" t="s">
        <v>985</v>
      </c>
      <c r="AH636" s="124" t="s">
        <v>986</v>
      </c>
    </row>
    <row r="637" spans="1:35" s="124" customFormat="1">
      <c r="A637" s="124">
        <v>74110</v>
      </c>
      <c r="B637" s="124" t="s">
        <v>987</v>
      </c>
      <c r="C637" s="124">
        <v>7</v>
      </c>
      <c r="E637" s="126" t="s">
        <v>988</v>
      </c>
      <c r="F637" s="124">
        <v>4</v>
      </c>
      <c r="G637" s="124" t="s">
        <v>989</v>
      </c>
      <c r="H637" s="124">
        <v>308</v>
      </c>
      <c r="I637" s="128" t="s">
        <v>956</v>
      </c>
      <c r="J637" s="124">
        <v>1</v>
      </c>
      <c r="K637" s="124">
        <v>40631</v>
      </c>
      <c r="T637" s="124" t="s">
        <v>990</v>
      </c>
      <c r="U637" s="124" t="s">
        <v>991</v>
      </c>
      <c r="V637" s="124">
        <v>2</v>
      </c>
      <c r="W637" s="124">
        <v>3</v>
      </c>
      <c r="X637" s="124" t="s">
        <v>570</v>
      </c>
      <c r="Y637" s="124">
        <v>219</v>
      </c>
      <c r="Z637" s="124">
        <v>0</v>
      </c>
      <c r="AA637" s="124" t="s">
        <v>579</v>
      </c>
      <c r="AB637" s="124" t="s">
        <v>992</v>
      </c>
      <c r="AC637" s="124">
        <v>5</v>
      </c>
      <c r="AD637" s="124" t="s">
        <v>993</v>
      </c>
      <c r="AE637" s="124" t="s">
        <v>994</v>
      </c>
      <c r="AF637" s="124" t="s">
        <v>995</v>
      </c>
      <c r="AG637" s="124" t="s">
        <v>996</v>
      </c>
      <c r="AH637" s="124" t="s">
        <v>997</v>
      </c>
    </row>
    <row r="638" spans="1:35" s="124" customFormat="1">
      <c r="A638" s="124">
        <v>78070</v>
      </c>
      <c r="B638" s="124" t="s">
        <v>998</v>
      </c>
      <c r="C638" s="124">
        <v>7</v>
      </c>
      <c r="E638" s="126" t="s">
        <v>999</v>
      </c>
      <c r="F638" s="124">
        <v>8</v>
      </c>
      <c r="G638" s="124" t="s">
        <v>1000</v>
      </c>
      <c r="H638" s="124">
        <v>303</v>
      </c>
      <c r="I638" s="128" t="s">
        <v>956</v>
      </c>
      <c r="J638" s="124">
        <v>1</v>
      </c>
      <c r="K638" s="124">
        <v>80101</v>
      </c>
      <c r="T638" s="124" t="s">
        <v>1001</v>
      </c>
      <c r="U638" s="124" t="s">
        <v>1002</v>
      </c>
      <c r="V638" s="124">
        <v>2</v>
      </c>
      <c r="W638" s="124">
        <v>3</v>
      </c>
      <c r="X638" s="124" t="s">
        <v>484</v>
      </c>
      <c r="Y638" s="124">
        <v>218</v>
      </c>
      <c r="Z638" s="124">
        <v>0</v>
      </c>
      <c r="AA638" s="124" t="s">
        <v>588</v>
      </c>
      <c r="AB638" s="124" t="s">
        <v>1003</v>
      </c>
      <c r="AC638" s="124">
        <v>5</v>
      </c>
      <c r="AD638" s="124" t="s">
        <v>1004</v>
      </c>
      <c r="AE638" s="124" t="s">
        <v>1005</v>
      </c>
      <c r="AF638" s="124" t="s">
        <v>1006</v>
      </c>
      <c r="AG638" s="124" t="s">
        <v>1007</v>
      </c>
      <c r="AH638" s="124" t="s">
        <v>1008</v>
      </c>
    </row>
    <row r="639" spans="1:35" s="124" customFormat="1">
      <c r="A639" s="124">
        <v>810111</v>
      </c>
      <c r="B639" s="124" t="s">
        <v>1009</v>
      </c>
      <c r="C639" s="124">
        <v>8</v>
      </c>
      <c r="E639" s="126" t="s">
        <v>747</v>
      </c>
      <c r="F639" s="124">
        <v>1</v>
      </c>
      <c r="H639" s="124">
        <v>304</v>
      </c>
      <c r="I639" s="128" t="s">
        <v>748</v>
      </c>
      <c r="R639" s="124" t="s">
        <v>1010</v>
      </c>
      <c r="W639" s="124" t="s">
        <v>1011</v>
      </c>
      <c r="X639" s="124" t="s">
        <v>499</v>
      </c>
      <c r="Y639" s="124">
        <v>101</v>
      </c>
      <c r="AA639" s="124" t="s">
        <v>525</v>
      </c>
    </row>
    <row r="640" spans="1:35" s="124" customFormat="1">
      <c r="A640" s="124">
        <v>810211</v>
      </c>
      <c r="B640" s="124" t="s">
        <v>1012</v>
      </c>
      <c r="C640" s="124">
        <v>8</v>
      </c>
      <c r="E640" s="126" t="s">
        <v>747</v>
      </c>
      <c r="F640" s="124">
        <v>1</v>
      </c>
      <c r="H640" s="124">
        <v>307</v>
      </c>
      <c r="I640" s="128" t="s">
        <v>748</v>
      </c>
      <c r="R640" s="124" t="s">
        <v>1013</v>
      </c>
      <c r="W640" s="124" t="s">
        <v>1014</v>
      </c>
      <c r="X640" s="124" t="s">
        <v>499</v>
      </c>
      <c r="Y640" s="124">
        <v>102</v>
      </c>
      <c r="AA640" s="124" t="s">
        <v>525</v>
      </c>
    </row>
    <row r="641" spans="1:27" s="124" customFormat="1">
      <c r="A641" s="124">
        <v>810311</v>
      </c>
      <c r="B641" s="124" t="s">
        <v>1015</v>
      </c>
      <c r="C641" s="124">
        <v>8</v>
      </c>
      <c r="E641" s="126" t="s">
        <v>747</v>
      </c>
      <c r="F641" s="124">
        <v>1</v>
      </c>
      <c r="H641" s="124">
        <v>305</v>
      </c>
      <c r="I641" s="128" t="s">
        <v>748</v>
      </c>
      <c r="R641" s="124" t="s">
        <v>1016</v>
      </c>
      <c r="W641" s="124" t="s">
        <v>1017</v>
      </c>
      <c r="X641" s="124" t="s">
        <v>542</v>
      </c>
      <c r="Y641" s="124">
        <v>103</v>
      </c>
      <c r="AA641" s="124" t="s">
        <v>525</v>
      </c>
    </row>
    <row r="642" spans="1:27" s="124" customFormat="1">
      <c r="A642" s="124">
        <v>810411</v>
      </c>
      <c r="B642" s="124" t="s">
        <v>1018</v>
      </c>
      <c r="C642" s="124">
        <v>8</v>
      </c>
      <c r="E642" s="126" t="s">
        <v>747</v>
      </c>
      <c r="F642" s="124">
        <v>1</v>
      </c>
      <c r="H642" s="124">
        <v>306</v>
      </c>
      <c r="I642" s="128" t="s">
        <v>748</v>
      </c>
      <c r="R642" s="124" t="s">
        <v>1019</v>
      </c>
      <c r="W642" s="124" t="s">
        <v>1020</v>
      </c>
      <c r="X642" s="124" t="s">
        <v>522</v>
      </c>
      <c r="Y642" s="124">
        <v>104</v>
      </c>
      <c r="AA642" s="124" t="s">
        <v>525</v>
      </c>
    </row>
    <row r="643" spans="1:27" s="124" customFormat="1">
      <c r="A643" s="124">
        <v>810511</v>
      </c>
      <c r="B643" s="124" t="s">
        <v>1021</v>
      </c>
      <c r="C643" s="124">
        <v>8</v>
      </c>
      <c r="E643" s="126" t="s">
        <v>747</v>
      </c>
      <c r="F643" s="124">
        <v>1</v>
      </c>
      <c r="H643" s="124">
        <v>307</v>
      </c>
      <c r="I643" s="128" t="s">
        <v>748</v>
      </c>
      <c r="R643" s="124" t="s">
        <v>1022</v>
      </c>
      <c r="W643" s="124" t="s">
        <v>1023</v>
      </c>
      <c r="X643" s="124" t="s">
        <v>522</v>
      </c>
      <c r="Y643" s="124">
        <v>105</v>
      </c>
      <c r="AA643" s="124" t="s">
        <v>525</v>
      </c>
    </row>
    <row r="644" spans="1:27" s="124" customFormat="1">
      <c r="A644" s="124">
        <v>810611</v>
      </c>
      <c r="B644" s="124" t="s">
        <v>1024</v>
      </c>
      <c r="C644" s="124">
        <v>8</v>
      </c>
      <c r="E644" s="126" t="s">
        <v>747</v>
      </c>
      <c r="F644" s="124">
        <v>1</v>
      </c>
      <c r="H644" s="124">
        <v>301</v>
      </c>
      <c r="I644" s="128" t="s">
        <v>748</v>
      </c>
      <c r="R644" s="124" t="s">
        <v>1025</v>
      </c>
      <c r="W644" s="124" t="s">
        <v>1026</v>
      </c>
      <c r="X644" s="124" t="s">
        <v>545</v>
      </c>
      <c r="Y644" s="124">
        <v>106</v>
      </c>
      <c r="AA644" s="124" t="s">
        <v>525</v>
      </c>
    </row>
    <row r="645" spans="1:27" s="124" customFormat="1">
      <c r="A645" s="124">
        <v>810711</v>
      </c>
      <c r="B645" s="124" t="s">
        <v>1027</v>
      </c>
      <c r="C645" s="124">
        <v>8</v>
      </c>
      <c r="E645" s="126" t="s">
        <v>747</v>
      </c>
      <c r="F645" s="124">
        <v>1</v>
      </c>
      <c r="H645" s="124">
        <v>308</v>
      </c>
      <c r="I645" s="128" t="s">
        <v>748</v>
      </c>
      <c r="R645" s="124" t="s">
        <v>1028</v>
      </c>
      <c r="W645" s="124" t="s">
        <v>1029</v>
      </c>
      <c r="X645" s="124" t="s">
        <v>522</v>
      </c>
      <c r="Y645" s="124">
        <v>107</v>
      </c>
      <c r="AA645" s="124" t="s">
        <v>525</v>
      </c>
    </row>
    <row r="646" spans="1:27" s="124" customFormat="1">
      <c r="A646" s="124">
        <v>810811</v>
      </c>
      <c r="B646" s="124" t="s">
        <v>1030</v>
      </c>
      <c r="C646" s="124">
        <v>8</v>
      </c>
      <c r="E646" s="126" t="s">
        <v>747</v>
      </c>
      <c r="F646" s="124">
        <v>1</v>
      </c>
      <c r="H646" s="124">
        <v>303</v>
      </c>
      <c r="I646" s="128" t="s">
        <v>748</v>
      </c>
      <c r="R646" s="124" t="s">
        <v>1031</v>
      </c>
      <c r="W646" s="124" t="s">
        <v>1032</v>
      </c>
      <c r="X646" s="124" t="s">
        <v>560</v>
      </c>
      <c r="Y646" s="124">
        <v>108</v>
      </c>
      <c r="AA646" s="124" t="s">
        <v>525</v>
      </c>
    </row>
    <row r="647" spans="1:27" s="124" customFormat="1">
      <c r="A647" s="124">
        <v>810911</v>
      </c>
      <c r="B647" s="124" t="s">
        <v>1033</v>
      </c>
      <c r="C647" s="124">
        <v>8</v>
      </c>
      <c r="E647" s="126" t="s">
        <v>747</v>
      </c>
      <c r="F647" s="124">
        <v>1</v>
      </c>
      <c r="H647" s="124">
        <v>301</v>
      </c>
      <c r="I647" s="128" t="s">
        <v>748</v>
      </c>
      <c r="R647" s="124" t="s">
        <v>1034</v>
      </c>
      <c r="W647" s="124" t="s">
        <v>1035</v>
      </c>
      <c r="X647" s="124" t="s">
        <v>566</v>
      </c>
      <c r="Y647" s="124">
        <v>109</v>
      </c>
      <c r="AA647" s="124" t="s">
        <v>525</v>
      </c>
    </row>
    <row r="648" spans="1:27" s="124" customFormat="1">
      <c r="A648" s="124">
        <v>811011</v>
      </c>
      <c r="B648" s="124" t="s">
        <v>1036</v>
      </c>
      <c r="C648" s="124">
        <v>8</v>
      </c>
      <c r="E648" s="126" t="s">
        <v>747</v>
      </c>
      <c r="F648" s="124">
        <v>1</v>
      </c>
      <c r="H648" s="124">
        <v>304</v>
      </c>
      <c r="I648" s="128" t="s">
        <v>748</v>
      </c>
      <c r="R648" s="124" t="s">
        <v>1037</v>
      </c>
      <c r="W648" s="124" t="s">
        <v>1038</v>
      </c>
      <c r="X648" s="124" t="s">
        <v>536</v>
      </c>
      <c r="Y648" s="124">
        <v>110</v>
      </c>
      <c r="AA648" s="124" t="s">
        <v>525</v>
      </c>
    </row>
    <row r="649" spans="1:27" s="124" customFormat="1">
      <c r="A649" s="124">
        <v>820111</v>
      </c>
      <c r="B649" s="124" t="s">
        <v>1039</v>
      </c>
      <c r="C649" s="124">
        <v>8</v>
      </c>
      <c r="E649" s="126" t="s">
        <v>747</v>
      </c>
      <c r="F649" s="124">
        <v>2</v>
      </c>
      <c r="H649" s="124">
        <v>305</v>
      </c>
      <c r="I649" s="128" t="s">
        <v>748</v>
      </c>
      <c r="R649" s="124" t="s">
        <v>1040</v>
      </c>
      <c r="W649" s="124" t="s">
        <v>1041</v>
      </c>
      <c r="X649" s="124" t="s">
        <v>522</v>
      </c>
      <c r="Y649" s="124">
        <v>111</v>
      </c>
      <c r="AA649" s="124" t="s">
        <v>559</v>
      </c>
    </row>
    <row r="650" spans="1:27" s="124" customFormat="1">
      <c r="A650" s="124">
        <v>820211</v>
      </c>
      <c r="B650" s="124" t="s">
        <v>1042</v>
      </c>
      <c r="C650" s="124">
        <v>8</v>
      </c>
      <c r="E650" s="126" t="s">
        <v>747</v>
      </c>
      <c r="F650" s="124">
        <v>2</v>
      </c>
      <c r="H650" s="124">
        <v>303</v>
      </c>
      <c r="I650" s="128" t="s">
        <v>748</v>
      </c>
      <c r="R650" s="124" t="s">
        <v>1043</v>
      </c>
      <c r="W650" s="124" t="s">
        <v>1044</v>
      </c>
      <c r="X650" s="124" t="s">
        <v>522</v>
      </c>
      <c r="Y650" s="124">
        <v>112</v>
      </c>
      <c r="AA650" s="124" t="s">
        <v>559</v>
      </c>
    </row>
    <row r="651" spans="1:27" s="124" customFormat="1">
      <c r="A651" s="124">
        <v>820311</v>
      </c>
      <c r="B651" s="124" t="s">
        <v>1045</v>
      </c>
      <c r="C651" s="124">
        <v>8</v>
      </c>
      <c r="E651" s="126" t="s">
        <v>747</v>
      </c>
      <c r="F651" s="124">
        <v>2</v>
      </c>
      <c r="H651" s="124">
        <v>301</v>
      </c>
      <c r="I651" s="128" t="s">
        <v>748</v>
      </c>
      <c r="R651" s="124" t="s">
        <v>1046</v>
      </c>
      <c r="W651" s="124" t="s">
        <v>1047</v>
      </c>
      <c r="X651" s="124" t="s">
        <v>547</v>
      </c>
      <c r="Y651" s="124">
        <v>113</v>
      </c>
      <c r="AA651" s="124" t="s">
        <v>559</v>
      </c>
    </row>
    <row r="652" spans="1:27" s="124" customFormat="1">
      <c r="A652" s="124">
        <v>820411</v>
      </c>
      <c r="B652" s="124" t="s">
        <v>1048</v>
      </c>
      <c r="C652" s="124">
        <v>8</v>
      </c>
      <c r="E652" s="126" t="s">
        <v>747</v>
      </c>
      <c r="F652" s="124">
        <v>2</v>
      </c>
      <c r="H652" s="124">
        <v>306</v>
      </c>
      <c r="I652" s="128" t="s">
        <v>748</v>
      </c>
      <c r="R652" s="124" t="s">
        <v>1049</v>
      </c>
      <c r="W652" s="124" t="s">
        <v>1050</v>
      </c>
      <c r="X652" s="124" t="s">
        <v>553</v>
      </c>
      <c r="Y652" s="124">
        <v>114</v>
      </c>
      <c r="AA652" s="124" t="s">
        <v>559</v>
      </c>
    </row>
    <row r="653" spans="1:27" s="124" customFormat="1">
      <c r="A653" s="124">
        <v>820511</v>
      </c>
      <c r="B653" s="124" t="s">
        <v>1051</v>
      </c>
      <c r="C653" s="124">
        <v>8</v>
      </c>
      <c r="E653" s="126" t="s">
        <v>747</v>
      </c>
      <c r="F653" s="124">
        <v>2</v>
      </c>
      <c r="H653" s="124">
        <v>303</v>
      </c>
      <c r="I653" s="128" t="s">
        <v>748</v>
      </c>
      <c r="R653" s="124" t="s">
        <v>1052</v>
      </c>
      <c r="W653" s="124" t="s">
        <v>1053</v>
      </c>
      <c r="X653" s="124" t="s">
        <v>553</v>
      </c>
      <c r="Y653" s="124">
        <v>115</v>
      </c>
      <c r="AA653" s="124" t="s">
        <v>559</v>
      </c>
    </row>
    <row r="654" spans="1:27" s="124" customFormat="1">
      <c r="A654" s="124">
        <v>820611</v>
      </c>
      <c r="B654" s="124" t="s">
        <v>1054</v>
      </c>
      <c r="C654" s="124">
        <v>8</v>
      </c>
      <c r="E654" s="126" t="s">
        <v>747</v>
      </c>
      <c r="F654" s="124">
        <v>2</v>
      </c>
      <c r="H654" s="124">
        <v>307</v>
      </c>
      <c r="I654" s="128" t="s">
        <v>748</v>
      </c>
      <c r="R654" s="124" t="s">
        <v>1055</v>
      </c>
      <c r="W654" s="124" t="s">
        <v>1056</v>
      </c>
      <c r="X654" s="124" t="s">
        <v>553</v>
      </c>
      <c r="Y654" s="124">
        <v>116</v>
      </c>
      <c r="AA654" s="124" t="s">
        <v>559</v>
      </c>
    </row>
    <row r="655" spans="1:27" s="124" customFormat="1">
      <c r="A655" s="124">
        <v>820711</v>
      </c>
      <c r="B655" s="124" t="s">
        <v>1057</v>
      </c>
      <c r="C655" s="124">
        <v>8</v>
      </c>
      <c r="E655" s="126" t="s">
        <v>747</v>
      </c>
      <c r="F655" s="124">
        <v>2</v>
      </c>
      <c r="H655" s="124">
        <v>308</v>
      </c>
      <c r="I655" s="128" t="s">
        <v>748</v>
      </c>
      <c r="R655" s="124" t="s">
        <v>1058</v>
      </c>
      <c r="W655" s="124" t="s">
        <v>1059</v>
      </c>
      <c r="X655" s="124" t="s">
        <v>549</v>
      </c>
      <c r="Y655" s="124">
        <v>117</v>
      </c>
      <c r="AA655" s="124" t="s">
        <v>559</v>
      </c>
    </row>
    <row r="656" spans="1:27" s="124" customFormat="1">
      <c r="A656" s="124">
        <v>820811</v>
      </c>
      <c r="B656" s="124" t="s">
        <v>1060</v>
      </c>
      <c r="C656" s="124">
        <v>8</v>
      </c>
      <c r="E656" s="126" t="s">
        <v>747</v>
      </c>
      <c r="F656" s="124">
        <v>2</v>
      </c>
      <c r="H656" s="124">
        <v>304</v>
      </c>
      <c r="I656" s="128" t="s">
        <v>748</v>
      </c>
      <c r="R656" s="124" t="s">
        <v>1061</v>
      </c>
      <c r="W656" s="124" t="s">
        <v>1062</v>
      </c>
      <c r="X656" s="124" t="s">
        <v>439</v>
      </c>
      <c r="Y656" s="124">
        <v>118</v>
      </c>
      <c r="AA656" s="124" t="s">
        <v>559</v>
      </c>
    </row>
    <row r="657" spans="1:27" s="124" customFormat="1">
      <c r="A657" s="124">
        <v>820911</v>
      </c>
      <c r="B657" s="124" t="s">
        <v>1063</v>
      </c>
      <c r="C657" s="124">
        <v>8</v>
      </c>
      <c r="E657" s="126" t="s">
        <v>747</v>
      </c>
      <c r="F657" s="124">
        <v>2</v>
      </c>
      <c r="H657" s="124">
        <v>301</v>
      </c>
      <c r="I657" s="128" t="s">
        <v>748</v>
      </c>
      <c r="R657" s="124" t="s">
        <v>1064</v>
      </c>
      <c r="W657" s="124" t="s">
        <v>1065</v>
      </c>
      <c r="X657" s="124" t="s">
        <v>484</v>
      </c>
      <c r="Y657" s="124">
        <v>119</v>
      </c>
      <c r="AA657" s="124" t="s">
        <v>559</v>
      </c>
    </row>
    <row r="658" spans="1:27" s="124" customFormat="1">
      <c r="A658" s="124">
        <v>821011</v>
      </c>
      <c r="B658" s="124" t="s">
        <v>1066</v>
      </c>
      <c r="C658" s="124">
        <v>8</v>
      </c>
      <c r="E658" s="126" t="s">
        <v>747</v>
      </c>
      <c r="F658" s="124">
        <v>2</v>
      </c>
      <c r="H658" s="124">
        <v>302</v>
      </c>
      <c r="I658" s="128" t="s">
        <v>748</v>
      </c>
      <c r="R658" s="124" t="s">
        <v>1067</v>
      </c>
      <c r="W658" s="124" t="s">
        <v>1068</v>
      </c>
      <c r="X658" s="124" t="s">
        <v>522</v>
      </c>
      <c r="Y658" s="124">
        <v>120</v>
      </c>
      <c r="AA658" s="124" t="s">
        <v>559</v>
      </c>
    </row>
    <row r="659" spans="1:27" s="124" customFormat="1">
      <c r="A659" s="124">
        <v>830113</v>
      </c>
      <c r="B659" s="124" t="s">
        <v>1069</v>
      </c>
      <c r="C659" s="124">
        <v>8</v>
      </c>
      <c r="E659" s="126" t="s">
        <v>747</v>
      </c>
      <c r="F659" s="124">
        <v>3</v>
      </c>
      <c r="H659" s="124">
        <v>304</v>
      </c>
      <c r="I659" s="128" t="s">
        <v>748</v>
      </c>
      <c r="R659" s="124" t="s">
        <v>1070</v>
      </c>
      <c r="W659" s="124" t="s">
        <v>1071</v>
      </c>
      <c r="X659" s="124" t="s">
        <v>570</v>
      </c>
      <c r="Y659" s="124">
        <v>201</v>
      </c>
      <c r="AA659" s="124" t="s">
        <v>574</v>
      </c>
    </row>
    <row r="660" spans="1:27" s="124" customFormat="1">
      <c r="A660" s="124">
        <v>830213</v>
      </c>
      <c r="B660" s="124" t="s">
        <v>1072</v>
      </c>
      <c r="C660" s="124">
        <v>8</v>
      </c>
      <c r="E660" s="126" t="s">
        <v>747</v>
      </c>
      <c r="F660" s="124">
        <v>3</v>
      </c>
      <c r="H660" s="124">
        <v>302</v>
      </c>
      <c r="I660" s="128" t="s">
        <v>748</v>
      </c>
      <c r="R660" s="124" t="s">
        <v>1073</v>
      </c>
      <c r="W660" s="124" t="s">
        <v>1074</v>
      </c>
      <c r="X660" s="124" t="s">
        <v>570</v>
      </c>
      <c r="Y660" s="124">
        <v>202</v>
      </c>
      <c r="AA660" s="124" t="s">
        <v>574</v>
      </c>
    </row>
    <row r="661" spans="1:27" s="124" customFormat="1">
      <c r="A661" s="124">
        <v>830313</v>
      </c>
      <c r="B661" s="124" t="s">
        <v>1075</v>
      </c>
      <c r="C661" s="124">
        <v>8</v>
      </c>
      <c r="E661" s="126" t="s">
        <v>747</v>
      </c>
      <c r="F661" s="124">
        <v>3</v>
      </c>
      <c r="H661" s="124">
        <v>306</v>
      </c>
      <c r="I661" s="128" t="s">
        <v>748</v>
      </c>
      <c r="R661" s="124" t="s">
        <v>1076</v>
      </c>
      <c r="W661" s="124" t="s">
        <v>1077</v>
      </c>
      <c r="X661" s="124" t="s">
        <v>539</v>
      </c>
      <c r="Y661" s="124">
        <v>203</v>
      </c>
      <c r="AA661" s="124" t="s">
        <v>574</v>
      </c>
    </row>
    <row r="662" spans="1:27" s="124" customFormat="1">
      <c r="A662" s="124">
        <v>830413</v>
      </c>
      <c r="B662" s="124" t="s">
        <v>1078</v>
      </c>
      <c r="C662" s="124">
        <v>8</v>
      </c>
      <c r="E662" s="126" t="s">
        <v>747</v>
      </c>
      <c r="F662" s="124">
        <v>3</v>
      </c>
      <c r="H662" s="124">
        <v>303</v>
      </c>
      <c r="I662" s="128" t="s">
        <v>748</v>
      </c>
      <c r="R662" s="124" t="s">
        <v>1079</v>
      </c>
      <c r="W662" s="124" t="s">
        <v>1080</v>
      </c>
      <c r="X662" s="124" t="s">
        <v>531</v>
      </c>
      <c r="Y662" s="124">
        <v>204</v>
      </c>
      <c r="AA662" s="124" t="s">
        <v>574</v>
      </c>
    </row>
    <row r="663" spans="1:27" s="124" customFormat="1">
      <c r="A663" s="124">
        <v>830513</v>
      </c>
      <c r="B663" s="124" t="s">
        <v>1081</v>
      </c>
      <c r="C663" s="124">
        <v>8</v>
      </c>
      <c r="E663" s="126" t="s">
        <v>747</v>
      </c>
      <c r="F663" s="124">
        <v>3</v>
      </c>
      <c r="H663" s="124">
        <v>307</v>
      </c>
      <c r="I663" s="128" t="s">
        <v>748</v>
      </c>
      <c r="R663" s="124" t="s">
        <v>1082</v>
      </c>
      <c r="W663" s="124" t="s">
        <v>1083</v>
      </c>
      <c r="X663" s="124" t="s">
        <v>542</v>
      </c>
      <c r="Y663" s="124">
        <v>205</v>
      </c>
      <c r="AA663" s="124" t="s">
        <v>574</v>
      </c>
    </row>
    <row r="664" spans="1:27" s="124" customFormat="1">
      <c r="A664" s="124">
        <v>830613</v>
      </c>
      <c r="B664" s="124" t="s">
        <v>1084</v>
      </c>
      <c r="C664" s="124">
        <v>8</v>
      </c>
      <c r="E664" s="126" t="s">
        <v>747</v>
      </c>
      <c r="F664" s="124">
        <v>3</v>
      </c>
      <c r="H664" s="124">
        <v>301</v>
      </c>
      <c r="I664" s="128" t="s">
        <v>748</v>
      </c>
      <c r="R664" s="124" t="s">
        <v>1085</v>
      </c>
      <c r="W664" s="124" t="s">
        <v>1086</v>
      </c>
      <c r="X664" s="124" t="s">
        <v>536</v>
      </c>
      <c r="Y664" s="124">
        <v>206</v>
      </c>
      <c r="AA664" s="124" t="s">
        <v>574</v>
      </c>
    </row>
    <row r="665" spans="1:27" s="124" customFormat="1">
      <c r="A665" s="124">
        <v>830813</v>
      </c>
      <c r="B665" s="124" t="s">
        <v>1087</v>
      </c>
      <c r="C665" s="124">
        <v>8</v>
      </c>
      <c r="E665" s="126" t="s">
        <v>747</v>
      </c>
      <c r="F665" s="124">
        <v>3</v>
      </c>
      <c r="H665" s="124">
        <v>305</v>
      </c>
      <c r="I665" s="128" t="s">
        <v>748</v>
      </c>
      <c r="R665" s="124" t="s">
        <v>1088</v>
      </c>
      <c r="W665" s="124" t="s">
        <v>1089</v>
      </c>
      <c r="X665" s="124" t="s">
        <v>558</v>
      </c>
      <c r="Y665" s="124">
        <v>207</v>
      </c>
      <c r="AA665" s="124" t="s">
        <v>574</v>
      </c>
    </row>
    <row r="666" spans="1:27" s="124" customFormat="1">
      <c r="A666" s="124">
        <v>830913</v>
      </c>
      <c r="B666" s="124" t="s">
        <v>1090</v>
      </c>
      <c r="C666" s="124">
        <v>8</v>
      </c>
      <c r="E666" s="126" t="s">
        <v>747</v>
      </c>
      <c r="F666" s="124">
        <v>3</v>
      </c>
      <c r="H666" s="124">
        <v>301</v>
      </c>
      <c r="I666" s="128" t="s">
        <v>748</v>
      </c>
      <c r="R666" s="124" t="s">
        <v>1091</v>
      </c>
      <c r="W666" s="124" t="s">
        <v>1092</v>
      </c>
      <c r="X666" s="124" t="s">
        <v>551</v>
      </c>
      <c r="Y666" s="124">
        <v>208</v>
      </c>
      <c r="AA666" s="124" t="s">
        <v>574</v>
      </c>
    </row>
    <row r="667" spans="1:27" s="124" customFormat="1">
      <c r="A667" s="124">
        <v>831013</v>
      </c>
      <c r="B667" s="124" t="s">
        <v>1093</v>
      </c>
      <c r="C667" s="124">
        <v>8</v>
      </c>
      <c r="E667" s="126" t="s">
        <v>747</v>
      </c>
      <c r="F667" s="124">
        <v>3</v>
      </c>
      <c r="H667" s="124">
        <v>304</v>
      </c>
      <c r="I667" s="128" t="s">
        <v>748</v>
      </c>
      <c r="R667" s="124" t="s">
        <v>1094</v>
      </c>
      <c r="W667" s="124" t="s">
        <v>1095</v>
      </c>
      <c r="X667" s="124" t="s">
        <v>566</v>
      </c>
      <c r="Y667" s="124">
        <v>209</v>
      </c>
      <c r="AA667" s="124" t="s">
        <v>574</v>
      </c>
    </row>
    <row r="668" spans="1:27" s="124" customFormat="1">
      <c r="A668" s="124">
        <v>831113</v>
      </c>
      <c r="B668" s="124" t="s">
        <v>1096</v>
      </c>
      <c r="C668" s="124">
        <v>8</v>
      </c>
      <c r="E668" s="126" t="s">
        <v>747</v>
      </c>
      <c r="F668" s="124">
        <v>3</v>
      </c>
      <c r="H668" s="124">
        <v>305</v>
      </c>
      <c r="I668" s="128" t="s">
        <v>748</v>
      </c>
      <c r="R668" s="124" t="s">
        <v>1097</v>
      </c>
      <c r="W668" s="124" t="s">
        <v>1098</v>
      </c>
      <c r="X668" s="124" t="s">
        <v>542</v>
      </c>
      <c r="Y668" s="124">
        <v>210</v>
      </c>
      <c r="AA668" s="124" t="s">
        <v>574</v>
      </c>
    </row>
    <row r="669" spans="1:27" s="124" customFormat="1">
      <c r="A669" s="124">
        <v>831213</v>
      </c>
      <c r="B669" s="124" t="s">
        <v>1099</v>
      </c>
      <c r="C669" s="124">
        <v>8</v>
      </c>
      <c r="E669" s="126" t="s">
        <v>747</v>
      </c>
      <c r="F669" s="124">
        <v>3</v>
      </c>
      <c r="H669" s="124">
        <v>304</v>
      </c>
      <c r="I669" s="128" t="s">
        <v>748</v>
      </c>
      <c r="R669" s="124" t="s">
        <v>1100</v>
      </c>
      <c r="W669" s="124" t="s">
        <v>1101</v>
      </c>
      <c r="X669" s="124" t="s">
        <v>531</v>
      </c>
      <c r="Y669" s="124">
        <v>211</v>
      </c>
      <c r="AA669" s="124" t="s">
        <v>574</v>
      </c>
    </row>
    <row r="670" spans="1:27" s="124" customFormat="1">
      <c r="A670" s="124">
        <v>840111</v>
      </c>
      <c r="B670" s="124" t="s">
        <v>1102</v>
      </c>
      <c r="C670" s="124">
        <v>8</v>
      </c>
      <c r="E670" s="126" t="s">
        <v>747</v>
      </c>
      <c r="F670" s="124">
        <v>4</v>
      </c>
      <c r="H670" s="124">
        <v>303</v>
      </c>
      <c r="I670" s="128" t="s">
        <v>748</v>
      </c>
      <c r="R670" s="124" t="s">
        <v>1103</v>
      </c>
      <c r="W670" s="124" t="s">
        <v>1104</v>
      </c>
      <c r="X670" s="124" t="s">
        <v>558</v>
      </c>
      <c r="Y670" s="124">
        <v>212</v>
      </c>
      <c r="AA670" s="124" t="s">
        <v>586</v>
      </c>
    </row>
    <row r="671" spans="1:27" s="124" customFormat="1">
      <c r="A671" s="124">
        <v>840211</v>
      </c>
      <c r="B671" s="124" t="s">
        <v>1105</v>
      </c>
      <c r="C671" s="124">
        <v>8</v>
      </c>
      <c r="E671" s="126" t="s">
        <v>747</v>
      </c>
      <c r="F671" s="124">
        <v>4</v>
      </c>
      <c r="H671" s="124">
        <v>302</v>
      </c>
      <c r="I671" s="128" t="s">
        <v>748</v>
      </c>
      <c r="R671" s="124" t="s">
        <v>1106</v>
      </c>
      <c r="W671" s="124" t="s">
        <v>1107</v>
      </c>
      <c r="X671" s="124" t="s">
        <v>553</v>
      </c>
      <c r="Y671" s="124">
        <v>213</v>
      </c>
      <c r="AA671" s="124" t="s">
        <v>586</v>
      </c>
    </row>
    <row r="672" spans="1:27" s="124" customFormat="1">
      <c r="A672" s="124">
        <v>840311</v>
      </c>
      <c r="B672" s="124" t="s">
        <v>1108</v>
      </c>
      <c r="C672" s="124">
        <v>8</v>
      </c>
      <c r="E672" s="126" t="s">
        <v>747</v>
      </c>
      <c r="F672" s="124">
        <v>4</v>
      </c>
      <c r="H672" s="124">
        <v>305</v>
      </c>
      <c r="I672" s="128" t="s">
        <v>748</v>
      </c>
      <c r="R672" s="124" t="s">
        <v>1109</v>
      </c>
      <c r="W672" s="124" t="s">
        <v>1110</v>
      </c>
      <c r="X672" s="124" t="s">
        <v>553</v>
      </c>
      <c r="Y672" s="124">
        <v>214</v>
      </c>
      <c r="AA672" s="124" t="s">
        <v>586</v>
      </c>
    </row>
    <row r="673" spans="1:34" s="124" customFormat="1">
      <c r="A673" s="124">
        <v>840411</v>
      </c>
      <c r="B673" s="124" t="s">
        <v>1111</v>
      </c>
      <c r="C673" s="124">
        <v>8</v>
      </c>
      <c r="E673" s="126" t="s">
        <v>747</v>
      </c>
      <c r="F673" s="124">
        <v>4</v>
      </c>
      <c r="H673" s="124">
        <v>307</v>
      </c>
      <c r="I673" s="128" t="s">
        <v>748</v>
      </c>
      <c r="R673" s="124" t="s">
        <v>1112</v>
      </c>
      <c r="W673" s="124" t="s">
        <v>1113</v>
      </c>
      <c r="X673" s="124" t="s">
        <v>566</v>
      </c>
      <c r="Y673" s="124">
        <v>215</v>
      </c>
      <c r="AA673" s="124" t="s">
        <v>586</v>
      </c>
    </row>
    <row r="674" spans="1:34" s="124" customFormat="1">
      <c r="A674" s="124">
        <v>840511</v>
      </c>
      <c r="B674" s="124" t="s">
        <v>1114</v>
      </c>
      <c r="C674" s="124">
        <v>8</v>
      </c>
      <c r="E674" s="126" t="s">
        <v>747</v>
      </c>
      <c r="F674" s="124">
        <v>4</v>
      </c>
      <c r="H674" s="124">
        <v>307</v>
      </c>
      <c r="I674" s="128" t="s">
        <v>748</v>
      </c>
      <c r="R674" s="124" t="s">
        <v>1115</v>
      </c>
      <c r="W674" s="124" t="s">
        <v>1116</v>
      </c>
      <c r="X674" s="124" t="s">
        <v>568</v>
      </c>
      <c r="Y674" s="124">
        <v>216</v>
      </c>
      <c r="AA674" s="124" t="s">
        <v>586</v>
      </c>
    </row>
    <row r="675" spans="1:34" s="124" customFormat="1">
      <c r="A675" s="124">
        <v>840611</v>
      </c>
      <c r="B675" s="124" t="s">
        <v>1117</v>
      </c>
      <c r="C675" s="124">
        <v>8</v>
      </c>
      <c r="E675" s="126" t="s">
        <v>747</v>
      </c>
      <c r="F675" s="124">
        <v>4</v>
      </c>
      <c r="H675" s="124">
        <v>306</v>
      </c>
      <c r="I675" s="128" t="s">
        <v>748</v>
      </c>
      <c r="R675" s="124" t="s">
        <v>1118</v>
      </c>
      <c r="W675" s="124" t="s">
        <v>1119</v>
      </c>
      <c r="X675" s="124" t="s">
        <v>562</v>
      </c>
      <c r="Y675" s="124">
        <v>217</v>
      </c>
      <c r="AA675" s="124" t="s">
        <v>586</v>
      </c>
    </row>
    <row r="676" spans="1:34" s="124" customFormat="1">
      <c r="A676" s="124">
        <v>840711</v>
      </c>
      <c r="B676" s="124" t="s">
        <v>1120</v>
      </c>
      <c r="C676" s="124">
        <v>8</v>
      </c>
      <c r="E676" s="126" t="s">
        <v>747</v>
      </c>
      <c r="F676" s="124">
        <v>4</v>
      </c>
      <c r="H676" s="124">
        <v>304</v>
      </c>
      <c r="I676" s="128" t="s">
        <v>748</v>
      </c>
      <c r="R676" s="124" t="s">
        <v>1121</v>
      </c>
      <c r="W676" s="124" t="s">
        <v>1122</v>
      </c>
      <c r="X676" s="124" t="s">
        <v>564</v>
      </c>
      <c r="Y676" s="124">
        <v>218</v>
      </c>
      <c r="AA676" s="124" t="s">
        <v>586</v>
      </c>
    </row>
    <row r="677" spans="1:34" s="124" customFormat="1">
      <c r="A677" s="124">
        <v>840811</v>
      </c>
      <c r="B677" s="124" t="s">
        <v>1123</v>
      </c>
      <c r="C677" s="124">
        <v>8</v>
      </c>
      <c r="E677" s="126" t="s">
        <v>747</v>
      </c>
      <c r="F677" s="124">
        <v>4</v>
      </c>
      <c r="H677" s="124">
        <v>301</v>
      </c>
      <c r="I677" s="128" t="s">
        <v>748</v>
      </c>
      <c r="R677" s="124" t="s">
        <v>1124</v>
      </c>
      <c r="W677" s="124" t="s">
        <v>1125</v>
      </c>
      <c r="X677" s="124" t="s">
        <v>539</v>
      </c>
      <c r="Y677" s="124">
        <v>219</v>
      </c>
      <c r="AA677" s="124" t="s">
        <v>586</v>
      </c>
    </row>
    <row r="678" spans="1:34" s="124" customFormat="1">
      <c r="A678" s="124">
        <v>840911</v>
      </c>
      <c r="B678" s="124" t="s">
        <v>1126</v>
      </c>
      <c r="C678" s="124">
        <v>8</v>
      </c>
      <c r="E678" s="126" t="s">
        <v>747</v>
      </c>
      <c r="F678" s="124">
        <v>4</v>
      </c>
      <c r="H678" s="124">
        <v>305</v>
      </c>
      <c r="I678" s="128" t="s">
        <v>748</v>
      </c>
      <c r="R678" s="124" t="s">
        <v>1127</v>
      </c>
      <c r="W678" s="124" t="s">
        <v>1128</v>
      </c>
      <c r="X678" s="124" t="s">
        <v>568</v>
      </c>
      <c r="Y678" s="124">
        <v>220</v>
      </c>
      <c r="AA678" s="124" t="s">
        <v>586</v>
      </c>
    </row>
    <row r="679" spans="1:34" s="124" customFormat="1">
      <c r="A679" s="124">
        <v>841011</v>
      </c>
      <c r="B679" s="124" t="s">
        <v>1129</v>
      </c>
      <c r="C679" s="124">
        <v>8</v>
      </c>
      <c r="E679" s="126" t="s">
        <v>747</v>
      </c>
      <c r="F679" s="124">
        <v>4</v>
      </c>
      <c r="H679" s="124">
        <v>301</v>
      </c>
      <c r="I679" s="128" t="s">
        <v>748</v>
      </c>
      <c r="R679" s="124" t="s">
        <v>1130</v>
      </c>
      <c r="W679" s="124" t="s">
        <v>1131</v>
      </c>
      <c r="X679" s="124" t="s">
        <v>542</v>
      </c>
      <c r="Y679" s="124">
        <v>221</v>
      </c>
      <c r="AA679" s="124" t="s">
        <v>586</v>
      </c>
    </row>
    <row r="680" spans="1:34" s="124" customFormat="1">
      <c r="A680" s="124">
        <v>880107</v>
      </c>
      <c r="B680" s="124" t="s">
        <v>1132</v>
      </c>
      <c r="C680" s="124">
        <v>8</v>
      </c>
      <c r="E680" s="126" t="s">
        <v>747</v>
      </c>
      <c r="F680" s="124">
        <v>8</v>
      </c>
      <c r="H680" s="124">
        <v>308</v>
      </c>
      <c r="I680" s="128" t="s">
        <v>748</v>
      </c>
      <c r="O680" s="124">
        <v>2</v>
      </c>
      <c r="R680" s="124" t="s">
        <v>1133</v>
      </c>
      <c r="W680" s="124" t="s">
        <v>1134</v>
      </c>
      <c r="X680" s="124" t="s">
        <v>556</v>
      </c>
      <c r="Y680" s="124">
        <v>222</v>
      </c>
      <c r="AA680" s="124" t="s">
        <v>589</v>
      </c>
    </row>
    <row r="681" spans="1:34" s="124" customFormat="1">
      <c r="A681" s="124">
        <v>880207</v>
      </c>
      <c r="B681" s="124" t="s">
        <v>1135</v>
      </c>
      <c r="C681" s="124">
        <v>8</v>
      </c>
      <c r="E681" s="126" t="s">
        <v>747</v>
      </c>
      <c r="F681" s="124">
        <v>8</v>
      </c>
      <c r="H681" s="124">
        <v>302</v>
      </c>
      <c r="I681" s="128" t="s">
        <v>748</v>
      </c>
      <c r="O681" s="124">
        <v>2</v>
      </c>
      <c r="R681" s="124" t="s">
        <v>1136</v>
      </c>
      <c r="W681" s="124" t="s">
        <v>1137</v>
      </c>
      <c r="X681" s="124" t="s">
        <v>556</v>
      </c>
      <c r="Y681" s="124">
        <v>223</v>
      </c>
      <c r="AA681" s="124" t="s">
        <v>589</v>
      </c>
    </row>
    <row r="682" spans="1:34" s="124" customFormat="1">
      <c r="A682" s="124">
        <v>880307</v>
      </c>
      <c r="B682" s="124" t="s">
        <v>1138</v>
      </c>
      <c r="C682" s="124">
        <v>8</v>
      </c>
      <c r="E682" s="126" t="s">
        <v>747</v>
      </c>
      <c r="F682" s="124">
        <v>8</v>
      </c>
      <c r="H682" s="124">
        <v>304</v>
      </c>
      <c r="I682" s="128" t="s">
        <v>748</v>
      </c>
      <c r="O682" s="124">
        <v>2</v>
      </c>
      <c r="R682" s="124" t="s">
        <v>1139</v>
      </c>
      <c r="W682" s="124" t="s">
        <v>1140</v>
      </c>
      <c r="X682" s="124" t="s">
        <v>512</v>
      </c>
      <c r="Y682" s="124">
        <v>101</v>
      </c>
      <c r="AA682" s="124" t="s">
        <v>589</v>
      </c>
    </row>
    <row r="683" spans="1:34" s="124" customFormat="1">
      <c r="A683" s="124">
        <v>880407</v>
      </c>
      <c r="B683" s="124" t="s">
        <v>1141</v>
      </c>
      <c r="C683" s="124">
        <v>8</v>
      </c>
      <c r="E683" s="126" t="s">
        <v>747</v>
      </c>
      <c r="F683" s="124">
        <v>8</v>
      </c>
      <c r="H683" s="124">
        <v>307</v>
      </c>
      <c r="I683" s="128" t="s">
        <v>748</v>
      </c>
      <c r="O683" s="124">
        <v>2</v>
      </c>
      <c r="R683" s="124" t="s">
        <v>1142</v>
      </c>
      <c r="W683" s="124" t="s">
        <v>1143</v>
      </c>
      <c r="X683" s="124" t="s">
        <v>468</v>
      </c>
      <c r="Y683" s="124">
        <v>102</v>
      </c>
      <c r="AA683" s="124" t="s">
        <v>589</v>
      </c>
    </row>
    <row r="684" spans="1:34" s="124" customFormat="1">
      <c r="A684" s="124">
        <v>880507</v>
      </c>
      <c r="B684" s="124" t="s">
        <v>1144</v>
      </c>
      <c r="C684" s="124">
        <v>8</v>
      </c>
      <c r="E684" s="126" t="s">
        <v>747</v>
      </c>
      <c r="F684" s="124">
        <v>8</v>
      </c>
      <c r="H684" s="124">
        <v>305</v>
      </c>
      <c r="I684" s="128" t="s">
        <v>748</v>
      </c>
      <c r="O684" s="124">
        <v>2</v>
      </c>
      <c r="R684" s="124" t="s">
        <v>1145</v>
      </c>
      <c r="W684" s="124" t="s">
        <v>1146</v>
      </c>
      <c r="X684" s="124" t="s">
        <v>499</v>
      </c>
      <c r="Y684" s="124">
        <v>103</v>
      </c>
      <c r="AA684" s="124" t="s">
        <v>589</v>
      </c>
    </row>
    <row r="685" spans="1:34" s="124" customFormat="1">
      <c r="A685" s="124">
        <v>880607</v>
      </c>
      <c r="B685" s="124" t="s">
        <v>1147</v>
      </c>
      <c r="C685" s="124">
        <v>8</v>
      </c>
      <c r="E685" s="126" t="s">
        <v>747</v>
      </c>
      <c r="F685" s="124">
        <v>8</v>
      </c>
      <c r="H685" s="124">
        <v>301</v>
      </c>
      <c r="I685" s="128" t="s">
        <v>748</v>
      </c>
      <c r="O685" s="124">
        <v>2</v>
      </c>
      <c r="R685" s="124" t="s">
        <v>1148</v>
      </c>
      <c r="W685" s="124" t="s">
        <v>1149</v>
      </c>
      <c r="X685" s="124" t="s">
        <v>549</v>
      </c>
      <c r="Y685" s="124">
        <v>104</v>
      </c>
      <c r="AA685" s="124" t="s">
        <v>589</v>
      </c>
    </row>
    <row r="686" spans="1:34" s="124" customFormat="1">
      <c r="I686" s="127"/>
    </row>
    <row r="687" spans="1:34" s="124" customFormat="1">
      <c r="A687" s="124">
        <v>33710</v>
      </c>
      <c r="B687" s="124" t="s">
        <v>1150</v>
      </c>
      <c r="C687" s="124">
        <v>3</v>
      </c>
      <c r="E687" s="124" t="s">
        <v>1151</v>
      </c>
      <c r="F687" s="124">
        <v>3</v>
      </c>
      <c r="G687" s="124" t="s">
        <v>1152</v>
      </c>
      <c r="H687" s="124">
        <v>303</v>
      </c>
      <c r="I687" s="128" t="s">
        <v>1153</v>
      </c>
      <c r="J687" s="124">
        <v>0</v>
      </c>
      <c r="T687" s="124" t="s">
        <v>1154</v>
      </c>
      <c r="U687" s="124" t="s">
        <v>1155</v>
      </c>
      <c r="W687" s="124">
        <v>3</v>
      </c>
      <c r="X687" s="124" t="s">
        <v>560</v>
      </c>
      <c r="Y687" s="124">
        <v>7</v>
      </c>
      <c r="Z687" s="124">
        <v>9</v>
      </c>
      <c r="AA687" s="124" t="s">
        <v>573</v>
      </c>
    </row>
    <row r="688" spans="1:34" s="124" customFormat="1">
      <c r="A688" s="124">
        <v>42330</v>
      </c>
      <c r="B688" s="124" t="s">
        <v>1167</v>
      </c>
      <c r="C688" s="124">
        <v>4</v>
      </c>
      <c r="E688" s="124" t="s">
        <v>1157</v>
      </c>
      <c r="F688" s="124">
        <v>2</v>
      </c>
      <c r="G688" s="124" t="s">
        <v>1168</v>
      </c>
      <c r="H688" s="124">
        <v>301</v>
      </c>
      <c r="I688" s="128" t="s">
        <v>1181</v>
      </c>
      <c r="J688" s="124">
        <v>1</v>
      </c>
      <c r="K688" s="124">
        <v>20591</v>
      </c>
      <c r="L688" s="124">
        <v>420593</v>
      </c>
      <c r="M688" s="124">
        <v>27</v>
      </c>
      <c r="N688" s="124">
        <v>41</v>
      </c>
      <c r="S688" s="124" t="s">
        <v>1169</v>
      </c>
      <c r="T688" s="124" t="s">
        <v>1170</v>
      </c>
      <c r="U688" s="124" t="s">
        <v>1171</v>
      </c>
      <c r="W688" s="124">
        <v>7</v>
      </c>
      <c r="X688" s="124" t="s">
        <v>562</v>
      </c>
      <c r="Y688" s="124">
        <v>20</v>
      </c>
      <c r="Z688" s="124">
        <v>2</v>
      </c>
      <c r="AA688" s="124" t="s">
        <v>552</v>
      </c>
      <c r="AB688" s="124" t="s">
        <v>1172</v>
      </c>
      <c r="AC688" s="124">
        <v>5</v>
      </c>
      <c r="AD688" s="124" t="s">
        <v>1173</v>
      </c>
      <c r="AE688" s="124" t="s">
        <v>1174</v>
      </c>
      <c r="AF688" s="124" t="s">
        <v>1175</v>
      </c>
      <c r="AG688" s="124" t="s">
        <v>1176</v>
      </c>
      <c r="AH688" s="124" t="s">
        <v>1177</v>
      </c>
    </row>
    <row r="689" spans="1:34" s="124" customFormat="1">
      <c r="A689" s="124">
        <v>51480</v>
      </c>
      <c r="B689" s="124" t="s">
        <v>1156</v>
      </c>
      <c r="C689" s="124">
        <v>5</v>
      </c>
      <c r="E689" s="124" t="s">
        <v>1157</v>
      </c>
      <c r="F689" s="124">
        <v>1</v>
      </c>
      <c r="G689" s="124" t="s">
        <v>1158</v>
      </c>
      <c r="H689" s="124">
        <v>301</v>
      </c>
      <c r="I689" s="128" t="s">
        <v>1181</v>
      </c>
      <c r="J689" s="124">
        <v>1</v>
      </c>
      <c r="K689" s="124">
        <v>10621</v>
      </c>
      <c r="L689" s="124">
        <v>410624</v>
      </c>
      <c r="M689" s="124">
        <v>109</v>
      </c>
      <c r="N689" s="124">
        <v>120</v>
      </c>
      <c r="S689" s="124" t="s">
        <v>3538</v>
      </c>
      <c r="T689" s="124" t="s">
        <v>1159</v>
      </c>
      <c r="U689" s="124" t="s">
        <v>1160</v>
      </c>
      <c r="W689" s="124">
        <v>6</v>
      </c>
      <c r="X689" s="124" t="s">
        <v>551</v>
      </c>
      <c r="Y689" s="124">
        <v>103</v>
      </c>
      <c r="Z689" s="124">
        <v>8</v>
      </c>
      <c r="AA689" s="124" t="s">
        <v>540</v>
      </c>
      <c r="AB689" s="124" t="s">
        <v>1161</v>
      </c>
      <c r="AC689" s="124">
        <v>5</v>
      </c>
      <c r="AD689" s="124" t="s">
        <v>1162</v>
      </c>
      <c r="AE689" s="124" t="s">
        <v>1163</v>
      </c>
      <c r="AF689" s="124" t="s">
        <v>1164</v>
      </c>
      <c r="AG689" s="124" t="s">
        <v>1165</v>
      </c>
      <c r="AH689" s="124" t="s">
        <v>1166</v>
      </c>
    </row>
    <row r="690" spans="1:34" s="124" customFormat="1" ht="15.75" customHeight="1">
      <c r="A690" s="124">
        <v>51470</v>
      </c>
      <c r="B690" s="124" t="s">
        <v>1178</v>
      </c>
      <c r="C690" s="124">
        <v>5</v>
      </c>
      <c r="E690" s="124" t="s">
        <v>1179</v>
      </c>
      <c r="F690" s="124">
        <v>1</v>
      </c>
      <c r="G690" s="124" t="s">
        <v>1180</v>
      </c>
      <c r="H690" s="124">
        <v>308</v>
      </c>
      <c r="I690" s="128" t="s">
        <v>1181</v>
      </c>
      <c r="J690" s="124">
        <v>1</v>
      </c>
      <c r="K690" s="124">
        <v>10611</v>
      </c>
      <c r="L690" s="124">
        <v>410612</v>
      </c>
      <c r="M690" s="124">
        <v>73</v>
      </c>
      <c r="N690" s="124">
        <v>95</v>
      </c>
      <c r="S690" s="124" t="s">
        <v>1182</v>
      </c>
      <c r="T690" s="124" t="s">
        <v>1183</v>
      </c>
      <c r="U690" s="124" t="s">
        <v>1184</v>
      </c>
      <c r="W690" s="124">
        <v>7</v>
      </c>
      <c r="X690" s="124" t="s">
        <v>570</v>
      </c>
      <c r="Y690" s="124">
        <v>216</v>
      </c>
      <c r="Z690" s="124">
        <v>2</v>
      </c>
      <c r="AA690" s="124" t="s">
        <v>532</v>
      </c>
      <c r="AB690" s="124" t="s">
        <v>1185</v>
      </c>
      <c r="AC690" s="124">
        <v>7</v>
      </c>
      <c r="AD690" s="124" t="s">
        <v>1186</v>
      </c>
      <c r="AE690" s="124" t="s">
        <v>1187</v>
      </c>
      <c r="AF690" s="124" t="s">
        <v>1188</v>
      </c>
      <c r="AG690" s="124" t="s">
        <v>1189</v>
      </c>
      <c r="AH690" s="124" t="s">
        <v>1190</v>
      </c>
    </row>
    <row r="691" spans="1:34" s="124" customFormat="1" ht="15.75" customHeight="1">
      <c r="A691" s="124">
        <v>52460</v>
      </c>
      <c r="B691" s="124" t="s">
        <v>1191</v>
      </c>
      <c r="C691" s="124">
        <v>5</v>
      </c>
      <c r="E691" s="124" t="s">
        <v>1179</v>
      </c>
      <c r="F691" s="124">
        <v>2</v>
      </c>
      <c r="G691" s="124" t="s">
        <v>1192</v>
      </c>
      <c r="H691" s="124">
        <v>308</v>
      </c>
      <c r="I691" s="128" t="s">
        <v>1181</v>
      </c>
      <c r="J691" s="124">
        <v>1</v>
      </c>
      <c r="K691" s="124">
        <v>20601</v>
      </c>
      <c r="L691" s="124">
        <v>420603</v>
      </c>
      <c r="M691" s="124">
        <v>50</v>
      </c>
      <c r="N691" s="124">
        <v>72</v>
      </c>
      <c r="S691" s="124" t="s">
        <v>1193</v>
      </c>
      <c r="T691" s="124" t="s">
        <v>1194</v>
      </c>
      <c r="U691" s="124" t="s">
        <v>1195</v>
      </c>
      <c r="W691" s="124">
        <v>7</v>
      </c>
      <c r="X691" s="124" t="s">
        <v>553</v>
      </c>
      <c r="Y691" s="124">
        <v>217</v>
      </c>
      <c r="Z691" s="124">
        <v>9</v>
      </c>
      <c r="AA691" s="124" t="s">
        <v>552</v>
      </c>
      <c r="AB691" s="124" t="s">
        <v>1196</v>
      </c>
      <c r="AC691" s="124">
        <v>7</v>
      </c>
      <c r="AD691" s="124" t="s">
        <v>1197</v>
      </c>
      <c r="AE691" s="124" t="s">
        <v>1198</v>
      </c>
      <c r="AF691" s="124" t="s">
        <v>1199</v>
      </c>
      <c r="AG691" s="124" t="s">
        <v>1200</v>
      </c>
      <c r="AH691" s="124" t="s">
        <v>1201</v>
      </c>
    </row>
    <row r="692" spans="1:34" s="124" customFormat="1">
      <c r="A692" s="124">
        <v>53470</v>
      </c>
      <c r="B692" s="124" t="s">
        <v>1202</v>
      </c>
      <c r="C692" s="124">
        <v>5</v>
      </c>
      <c r="E692" s="124" t="s">
        <v>1179</v>
      </c>
      <c r="F692" s="124">
        <v>3</v>
      </c>
      <c r="G692" s="124" t="s">
        <v>1203</v>
      </c>
      <c r="H692" s="124">
        <v>308</v>
      </c>
      <c r="I692" s="128" t="s">
        <v>1181</v>
      </c>
      <c r="J692" s="124">
        <v>1</v>
      </c>
      <c r="K692" s="124">
        <v>30611</v>
      </c>
      <c r="L692" s="124">
        <v>430611</v>
      </c>
      <c r="M692" s="124">
        <v>52</v>
      </c>
      <c r="N692" s="124">
        <v>71</v>
      </c>
      <c r="S692" s="124" t="s">
        <v>1204</v>
      </c>
      <c r="T692" s="124" t="s">
        <v>1205</v>
      </c>
      <c r="U692" s="124" t="s">
        <v>1206</v>
      </c>
      <c r="W692" s="124">
        <v>7</v>
      </c>
      <c r="X692" s="124" t="s">
        <v>545</v>
      </c>
      <c r="Y692" s="124">
        <v>215</v>
      </c>
      <c r="Z692" s="124">
        <v>1</v>
      </c>
      <c r="AA692" s="124" t="s">
        <v>577</v>
      </c>
      <c r="AB692" s="124" t="s">
        <v>1207</v>
      </c>
      <c r="AC692" s="124">
        <v>7</v>
      </c>
      <c r="AD692" s="124" t="s">
        <v>1208</v>
      </c>
      <c r="AE692" s="124" t="s">
        <v>1209</v>
      </c>
      <c r="AF692" s="124" t="s">
        <v>1210</v>
      </c>
      <c r="AG692" s="124" t="s">
        <v>1211</v>
      </c>
      <c r="AH692" s="124" t="s">
        <v>1212</v>
      </c>
    </row>
    <row r="693" spans="1:34" s="124" customFormat="1">
      <c r="A693" s="124">
        <v>54470</v>
      </c>
      <c r="B693" s="124" t="s">
        <v>1213</v>
      </c>
      <c r="C693" s="124">
        <v>5</v>
      </c>
      <c r="E693" s="124" t="s">
        <v>1179</v>
      </c>
      <c r="F693" s="124">
        <v>4</v>
      </c>
      <c r="G693" s="124" t="s">
        <v>1214</v>
      </c>
      <c r="H693" s="124">
        <v>308</v>
      </c>
      <c r="I693" s="128" t="s">
        <v>1181</v>
      </c>
      <c r="J693" s="124">
        <v>1</v>
      </c>
      <c r="K693" s="124">
        <v>40621</v>
      </c>
      <c r="L693" s="124">
        <v>440624</v>
      </c>
      <c r="M693" s="124">
        <v>9</v>
      </c>
      <c r="N693" s="124">
        <v>32</v>
      </c>
      <c r="S693" s="124" t="s">
        <v>1215</v>
      </c>
      <c r="T693" s="124" t="s">
        <v>1216</v>
      </c>
      <c r="U693" s="124" t="s">
        <v>1217</v>
      </c>
      <c r="W693" s="124">
        <v>7</v>
      </c>
      <c r="X693" s="124" t="s">
        <v>499</v>
      </c>
      <c r="Y693" s="124">
        <v>218</v>
      </c>
      <c r="Z693" s="124">
        <v>1</v>
      </c>
      <c r="AA693" s="124" t="s">
        <v>584</v>
      </c>
      <c r="AB693" s="124" t="s">
        <v>1218</v>
      </c>
      <c r="AC693" s="124">
        <v>7</v>
      </c>
      <c r="AD693" s="124" t="s">
        <v>1219</v>
      </c>
      <c r="AE693" s="124" t="s">
        <v>1220</v>
      </c>
      <c r="AF693" s="124" t="s">
        <v>1221</v>
      </c>
      <c r="AG693" s="124" t="s">
        <v>1222</v>
      </c>
      <c r="AH693" s="124" t="s">
        <v>1223</v>
      </c>
    </row>
    <row r="694" spans="1:34" s="124" customFormat="1">
      <c r="A694" s="124">
        <v>72100</v>
      </c>
      <c r="B694" s="124" t="s">
        <v>1224</v>
      </c>
      <c r="C694" s="124">
        <v>7</v>
      </c>
      <c r="E694" s="124" t="s">
        <v>706</v>
      </c>
      <c r="F694" s="124">
        <v>2</v>
      </c>
      <c r="G694" s="124" t="s">
        <v>1225</v>
      </c>
      <c r="H694" s="124">
        <v>302</v>
      </c>
      <c r="I694" s="128" t="s">
        <v>1181</v>
      </c>
      <c r="J694" s="124">
        <v>1</v>
      </c>
      <c r="K694" s="124">
        <v>20581</v>
      </c>
      <c r="T694" s="124" t="s">
        <v>1226</v>
      </c>
      <c r="U694" s="124" t="s">
        <v>1227</v>
      </c>
      <c r="V694" s="124">
        <v>1</v>
      </c>
      <c r="W694" s="124">
        <v>5</v>
      </c>
      <c r="X694" s="124" t="s">
        <v>531</v>
      </c>
      <c r="Y694" s="124">
        <v>101</v>
      </c>
      <c r="Z694" s="124">
        <v>0</v>
      </c>
      <c r="AA694" s="124" t="s">
        <v>561</v>
      </c>
      <c r="AB694" s="124" t="s">
        <v>1228</v>
      </c>
      <c r="AC694" s="124">
        <v>5</v>
      </c>
      <c r="AD694" s="124" t="s">
        <v>1229</v>
      </c>
      <c r="AE694" s="124" t="s">
        <v>1230</v>
      </c>
      <c r="AF694" s="124" t="s">
        <v>1231</v>
      </c>
      <c r="AG694" s="124" t="s">
        <v>1232</v>
      </c>
      <c r="AH694" s="124" t="s">
        <v>1233</v>
      </c>
    </row>
    <row r="695" spans="1:34" s="124" customFormat="1">
      <c r="A695" s="124">
        <v>820110</v>
      </c>
      <c r="B695" s="124" t="s">
        <v>1234</v>
      </c>
      <c r="C695" s="124">
        <v>8</v>
      </c>
      <c r="E695" s="124" t="s">
        <v>747</v>
      </c>
      <c r="F695" s="124">
        <v>2</v>
      </c>
      <c r="H695" s="124">
        <v>305</v>
      </c>
      <c r="I695" s="128" t="s">
        <v>748</v>
      </c>
      <c r="R695" s="124" t="s">
        <v>1235</v>
      </c>
      <c r="W695" s="124" t="s">
        <v>1236</v>
      </c>
      <c r="X695" s="124" t="s">
        <v>531</v>
      </c>
      <c r="Y695" s="124">
        <v>101</v>
      </c>
      <c r="AA695" s="124" t="s">
        <v>561</v>
      </c>
    </row>
    <row r="696" spans="1:34" s="124" customFormat="1">
      <c r="A696" s="124">
        <v>820210</v>
      </c>
      <c r="B696" s="124" t="s">
        <v>1237</v>
      </c>
      <c r="C696" s="124">
        <v>8</v>
      </c>
      <c r="E696" s="124" t="s">
        <v>747</v>
      </c>
      <c r="F696" s="124">
        <v>2</v>
      </c>
      <c r="H696" s="124">
        <v>303</v>
      </c>
      <c r="I696" s="128" t="s">
        <v>748</v>
      </c>
      <c r="R696" s="124" t="s">
        <v>1238</v>
      </c>
      <c r="W696" s="124" t="s">
        <v>1239</v>
      </c>
      <c r="X696" s="124" t="s">
        <v>531</v>
      </c>
      <c r="Y696" s="124">
        <v>111</v>
      </c>
      <c r="AA696" s="124" t="s">
        <v>561</v>
      </c>
    </row>
    <row r="697" spans="1:34" s="124" customFormat="1">
      <c r="A697" s="124">
        <v>820310</v>
      </c>
      <c r="B697" s="124" t="s">
        <v>1240</v>
      </c>
      <c r="C697" s="124">
        <v>8</v>
      </c>
      <c r="E697" s="124" t="s">
        <v>747</v>
      </c>
      <c r="F697" s="124">
        <v>2</v>
      </c>
      <c r="H697" s="124">
        <v>301</v>
      </c>
      <c r="I697" s="128" t="s">
        <v>748</v>
      </c>
      <c r="R697" s="124" t="s">
        <v>1241</v>
      </c>
      <c r="W697" s="124" t="s">
        <v>1242</v>
      </c>
      <c r="X697" s="124" t="s">
        <v>439</v>
      </c>
      <c r="Y697" s="124">
        <v>112</v>
      </c>
      <c r="AA697" s="124" t="s">
        <v>561</v>
      </c>
    </row>
    <row r="698" spans="1:34" s="124" customFormat="1">
      <c r="A698" s="124">
        <v>820410</v>
      </c>
      <c r="B698" s="124" t="s">
        <v>1243</v>
      </c>
      <c r="C698" s="124">
        <v>8</v>
      </c>
      <c r="E698" s="124" t="s">
        <v>747</v>
      </c>
      <c r="F698" s="124">
        <v>2</v>
      </c>
      <c r="H698" s="124">
        <v>306</v>
      </c>
      <c r="I698" s="128" t="s">
        <v>748</v>
      </c>
      <c r="R698" s="124" t="s">
        <v>1244</v>
      </c>
      <c r="W698" s="124" t="s">
        <v>1245</v>
      </c>
      <c r="X698" s="124" t="s">
        <v>542</v>
      </c>
      <c r="Y698" s="124">
        <v>113</v>
      </c>
      <c r="AA698" s="124" t="s">
        <v>561</v>
      </c>
    </row>
    <row r="699" spans="1:34" s="124" customFormat="1">
      <c r="A699" s="124">
        <v>820510</v>
      </c>
      <c r="B699" s="124" t="s">
        <v>1246</v>
      </c>
      <c r="C699" s="124">
        <v>8</v>
      </c>
      <c r="E699" s="124" t="s">
        <v>747</v>
      </c>
      <c r="F699" s="124">
        <v>2</v>
      </c>
      <c r="H699" s="124">
        <v>303</v>
      </c>
      <c r="I699" s="128" t="s">
        <v>748</v>
      </c>
      <c r="R699" s="124" t="s">
        <v>1247</v>
      </c>
      <c r="W699" s="124" t="s">
        <v>1248</v>
      </c>
      <c r="X699" s="124" t="s">
        <v>568</v>
      </c>
      <c r="Y699" s="124">
        <v>114</v>
      </c>
      <c r="AA699" s="124" t="s">
        <v>561</v>
      </c>
    </row>
    <row r="700" spans="1:34" s="124" customFormat="1">
      <c r="A700" s="124">
        <v>820610</v>
      </c>
      <c r="B700" s="124" t="s">
        <v>1249</v>
      </c>
      <c r="C700" s="124">
        <v>8</v>
      </c>
      <c r="E700" s="124" t="s">
        <v>747</v>
      </c>
      <c r="F700" s="124">
        <v>2</v>
      </c>
      <c r="H700" s="124">
        <v>307</v>
      </c>
      <c r="I700" s="128" t="s">
        <v>748</v>
      </c>
      <c r="R700" s="124" t="s">
        <v>1250</v>
      </c>
      <c r="W700" s="124" t="s">
        <v>1251</v>
      </c>
      <c r="X700" s="124" t="s">
        <v>566</v>
      </c>
      <c r="Y700" s="124">
        <v>115</v>
      </c>
      <c r="AA700" s="124" t="s">
        <v>561</v>
      </c>
    </row>
    <row r="701" spans="1:34" s="124" customFormat="1">
      <c r="A701" s="124">
        <v>820710</v>
      </c>
      <c r="B701" s="124" t="s">
        <v>1252</v>
      </c>
      <c r="C701" s="124">
        <v>8</v>
      </c>
      <c r="E701" s="124" t="s">
        <v>747</v>
      </c>
      <c r="F701" s="124">
        <v>2</v>
      </c>
      <c r="H701" s="124">
        <v>308</v>
      </c>
      <c r="I701" s="128" t="s">
        <v>748</v>
      </c>
      <c r="R701" s="124" t="s">
        <v>1253</v>
      </c>
      <c r="W701" s="124" t="s">
        <v>1254</v>
      </c>
      <c r="X701" s="124" t="s">
        <v>499</v>
      </c>
      <c r="Y701" s="124">
        <v>214</v>
      </c>
      <c r="AA701" s="124" t="s">
        <v>561</v>
      </c>
    </row>
    <row r="702" spans="1:34" s="124" customFormat="1">
      <c r="A702" s="124">
        <v>820810</v>
      </c>
      <c r="B702" s="124" t="s">
        <v>1255</v>
      </c>
      <c r="C702" s="124">
        <v>8</v>
      </c>
      <c r="E702" s="124" t="s">
        <v>747</v>
      </c>
      <c r="F702" s="124">
        <v>2</v>
      </c>
      <c r="H702" s="124">
        <v>304</v>
      </c>
      <c r="I702" s="128" t="s">
        <v>748</v>
      </c>
      <c r="R702" s="124" t="s">
        <v>1256</v>
      </c>
      <c r="W702" s="124" t="s">
        <v>1257</v>
      </c>
      <c r="X702" s="124" t="s">
        <v>499</v>
      </c>
      <c r="Y702" s="124">
        <v>215</v>
      </c>
      <c r="AA702" s="124" t="s">
        <v>561</v>
      </c>
    </row>
    <row r="703" spans="1:34" s="124" customFormat="1">
      <c r="A703" s="124">
        <v>820910</v>
      </c>
      <c r="B703" s="124" t="s">
        <v>1258</v>
      </c>
      <c r="C703" s="124">
        <v>8</v>
      </c>
      <c r="E703" s="124" t="s">
        <v>747</v>
      </c>
      <c r="F703" s="124">
        <v>2</v>
      </c>
      <c r="H703" s="124">
        <v>301</v>
      </c>
      <c r="I703" s="128" t="s">
        <v>748</v>
      </c>
      <c r="R703" s="124" t="s">
        <v>1259</v>
      </c>
      <c r="W703" s="124" t="s">
        <v>1260</v>
      </c>
      <c r="X703" s="124" t="s">
        <v>499</v>
      </c>
      <c r="Y703" s="124">
        <v>216</v>
      </c>
      <c r="AA703" s="124" t="s">
        <v>561</v>
      </c>
    </row>
    <row r="704" spans="1:34" s="124" customFormat="1">
      <c r="I704" s="127"/>
    </row>
    <row r="705" spans="1:34" s="124" customFormat="1">
      <c r="A705" s="124">
        <v>54460</v>
      </c>
      <c r="B705" s="124" t="s">
        <v>1261</v>
      </c>
      <c r="C705" s="124">
        <v>5</v>
      </c>
      <c r="D705" s="124">
        <v>0</v>
      </c>
      <c r="E705" s="124" t="s">
        <v>1262</v>
      </c>
      <c r="F705" s="124">
        <v>4</v>
      </c>
      <c r="G705" s="124" t="s">
        <v>1263</v>
      </c>
      <c r="H705" s="124">
        <v>304</v>
      </c>
      <c r="I705" s="128" t="s">
        <v>3539</v>
      </c>
      <c r="J705" s="124">
        <v>1</v>
      </c>
      <c r="K705" s="124">
        <v>40611</v>
      </c>
      <c r="L705" s="124">
        <v>440613</v>
      </c>
      <c r="M705" s="124">
        <v>55</v>
      </c>
      <c r="N705" s="124">
        <v>69</v>
      </c>
      <c r="S705" s="124" t="s">
        <v>1264</v>
      </c>
      <c r="T705" s="124" t="s">
        <v>1265</v>
      </c>
      <c r="U705" s="124" t="s">
        <v>1266</v>
      </c>
      <c r="W705" s="124">
        <v>7</v>
      </c>
      <c r="X705" s="124" t="s">
        <v>522</v>
      </c>
      <c r="Y705" s="124">
        <v>6</v>
      </c>
      <c r="Z705" s="124">
        <v>7</v>
      </c>
      <c r="AA705" s="124" t="s">
        <v>582</v>
      </c>
      <c r="AB705" s="124" t="s">
        <v>1267</v>
      </c>
      <c r="AC705" s="124">
        <v>6</v>
      </c>
      <c r="AD705" s="124" t="s">
        <v>1268</v>
      </c>
      <c r="AE705" s="124" t="s">
        <v>1269</v>
      </c>
      <c r="AF705" s="124" t="s">
        <v>1270</v>
      </c>
      <c r="AG705" s="124" t="s">
        <v>1271</v>
      </c>
      <c r="AH705" s="124" t="s">
        <v>1272</v>
      </c>
    </row>
    <row r="706" spans="1:34" s="124" customFormat="1">
      <c r="I706" s="127"/>
    </row>
    <row r="707" spans="1:34" s="124" customFormat="1" ht="14.25" customHeight="1">
      <c r="A707" s="124">
        <v>43320</v>
      </c>
      <c r="B707" s="124" t="s">
        <v>1273</v>
      </c>
      <c r="C707" s="124">
        <v>4</v>
      </c>
      <c r="D707" s="124">
        <v>3</v>
      </c>
      <c r="E707" s="124" t="s">
        <v>3540</v>
      </c>
      <c r="F707" s="124">
        <v>3</v>
      </c>
      <c r="G707" s="124" t="s">
        <v>3541</v>
      </c>
      <c r="H707" s="124">
        <v>301</v>
      </c>
      <c r="I707" s="127" t="s">
        <v>1274</v>
      </c>
      <c r="J707" s="124">
        <v>1</v>
      </c>
      <c r="K707" s="124">
        <v>30601</v>
      </c>
      <c r="L707" s="124">
        <v>430602</v>
      </c>
      <c r="M707" s="124">
        <v>53</v>
      </c>
      <c r="N707" s="124">
        <v>67</v>
      </c>
      <c r="S707" s="124" t="s">
        <v>1275</v>
      </c>
      <c r="T707" s="124" t="s">
        <v>3542</v>
      </c>
      <c r="U707" s="124" t="s">
        <v>1276</v>
      </c>
      <c r="W707" s="124">
        <v>6</v>
      </c>
      <c r="X707" s="124" t="s">
        <v>468</v>
      </c>
      <c r="Y707" s="124">
        <v>17</v>
      </c>
      <c r="Z707" s="124">
        <v>6</v>
      </c>
      <c r="AA707" s="124" t="s">
        <v>569</v>
      </c>
      <c r="AB707" s="124" t="s">
        <v>1277</v>
      </c>
      <c r="AC707" s="124">
        <v>6</v>
      </c>
      <c r="AD707" s="124" t="s">
        <v>1278</v>
      </c>
      <c r="AE707" s="124" t="s">
        <v>1279</v>
      </c>
      <c r="AF707" s="124" t="s">
        <v>1280</v>
      </c>
      <c r="AG707" s="124" t="s">
        <v>1281</v>
      </c>
      <c r="AH707" s="124" t="s">
        <v>1282</v>
      </c>
    </row>
    <row r="708" spans="1:34" s="124" customFormat="1" ht="14.25" customHeight="1">
      <c r="A708" s="124">
        <v>33680</v>
      </c>
      <c r="B708" s="124" t="s">
        <v>1283</v>
      </c>
      <c r="C708" s="124">
        <v>3</v>
      </c>
      <c r="E708" s="124" t="s">
        <v>3540</v>
      </c>
      <c r="F708" s="124">
        <v>3</v>
      </c>
      <c r="G708" s="124" t="s">
        <v>3543</v>
      </c>
      <c r="H708" s="124">
        <v>301</v>
      </c>
      <c r="I708" s="127" t="s">
        <v>1274</v>
      </c>
      <c r="J708" s="124">
        <v>1</v>
      </c>
      <c r="K708" s="124">
        <v>30601</v>
      </c>
      <c r="L708" s="124">
        <v>430602</v>
      </c>
      <c r="M708" s="124">
        <v>53</v>
      </c>
      <c r="N708" s="124">
        <v>67</v>
      </c>
      <c r="T708" s="124" t="s">
        <v>3544</v>
      </c>
      <c r="U708" s="124" t="s">
        <v>1284</v>
      </c>
      <c r="W708" s="124">
        <v>6</v>
      </c>
      <c r="X708" s="124" t="s">
        <v>536</v>
      </c>
      <c r="Y708" s="124">
        <v>3</v>
      </c>
      <c r="Z708" s="124">
        <v>4</v>
      </c>
      <c r="AA708" s="124" t="s">
        <v>565</v>
      </c>
      <c r="AB708" s="124" t="s">
        <v>1277</v>
      </c>
      <c r="AC708" s="124">
        <v>6</v>
      </c>
      <c r="AD708" s="124" t="s">
        <v>1278</v>
      </c>
      <c r="AE708" s="124" t="s">
        <v>1279</v>
      </c>
      <c r="AF708" s="124" t="s">
        <v>1280</v>
      </c>
      <c r="AG708" s="124" t="s">
        <v>1281</v>
      </c>
      <c r="AH708" s="124" t="s">
        <v>1282</v>
      </c>
    </row>
    <row r="709" spans="1:34" s="124" customFormat="1">
      <c r="I709" s="127"/>
    </row>
    <row r="710" spans="1:34" s="124" customFormat="1">
      <c r="A710" s="124">
        <v>31660</v>
      </c>
      <c r="B710" s="124" t="s">
        <v>1285</v>
      </c>
      <c r="C710" s="124">
        <v>3</v>
      </c>
      <c r="E710" s="124" t="s">
        <v>1286</v>
      </c>
      <c r="F710" s="124">
        <v>1</v>
      </c>
      <c r="G710" s="124" t="s">
        <v>3545</v>
      </c>
      <c r="H710" s="124">
        <v>302</v>
      </c>
      <c r="I710" s="128" t="s">
        <v>1299</v>
      </c>
      <c r="J710" s="124">
        <v>0</v>
      </c>
      <c r="T710" s="124" t="s">
        <v>3546</v>
      </c>
      <c r="U710" s="124" t="s">
        <v>1287</v>
      </c>
      <c r="W710" s="124">
        <v>7</v>
      </c>
      <c r="X710" s="124" t="s">
        <v>566</v>
      </c>
      <c r="Y710" s="124">
        <v>22</v>
      </c>
      <c r="Z710" s="124">
        <v>3</v>
      </c>
      <c r="AA710" s="124" t="s">
        <v>456</v>
      </c>
    </row>
    <row r="711" spans="1:34" s="124" customFormat="1">
      <c r="A711" s="124">
        <v>32640</v>
      </c>
      <c r="B711" s="124" t="s">
        <v>1288</v>
      </c>
      <c r="C711" s="124">
        <v>3</v>
      </c>
      <c r="E711" s="124" t="s">
        <v>1286</v>
      </c>
      <c r="F711" s="124">
        <v>2</v>
      </c>
      <c r="G711" s="124" t="s">
        <v>3547</v>
      </c>
      <c r="H711" s="124">
        <v>302</v>
      </c>
      <c r="I711" s="128" t="s">
        <v>1299</v>
      </c>
      <c r="J711" s="124">
        <v>0</v>
      </c>
      <c r="T711" s="124" t="s">
        <v>3548</v>
      </c>
      <c r="U711" s="124" t="s">
        <v>1289</v>
      </c>
      <c r="W711" s="124">
        <v>7</v>
      </c>
      <c r="X711" s="124" t="s">
        <v>549</v>
      </c>
      <c r="Y711" s="124">
        <v>21</v>
      </c>
      <c r="Z711" s="124">
        <v>4</v>
      </c>
      <c r="AA711" s="124" t="s">
        <v>550</v>
      </c>
    </row>
    <row r="712" spans="1:34" s="124" customFormat="1">
      <c r="A712" s="124">
        <v>33670</v>
      </c>
      <c r="B712" s="124" t="s">
        <v>1290</v>
      </c>
      <c r="C712" s="124">
        <v>3</v>
      </c>
      <c r="E712" s="124" t="s">
        <v>1286</v>
      </c>
      <c r="F712" s="124">
        <v>3</v>
      </c>
      <c r="G712" s="124" t="s">
        <v>3549</v>
      </c>
      <c r="H712" s="124">
        <v>302</v>
      </c>
      <c r="I712" s="128" t="s">
        <v>1299</v>
      </c>
      <c r="J712" s="124">
        <v>0</v>
      </c>
      <c r="T712" s="124" t="s">
        <v>3550</v>
      </c>
      <c r="U712" s="124" t="s">
        <v>1291</v>
      </c>
      <c r="W712" s="124">
        <v>7</v>
      </c>
      <c r="X712" s="124" t="s">
        <v>553</v>
      </c>
      <c r="Y712" s="124">
        <v>18</v>
      </c>
      <c r="Z712" s="124">
        <v>7</v>
      </c>
      <c r="AA712" s="124" t="s">
        <v>569</v>
      </c>
    </row>
    <row r="713" spans="1:34" s="124" customFormat="1">
      <c r="A713" s="124">
        <v>34700</v>
      </c>
      <c r="B713" s="124" t="s">
        <v>1292</v>
      </c>
      <c r="C713" s="124">
        <v>3</v>
      </c>
      <c r="E713" s="124" t="s">
        <v>1286</v>
      </c>
      <c r="F713" s="124">
        <v>4</v>
      </c>
      <c r="G713" s="124" t="s">
        <v>3551</v>
      </c>
      <c r="H713" s="124">
        <v>302</v>
      </c>
      <c r="I713" s="128" t="s">
        <v>1299</v>
      </c>
      <c r="J713" s="124">
        <v>0</v>
      </c>
      <c r="T713" s="124" t="s">
        <v>3552</v>
      </c>
      <c r="U713" s="124" t="s">
        <v>1293</v>
      </c>
      <c r="W713" s="124">
        <v>7</v>
      </c>
      <c r="X713" s="124" t="s">
        <v>536</v>
      </c>
      <c r="Y713" s="124">
        <v>20</v>
      </c>
      <c r="Z713" s="124">
        <v>4</v>
      </c>
      <c r="AA713" s="124" t="s">
        <v>578</v>
      </c>
    </row>
    <row r="714" spans="1:34" s="124" customFormat="1">
      <c r="A714" s="124">
        <v>38150</v>
      </c>
      <c r="B714" s="124" t="s">
        <v>1294</v>
      </c>
      <c r="C714" s="124">
        <v>3</v>
      </c>
      <c r="E714" s="124" t="s">
        <v>1286</v>
      </c>
      <c r="F714" s="124">
        <v>8</v>
      </c>
      <c r="G714" s="124" t="s">
        <v>3553</v>
      </c>
      <c r="H714" s="124">
        <v>302</v>
      </c>
      <c r="I714" s="128" t="s">
        <v>1299</v>
      </c>
      <c r="J714" s="124">
        <v>0</v>
      </c>
      <c r="T714" s="124" t="s">
        <v>3554</v>
      </c>
      <c r="U714" s="124" t="s">
        <v>1295</v>
      </c>
      <c r="W714" s="124">
        <v>7</v>
      </c>
      <c r="X714" s="124" t="s">
        <v>452</v>
      </c>
      <c r="Y714" s="124">
        <v>19</v>
      </c>
      <c r="Z714" s="124">
        <v>9</v>
      </c>
      <c r="AA714" s="124" t="s">
        <v>588</v>
      </c>
    </row>
    <row r="715" spans="1:34" s="124" customFormat="1">
      <c r="A715" s="124">
        <v>32650</v>
      </c>
      <c r="B715" s="124" t="s">
        <v>1296</v>
      </c>
      <c r="C715" s="124">
        <v>3</v>
      </c>
      <c r="E715" s="124" t="s">
        <v>1297</v>
      </c>
      <c r="F715" s="124">
        <v>2</v>
      </c>
      <c r="G715" s="124" t="s">
        <v>1298</v>
      </c>
      <c r="H715" s="124">
        <v>301</v>
      </c>
      <c r="I715" s="128" t="s">
        <v>1299</v>
      </c>
      <c r="J715" s="124">
        <v>0</v>
      </c>
      <c r="T715" s="124" t="s">
        <v>1300</v>
      </c>
      <c r="U715" s="124" t="s">
        <v>1301</v>
      </c>
      <c r="W715" s="124">
        <v>3</v>
      </c>
      <c r="X715" s="124" t="s">
        <v>531</v>
      </c>
      <c r="Y715" s="124">
        <v>1</v>
      </c>
      <c r="Z715" s="124">
        <v>6</v>
      </c>
      <c r="AA715" s="124" t="s">
        <v>543</v>
      </c>
    </row>
    <row r="716" spans="1:34" s="124" customFormat="1">
      <c r="A716" s="124">
        <v>31670</v>
      </c>
      <c r="B716" s="124" t="s">
        <v>1302</v>
      </c>
      <c r="C716" s="124">
        <v>3</v>
      </c>
      <c r="E716" s="126" t="s">
        <v>1303</v>
      </c>
      <c r="F716" s="124">
        <v>1</v>
      </c>
      <c r="G716" s="124" t="s">
        <v>1304</v>
      </c>
      <c r="H716" s="124">
        <v>305</v>
      </c>
      <c r="I716" s="128" t="s">
        <v>1305</v>
      </c>
      <c r="J716" s="124">
        <v>0</v>
      </c>
      <c r="T716" s="124" t="s">
        <v>1306</v>
      </c>
      <c r="U716" s="124" t="s">
        <v>1307</v>
      </c>
      <c r="W716" s="124">
        <v>14</v>
      </c>
      <c r="X716" s="124" t="s">
        <v>547</v>
      </c>
      <c r="Y716" s="124">
        <v>4</v>
      </c>
      <c r="Z716" s="124">
        <v>7</v>
      </c>
      <c r="AA716" s="124" t="s">
        <v>443</v>
      </c>
    </row>
    <row r="717" spans="1:34" s="124" customFormat="1">
      <c r="A717" s="124">
        <v>32660</v>
      </c>
      <c r="B717" s="124" t="s">
        <v>1308</v>
      </c>
      <c r="C717" s="124">
        <v>3</v>
      </c>
      <c r="E717" s="126" t="s">
        <v>1303</v>
      </c>
      <c r="F717" s="124">
        <v>2</v>
      </c>
      <c r="G717" s="124" t="s">
        <v>1309</v>
      </c>
      <c r="H717" s="124">
        <v>305</v>
      </c>
      <c r="I717" s="128" t="s">
        <v>1305</v>
      </c>
      <c r="J717" s="124">
        <v>0</v>
      </c>
      <c r="T717" s="124" t="s">
        <v>1310</v>
      </c>
      <c r="U717" s="124" t="s">
        <v>1311</v>
      </c>
      <c r="W717" s="124">
        <v>14</v>
      </c>
      <c r="X717" s="124" t="s">
        <v>468</v>
      </c>
      <c r="Y717" s="124">
        <v>5</v>
      </c>
      <c r="Z717" s="124">
        <v>9</v>
      </c>
      <c r="AA717" s="124" t="s">
        <v>554</v>
      </c>
    </row>
    <row r="718" spans="1:34" s="124" customFormat="1" ht="15.75" customHeight="1">
      <c r="A718" s="124">
        <v>51460</v>
      </c>
      <c r="B718" s="124" t="s">
        <v>1312</v>
      </c>
      <c r="C718" s="124">
        <v>5</v>
      </c>
      <c r="E718" s="124" t="s">
        <v>1313</v>
      </c>
      <c r="F718" s="124">
        <v>1</v>
      </c>
      <c r="G718" s="124" t="s">
        <v>1314</v>
      </c>
      <c r="H718" s="124">
        <v>305</v>
      </c>
      <c r="I718" s="128" t="s">
        <v>1305</v>
      </c>
      <c r="J718" s="124">
        <v>2</v>
      </c>
      <c r="K718" s="124">
        <v>12</v>
      </c>
      <c r="S718" s="124" t="s">
        <v>1315</v>
      </c>
      <c r="T718" s="124" t="s">
        <v>1316</v>
      </c>
      <c r="U718" s="124" t="s">
        <v>1317</v>
      </c>
      <c r="W718" s="124">
        <v>7</v>
      </c>
      <c r="X718" s="124" t="s">
        <v>439</v>
      </c>
      <c r="Y718" s="124">
        <v>223</v>
      </c>
      <c r="Z718" s="124">
        <v>1</v>
      </c>
      <c r="AA718" s="124" t="s">
        <v>525</v>
      </c>
    </row>
    <row r="719" spans="1:34" s="124" customFormat="1" ht="15.75" customHeight="1">
      <c r="A719" s="124">
        <v>52450</v>
      </c>
      <c r="B719" s="124" t="s">
        <v>1318</v>
      </c>
      <c r="C719" s="124">
        <v>5</v>
      </c>
      <c r="E719" s="124" t="s">
        <v>1313</v>
      </c>
      <c r="F719" s="124">
        <v>2</v>
      </c>
      <c r="G719" s="124" t="s">
        <v>1319</v>
      </c>
      <c r="H719" s="124">
        <v>305</v>
      </c>
      <c r="I719" s="128" t="s">
        <v>1305</v>
      </c>
      <c r="J719" s="124">
        <v>2</v>
      </c>
      <c r="K719" s="124">
        <v>22</v>
      </c>
      <c r="S719" s="124" t="s">
        <v>1320</v>
      </c>
      <c r="T719" s="124" t="s">
        <v>1321</v>
      </c>
      <c r="U719" s="124" t="s">
        <v>1322</v>
      </c>
      <c r="W719" s="124">
        <v>7</v>
      </c>
      <c r="X719" s="124" t="s">
        <v>512</v>
      </c>
      <c r="Y719" s="124">
        <v>220</v>
      </c>
      <c r="Z719" s="124">
        <v>7</v>
      </c>
      <c r="AA719" s="124" t="s">
        <v>561</v>
      </c>
    </row>
    <row r="720" spans="1:34" s="124" customFormat="1">
      <c r="A720" s="124">
        <v>53460</v>
      </c>
      <c r="B720" s="124" t="s">
        <v>1323</v>
      </c>
      <c r="C720" s="124">
        <v>5</v>
      </c>
      <c r="E720" s="124" t="s">
        <v>1313</v>
      </c>
      <c r="F720" s="124">
        <v>3</v>
      </c>
      <c r="G720" s="124" t="s">
        <v>1324</v>
      </c>
      <c r="H720" s="124">
        <v>305</v>
      </c>
      <c r="I720" s="128" t="s">
        <v>1305</v>
      </c>
      <c r="J720" s="124">
        <v>2</v>
      </c>
      <c r="K720" s="124">
        <v>32</v>
      </c>
      <c r="S720" s="124" t="s">
        <v>1325</v>
      </c>
      <c r="T720" s="124" t="s">
        <v>1326</v>
      </c>
      <c r="U720" s="124" t="s">
        <v>1327</v>
      </c>
      <c r="W720" s="124">
        <v>7</v>
      </c>
      <c r="X720" s="124" t="s">
        <v>553</v>
      </c>
      <c r="Y720" s="124">
        <v>221</v>
      </c>
      <c r="Z720" s="124">
        <v>2</v>
      </c>
      <c r="AA720" s="124" t="s">
        <v>572</v>
      </c>
    </row>
    <row r="721" spans="1:34" s="124" customFormat="1">
      <c r="A721" s="124">
        <v>54450</v>
      </c>
      <c r="B721" s="124" t="s">
        <v>1328</v>
      </c>
      <c r="C721" s="124">
        <v>5</v>
      </c>
      <c r="E721" s="124" t="s">
        <v>1313</v>
      </c>
      <c r="F721" s="124">
        <v>4</v>
      </c>
      <c r="G721" s="124" t="s">
        <v>1329</v>
      </c>
      <c r="H721" s="124">
        <v>305</v>
      </c>
      <c r="I721" s="128" t="s">
        <v>1305</v>
      </c>
      <c r="J721" s="124">
        <v>2</v>
      </c>
      <c r="K721" s="124">
        <v>42</v>
      </c>
      <c r="S721" s="124" t="s">
        <v>1330</v>
      </c>
      <c r="T721" s="124" t="s">
        <v>1331</v>
      </c>
      <c r="U721" s="124" t="s">
        <v>1332</v>
      </c>
      <c r="W721" s="124">
        <v>7</v>
      </c>
      <c r="X721" s="124" t="s">
        <v>551</v>
      </c>
      <c r="Y721" s="124">
        <v>222</v>
      </c>
      <c r="Z721" s="124">
        <v>2</v>
      </c>
      <c r="AA721" s="124" t="s">
        <v>587</v>
      </c>
    </row>
    <row r="722" spans="1:34" s="124" customFormat="1">
      <c r="A722" s="124">
        <v>71100</v>
      </c>
      <c r="B722" s="124" t="s">
        <v>1333</v>
      </c>
      <c r="C722" s="124">
        <v>7</v>
      </c>
      <c r="E722" s="124" t="s">
        <v>816</v>
      </c>
      <c r="F722" s="124">
        <v>1</v>
      </c>
      <c r="G722" s="124" t="s">
        <v>1334</v>
      </c>
      <c r="H722" s="124">
        <v>304</v>
      </c>
      <c r="I722" s="128" t="s">
        <v>1305</v>
      </c>
      <c r="J722" s="124">
        <v>1</v>
      </c>
      <c r="K722" s="124">
        <v>10601</v>
      </c>
      <c r="L722" s="124">
        <v>410601</v>
      </c>
      <c r="M722" s="124">
        <v>7</v>
      </c>
      <c r="N722" s="124">
        <v>25</v>
      </c>
      <c r="T722" s="124" t="s">
        <v>1335</v>
      </c>
      <c r="U722" s="124" t="s">
        <v>1336</v>
      </c>
      <c r="V722" s="124">
        <v>2</v>
      </c>
      <c r="W722" s="124">
        <v>7</v>
      </c>
      <c r="X722" s="124" t="s">
        <v>553</v>
      </c>
      <c r="Y722" s="124">
        <v>135</v>
      </c>
      <c r="Z722" s="124">
        <v>0</v>
      </c>
      <c r="AA722" s="124" t="s">
        <v>537</v>
      </c>
      <c r="AB722" s="124" t="s">
        <v>1337</v>
      </c>
      <c r="AC722" s="124">
        <v>6</v>
      </c>
      <c r="AD722" s="124" t="s">
        <v>1338</v>
      </c>
      <c r="AE722" s="124" t="s">
        <v>1339</v>
      </c>
      <c r="AF722" s="124" t="s">
        <v>1340</v>
      </c>
      <c r="AG722" s="124" t="s">
        <v>1341</v>
      </c>
      <c r="AH722" s="124" t="s">
        <v>1342</v>
      </c>
    </row>
    <row r="723" spans="1:34" s="124" customFormat="1">
      <c r="A723" s="124">
        <v>73120</v>
      </c>
      <c r="B723" s="124" t="s">
        <v>1343</v>
      </c>
      <c r="C723" s="124">
        <v>7</v>
      </c>
      <c r="E723" s="124" t="s">
        <v>816</v>
      </c>
      <c r="F723" s="124">
        <v>3</v>
      </c>
      <c r="G723" s="124" t="s">
        <v>1344</v>
      </c>
      <c r="H723" s="124">
        <v>304</v>
      </c>
      <c r="I723" s="128" t="s">
        <v>1305</v>
      </c>
      <c r="J723" s="124">
        <v>1</v>
      </c>
      <c r="K723" s="124">
        <v>30591</v>
      </c>
      <c r="L723" s="124">
        <v>430591</v>
      </c>
      <c r="M723" s="124">
        <v>4</v>
      </c>
      <c r="N723" s="124">
        <v>20</v>
      </c>
      <c r="T723" s="124" t="s">
        <v>1345</v>
      </c>
      <c r="U723" s="124" t="s">
        <v>1346</v>
      </c>
      <c r="V723" s="124">
        <v>2</v>
      </c>
      <c r="W723" s="124">
        <v>7</v>
      </c>
      <c r="X723" s="124" t="s">
        <v>439</v>
      </c>
      <c r="Y723" s="124">
        <v>136</v>
      </c>
      <c r="Z723" s="124">
        <v>0</v>
      </c>
      <c r="AA723" s="124" t="s">
        <v>572</v>
      </c>
      <c r="AB723" s="124" t="s">
        <v>1347</v>
      </c>
      <c r="AC723" s="124">
        <v>6</v>
      </c>
      <c r="AD723" s="124" t="s">
        <v>1348</v>
      </c>
      <c r="AE723" s="124" t="s">
        <v>1349</v>
      </c>
      <c r="AF723" s="124" t="s">
        <v>1350</v>
      </c>
      <c r="AG723" s="124" t="s">
        <v>1351</v>
      </c>
      <c r="AH723" s="124" t="s">
        <v>1352</v>
      </c>
    </row>
    <row r="724" spans="1:34" s="124" customFormat="1">
      <c r="A724" s="124">
        <v>810110</v>
      </c>
      <c r="B724" s="124" t="s">
        <v>1353</v>
      </c>
      <c r="C724" s="124">
        <v>8</v>
      </c>
      <c r="E724" s="124" t="s">
        <v>747</v>
      </c>
      <c r="F724" s="124">
        <v>1</v>
      </c>
      <c r="H724" s="124">
        <v>304</v>
      </c>
      <c r="I724" s="128" t="s">
        <v>748</v>
      </c>
      <c r="R724" s="124" t="s">
        <v>1354</v>
      </c>
      <c r="W724" s="124" t="s">
        <v>1355</v>
      </c>
      <c r="X724" s="124" t="s">
        <v>568</v>
      </c>
      <c r="AA724" s="124" t="s">
        <v>537</v>
      </c>
    </row>
    <row r="725" spans="1:34" s="124" customFormat="1">
      <c r="A725" s="124">
        <v>810210</v>
      </c>
      <c r="B725" s="124" t="s">
        <v>1356</v>
      </c>
      <c r="C725" s="124">
        <v>8</v>
      </c>
      <c r="E725" s="124" t="s">
        <v>747</v>
      </c>
      <c r="F725" s="124">
        <v>1</v>
      </c>
      <c r="H725" s="124">
        <v>307</v>
      </c>
      <c r="I725" s="128" t="s">
        <v>748</v>
      </c>
      <c r="R725" s="124" t="s">
        <v>1357</v>
      </c>
      <c r="W725" s="124" t="s">
        <v>1358</v>
      </c>
      <c r="X725" s="124" t="s">
        <v>556</v>
      </c>
      <c r="AA725" s="124" t="s">
        <v>537</v>
      </c>
    </row>
    <row r="726" spans="1:34" s="124" customFormat="1">
      <c r="A726" s="124">
        <v>810310</v>
      </c>
      <c r="B726" s="124" t="s">
        <v>1359</v>
      </c>
      <c r="C726" s="124">
        <v>8</v>
      </c>
      <c r="E726" s="124" t="s">
        <v>747</v>
      </c>
      <c r="F726" s="124">
        <v>1</v>
      </c>
      <c r="H726" s="124">
        <v>305</v>
      </c>
      <c r="I726" s="128" t="s">
        <v>748</v>
      </c>
      <c r="R726" s="124" t="s">
        <v>1360</v>
      </c>
      <c r="W726" s="124" t="s">
        <v>1361</v>
      </c>
      <c r="X726" s="124" t="s">
        <v>545</v>
      </c>
      <c r="AA726" s="124" t="s">
        <v>537</v>
      </c>
    </row>
    <row r="727" spans="1:34" s="124" customFormat="1">
      <c r="A727" s="124">
        <v>810410</v>
      </c>
      <c r="B727" s="124" t="s">
        <v>1362</v>
      </c>
      <c r="C727" s="124">
        <v>8</v>
      </c>
      <c r="E727" s="124" t="s">
        <v>747</v>
      </c>
      <c r="F727" s="124">
        <v>1</v>
      </c>
      <c r="H727" s="124">
        <v>306</v>
      </c>
      <c r="I727" s="128" t="s">
        <v>748</v>
      </c>
      <c r="R727" s="124" t="s">
        <v>1363</v>
      </c>
      <c r="W727" s="124" t="s">
        <v>1364</v>
      </c>
      <c r="X727" s="124" t="s">
        <v>553</v>
      </c>
      <c r="AA727" s="124" t="s">
        <v>537</v>
      </c>
    </row>
    <row r="728" spans="1:34" s="124" customFormat="1">
      <c r="A728" s="124">
        <v>810510</v>
      </c>
      <c r="B728" s="124" t="s">
        <v>1365</v>
      </c>
      <c r="C728" s="124">
        <v>8</v>
      </c>
      <c r="E728" s="124" t="s">
        <v>747</v>
      </c>
      <c r="F728" s="124">
        <v>1</v>
      </c>
      <c r="H728" s="124">
        <v>307</v>
      </c>
      <c r="I728" s="128" t="s">
        <v>748</v>
      </c>
      <c r="R728" s="124" t="s">
        <v>1366</v>
      </c>
      <c r="W728" s="124" t="s">
        <v>1367</v>
      </c>
      <c r="X728" s="124" t="s">
        <v>553</v>
      </c>
      <c r="AA728" s="124" t="s">
        <v>537</v>
      </c>
    </row>
    <row r="729" spans="1:34" s="124" customFormat="1">
      <c r="A729" s="124">
        <v>810610</v>
      </c>
      <c r="B729" s="124" t="s">
        <v>1368</v>
      </c>
      <c r="C729" s="124">
        <v>8</v>
      </c>
      <c r="E729" s="124" t="s">
        <v>747</v>
      </c>
      <c r="F729" s="124">
        <v>1</v>
      </c>
      <c r="H729" s="124">
        <v>301</v>
      </c>
      <c r="I729" s="128" t="s">
        <v>748</v>
      </c>
      <c r="R729" s="124" t="s">
        <v>1369</v>
      </c>
      <c r="W729" s="124" t="s">
        <v>1370</v>
      </c>
      <c r="X729" s="124" t="s">
        <v>553</v>
      </c>
      <c r="AA729" s="124" t="s">
        <v>537</v>
      </c>
    </row>
    <row r="730" spans="1:34" s="124" customFormat="1">
      <c r="A730" s="124">
        <v>810710</v>
      </c>
      <c r="B730" s="124" t="s">
        <v>1371</v>
      </c>
      <c r="C730" s="124">
        <v>8</v>
      </c>
      <c r="E730" s="124" t="s">
        <v>747</v>
      </c>
      <c r="F730" s="124">
        <v>1</v>
      </c>
      <c r="H730" s="124">
        <v>308</v>
      </c>
      <c r="I730" s="128" t="s">
        <v>748</v>
      </c>
      <c r="R730" s="124" t="s">
        <v>1372</v>
      </c>
      <c r="W730" s="124" t="s">
        <v>1373</v>
      </c>
      <c r="X730" s="124" t="s">
        <v>551</v>
      </c>
      <c r="AA730" s="124" t="s">
        <v>537</v>
      </c>
    </row>
    <row r="731" spans="1:34" s="124" customFormat="1">
      <c r="A731" s="124">
        <v>810810</v>
      </c>
      <c r="B731" s="124" t="s">
        <v>1374</v>
      </c>
      <c r="C731" s="124">
        <v>8</v>
      </c>
      <c r="E731" s="124" t="s">
        <v>747</v>
      </c>
      <c r="F731" s="124">
        <v>1</v>
      </c>
      <c r="H731" s="124">
        <v>303</v>
      </c>
      <c r="I731" s="128" t="s">
        <v>748</v>
      </c>
      <c r="R731" s="124" t="s">
        <v>1375</v>
      </c>
      <c r="W731" s="124" t="s">
        <v>1376</v>
      </c>
      <c r="X731" s="124" t="s">
        <v>558</v>
      </c>
      <c r="AA731" s="124" t="s">
        <v>537</v>
      </c>
    </row>
    <row r="732" spans="1:34" s="124" customFormat="1">
      <c r="A732" s="124">
        <v>810910</v>
      </c>
      <c r="B732" s="124" t="s">
        <v>1377</v>
      </c>
      <c r="C732" s="124">
        <v>8</v>
      </c>
      <c r="E732" s="124" t="s">
        <v>747</v>
      </c>
      <c r="F732" s="124">
        <v>1</v>
      </c>
      <c r="H732" s="124">
        <v>301</v>
      </c>
      <c r="I732" s="128" t="s">
        <v>748</v>
      </c>
      <c r="R732" s="124" t="s">
        <v>1378</v>
      </c>
      <c r="W732" s="124" t="s">
        <v>1379</v>
      </c>
      <c r="X732" s="124" t="s">
        <v>558</v>
      </c>
      <c r="AA732" s="124" t="s">
        <v>537</v>
      </c>
    </row>
    <row r="733" spans="1:34" s="124" customFormat="1">
      <c r="A733" s="124">
        <v>830112</v>
      </c>
      <c r="B733" s="124" t="s">
        <v>1380</v>
      </c>
      <c r="C733" s="124">
        <v>8</v>
      </c>
      <c r="E733" s="124" t="s">
        <v>747</v>
      </c>
      <c r="F733" s="124">
        <v>3</v>
      </c>
      <c r="H733" s="124">
        <v>304</v>
      </c>
      <c r="I733" s="128" t="s">
        <v>748</v>
      </c>
      <c r="R733" s="124" t="s">
        <v>1381</v>
      </c>
      <c r="W733" s="124" t="s">
        <v>1382</v>
      </c>
      <c r="X733" s="124" t="s">
        <v>549</v>
      </c>
      <c r="AA733" s="124" t="s">
        <v>572</v>
      </c>
    </row>
    <row r="734" spans="1:34" s="124" customFormat="1">
      <c r="A734" s="124">
        <v>830212</v>
      </c>
      <c r="B734" s="124" t="s">
        <v>1383</v>
      </c>
      <c r="C734" s="124">
        <v>8</v>
      </c>
      <c r="E734" s="124" t="s">
        <v>747</v>
      </c>
      <c r="F734" s="124">
        <v>3</v>
      </c>
      <c r="H734" s="124">
        <v>302</v>
      </c>
      <c r="I734" s="128" t="s">
        <v>748</v>
      </c>
      <c r="R734" s="124" t="s">
        <v>1384</v>
      </c>
      <c r="W734" s="124" t="s">
        <v>1385</v>
      </c>
      <c r="X734" s="124" t="s">
        <v>468</v>
      </c>
      <c r="AA734" s="124" t="s">
        <v>572</v>
      </c>
    </row>
    <row r="735" spans="1:34" s="124" customFormat="1">
      <c r="A735" s="124">
        <v>830312</v>
      </c>
      <c r="B735" s="124" t="s">
        <v>1386</v>
      </c>
      <c r="C735" s="124">
        <v>8</v>
      </c>
      <c r="E735" s="124" t="s">
        <v>747</v>
      </c>
      <c r="F735" s="124">
        <v>3</v>
      </c>
      <c r="H735" s="124">
        <v>306</v>
      </c>
      <c r="I735" s="128" t="s">
        <v>748</v>
      </c>
      <c r="R735" s="124" t="s">
        <v>1387</v>
      </c>
      <c r="W735" s="124" t="s">
        <v>1388</v>
      </c>
      <c r="X735" s="124" t="s">
        <v>536</v>
      </c>
      <c r="AA735" s="124" t="s">
        <v>572</v>
      </c>
    </row>
    <row r="736" spans="1:34" s="124" customFormat="1">
      <c r="A736" s="124">
        <v>830412</v>
      </c>
      <c r="B736" s="124" t="s">
        <v>1389</v>
      </c>
      <c r="C736" s="124">
        <v>8</v>
      </c>
      <c r="E736" s="124" t="s">
        <v>747</v>
      </c>
      <c r="F736" s="124">
        <v>3</v>
      </c>
      <c r="H736" s="124">
        <v>303</v>
      </c>
      <c r="I736" s="128" t="s">
        <v>748</v>
      </c>
      <c r="R736" s="124" t="s">
        <v>1390</v>
      </c>
      <c r="W736" s="124" t="s">
        <v>1391</v>
      </c>
      <c r="X736" s="124" t="s">
        <v>439</v>
      </c>
      <c r="AA736" s="124" t="s">
        <v>572</v>
      </c>
    </row>
    <row r="737" spans="1:34" s="124" customFormat="1">
      <c r="A737" s="124">
        <v>830512</v>
      </c>
      <c r="B737" s="124" t="s">
        <v>1392</v>
      </c>
      <c r="C737" s="124">
        <v>8</v>
      </c>
      <c r="E737" s="124" t="s">
        <v>747</v>
      </c>
      <c r="F737" s="124">
        <v>3</v>
      </c>
      <c r="H737" s="124">
        <v>307</v>
      </c>
      <c r="I737" s="128" t="s">
        <v>748</v>
      </c>
      <c r="R737" s="124" t="s">
        <v>1393</v>
      </c>
      <c r="W737" s="124" t="s">
        <v>1394</v>
      </c>
      <c r="X737" s="124" t="s">
        <v>439</v>
      </c>
      <c r="AA737" s="124" t="s">
        <v>572</v>
      </c>
    </row>
    <row r="738" spans="1:34" s="124" customFormat="1">
      <c r="A738" s="124">
        <v>830612</v>
      </c>
      <c r="B738" s="124" t="s">
        <v>1395</v>
      </c>
      <c r="C738" s="124">
        <v>8</v>
      </c>
      <c r="E738" s="124" t="s">
        <v>747</v>
      </c>
      <c r="F738" s="124">
        <v>3</v>
      </c>
      <c r="H738" s="124">
        <v>301</v>
      </c>
      <c r="I738" s="128" t="s">
        <v>748</v>
      </c>
      <c r="R738" s="124" t="s">
        <v>1396</v>
      </c>
      <c r="W738" s="124" t="s">
        <v>1397</v>
      </c>
      <c r="X738" s="124" t="s">
        <v>439</v>
      </c>
      <c r="AA738" s="124" t="s">
        <v>572</v>
      </c>
    </row>
    <row r="739" spans="1:34" s="124" customFormat="1">
      <c r="A739" s="124">
        <v>830812</v>
      </c>
      <c r="B739" s="124" t="s">
        <v>1398</v>
      </c>
      <c r="C739" s="124">
        <v>8</v>
      </c>
      <c r="E739" s="124" t="s">
        <v>747</v>
      </c>
      <c r="F739" s="124">
        <v>3</v>
      </c>
      <c r="H739" s="124">
        <v>305</v>
      </c>
      <c r="I739" s="128" t="s">
        <v>748</v>
      </c>
      <c r="R739" s="124" t="s">
        <v>1399</v>
      </c>
      <c r="W739" s="124" t="s">
        <v>1400</v>
      </c>
      <c r="X739" s="124" t="s">
        <v>468</v>
      </c>
      <c r="AA739" s="124" t="s">
        <v>572</v>
      </c>
    </row>
    <row r="740" spans="1:34" s="124" customFormat="1">
      <c r="A740" s="124">
        <v>830912</v>
      </c>
      <c r="B740" s="124" t="s">
        <v>1401</v>
      </c>
      <c r="C740" s="124">
        <v>8</v>
      </c>
      <c r="E740" s="124" t="s">
        <v>747</v>
      </c>
      <c r="F740" s="124">
        <v>3</v>
      </c>
      <c r="H740" s="124">
        <v>301</v>
      </c>
      <c r="I740" s="128" t="s">
        <v>748</v>
      </c>
      <c r="R740" s="124" t="s">
        <v>1402</v>
      </c>
      <c r="W740" s="124" t="s">
        <v>1403</v>
      </c>
      <c r="X740" s="124" t="s">
        <v>468</v>
      </c>
      <c r="AA740" s="124" t="s">
        <v>572</v>
      </c>
    </row>
    <row r="741" spans="1:34" s="124" customFormat="1">
      <c r="A741" s="124">
        <v>831012</v>
      </c>
      <c r="B741" s="124" t="s">
        <v>1404</v>
      </c>
      <c r="C741" s="124">
        <v>8</v>
      </c>
      <c r="E741" s="124" t="s">
        <v>747</v>
      </c>
      <c r="F741" s="124">
        <v>3</v>
      </c>
      <c r="H741" s="124">
        <v>304</v>
      </c>
      <c r="I741" s="128" t="s">
        <v>748</v>
      </c>
      <c r="R741" s="124" t="s">
        <v>1405</v>
      </c>
      <c r="W741" s="124" t="s">
        <v>1406</v>
      </c>
      <c r="X741" s="124" t="s">
        <v>531</v>
      </c>
      <c r="AA741" s="124" t="s">
        <v>572</v>
      </c>
    </row>
    <row r="742" spans="1:34" s="124" customFormat="1">
      <c r="A742" s="124">
        <v>831112</v>
      </c>
      <c r="B742" s="124" t="s">
        <v>1407</v>
      </c>
      <c r="C742" s="124">
        <v>8</v>
      </c>
      <c r="E742" s="124" t="s">
        <v>747</v>
      </c>
      <c r="F742" s="124">
        <v>3</v>
      </c>
      <c r="H742" s="124">
        <v>305</v>
      </c>
      <c r="I742" s="128" t="s">
        <v>748</v>
      </c>
      <c r="R742" s="124" t="s">
        <v>1408</v>
      </c>
      <c r="W742" s="124" t="s">
        <v>1409</v>
      </c>
      <c r="X742" s="124" t="s">
        <v>452</v>
      </c>
      <c r="AA742" s="124" t="s">
        <v>572</v>
      </c>
    </row>
    <row r="743" spans="1:34" s="124" customFormat="1">
      <c r="I743" s="127"/>
    </row>
    <row r="744" spans="1:34" s="124" customFormat="1">
      <c r="A744" s="124">
        <v>31650</v>
      </c>
      <c r="B744" s="124" t="s">
        <v>1410</v>
      </c>
      <c r="C744" s="124">
        <v>3</v>
      </c>
      <c r="E744" s="124" t="s">
        <v>1411</v>
      </c>
      <c r="F744" s="124">
        <v>1</v>
      </c>
      <c r="G744" s="124" t="s">
        <v>3555</v>
      </c>
      <c r="H744" s="124">
        <v>304</v>
      </c>
      <c r="I744" s="128" t="s">
        <v>1412</v>
      </c>
      <c r="J744" s="124">
        <v>0</v>
      </c>
      <c r="T744" s="124" t="s">
        <v>1413</v>
      </c>
      <c r="U744" s="124" t="s">
        <v>1414</v>
      </c>
      <c r="W744" s="124">
        <v>6</v>
      </c>
      <c r="X744" s="124" t="s">
        <v>522</v>
      </c>
      <c r="Y744" s="124">
        <v>11</v>
      </c>
      <c r="Z744" s="124">
        <v>6</v>
      </c>
      <c r="AA744" s="124" t="s">
        <v>472</v>
      </c>
    </row>
    <row r="745" spans="1:34" s="124" customFormat="1">
      <c r="A745" s="124">
        <v>32630</v>
      </c>
      <c r="B745" s="124" t="s">
        <v>1415</v>
      </c>
      <c r="C745" s="124">
        <v>3</v>
      </c>
      <c r="E745" s="124" t="s">
        <v>1411</v>
      </c>
      <c r="F745" s="124">
        <v>2</v>
      </c>
      <c r="G745" s="124" t="s">
        <v>3556</v>
      </c>
      <c r="H745" s="124">
        <v>304</v>
      </c>
      <c r="I745" s="128" t="s">
        <v>1412</v>
      </c>
      <c r="J745" s="124">
        <v>0</v>
      </c>
      <c r="T745" s="124" t="s">
        <v>3557</v>
      </c>
      <c r="U745" s="124" t="s">
        <v>1416</v>
      </c>
      <c r="W745" s="124">
        <v>6</v>
      </c>
      <c r="X745" s="124" t="s">
        <v>545</v>
      </c>
      <c r="Y745" s="124">
        <v>10</v>
      </c>
      <c r="Z745" s="124">
        <v>5</v>
      </c>
      <c r="AA745" s="124" t="s">
        <v>548</v>
      </c>
    </row>
    <row r="746" spans="1:34" s="124" customFormat="1">
      <c r="A746" s="124">
        <v>33660</v>
      </c>
      <c r="B746" s="124" t="s">
        <v>1417</v>
      </c>
      <c r="C746" s="124">
        <v>3</v>
      </c>
      <c r="E746" s="124" t="s">
        <v>1411</v>
      </c>
      <c r="F746" s="124">
        <v>3</v>
      </c>
      <c r="G746" s="124" t="s">
        <v>3558</v>
      </c>
      <c r="H746" s="124">
        <v>304</v>
      </c>
      <c r="I746" s="128" t="s">
        <v>1412</v>
      </c>
      <c r="J746" s="124">
        <v>0</v>
      </c>
      <c r="T746" s="124" t="s">
        <v>3559</v>
      </c>
      <c r="U746" s="124" t="s">
        <v>1418</v>
      </c>
      <c r="W746" s="124">
        <v>6</v>
      </c>
      <c r="X746" s="124" t="s">
        <v>439</v>
      </c>
      <c r="Y746" s="124">
        <v>13</v>
      </c>
      <c r="Z746" s="124">
        <v>5</v>
      </c>
      <c r="AA746" s="124" t="s">
        <v>567</v>
      </c>
    </row>
    <row r="747" spans="1:34" s="124" customFormat="1">
      <c r="A747" s="124">
        <v>34680</v>
      </c>
      <c r="B747" s="124" t="s">
        <v>1419</v>
      </c>
      <c r="C747" s="124">
        <v>3</v>
      </c>
      <c r="E747" s="124" t="s">
        <v>1411</v>
      </c>
      <c r="F747" s="124">
        <v>4</v>
      </c>
      <c r="G747" s="124" t="s">
        <v>3560</v>
      </c>
      <c r="H747" s="124">
        <v>304</v>
      </c>
      <c r="I747" s="128" t="s">
        <v>1412</v>
      </c>
      <c r="J747" s="124">
        <v>0</v>
      </c>
      <c r="T747" s="124" t="s">
        <v>3561</v>
      </c>
      <c r="U747" s="124" t="s">
        <v>1420</v>
      </c>
      <c r="W747" s="124">
        <v>6</v>
      </c>
      <c r="X747" s="124" t="s">
        <v>551</v>
      </c>
      <c r="Y747" s="124">
        <v>9</v>
      </c>
      <c r="Z747" s="124">
        <v>5</v>
      </c>
      <c r="AA747" s="124" t="s">
        <v>580</v>
      </c>
    </row>
    <row r="748" spans="1:34" s="124" customFormat="1">
      <c r="A748" s="124">
        <v>38140</v>
      </c>
      <c r="B748" s="124" t="s">
        <v>1421</v>
      </c>
      <c r="C748" s="124">
        <v>3</v>
      </c>
      <c r="E748" s="124" t="s">
        <v>1411</v>
      </c>
      <c r="F748" s="124">
        <v>8</v>
      </c>
      <c r="G748" s="124" t="s">
        <v>3562</v>
      </c>
      <c r="H748" s="124">
        <v>304</v>
      </c>
      <c r="I748" s="128" t="s">
        <v>1412</v>
      </c>
      <c r="J748" s="124">
        <v>0</v>
      </c>
      <c r="O748" s="124">
        <v>1</v>
      </c>
      <c r="T748" s="124" t="s">
        <v>3563</v>
      </c>
      <c r="U748" s="124" t="s">
        <v>1422</v>
      </c>
      <c r="W748" s="124">
        <v>6</v>
      </c>
      <c r="X748" s="124" t="s">
        <v>566</v>
      </c>
      <c r="Y748" s="124">
        <v>12</v>
      </c>
      <c r="Z748" s="124">
        <v>1</v>
      </c>
      <c r="AA748" s="124" t="s">
        <v>588</v>
      </c>
    </row>
    <row r="749" spans="1:34" s="124" customFormat="1">
      <c r="I749" s="127"/>
    </row>
    <row r="750" spans="1:34" s="124" customFormat="1">
      <c r="A750" s="124">
        <v>34690</v>
      </c>
      <c r="B750" s="124" t="s">
        <v>1423</v>
      </c>
      <c r="C750" s="124">
        <v>3</v>
      </c>
      <c r="E750" s="124" t="s">
        <v>3564</v>
      </c>
      <c r="F750" s="124">
        <v>4</v>
      </c>
      <c r="G750" s="124" t="s">
        <v>745</v>
      </c>
      <c r="H750" s="124">
        <v>308</v>
      </c>
      <c r="I750" s="128" t="s">
        <v>1424</v>
      </c>
      <c r="J750" s="124">
        <v>0</v>
      </c>
      <c r="T750" s="124" t="s">
        <v>1425</v>
      </c>
      <c r="U750" s="124" t="s">
        <v>1426</v>
      </c>
      <c r="W750" s="124">
        <v>3</v>
      </c>
      <c r="X750" s="124" t="s">
        <v>551</v>
      </c>
      <c r="Y750" s="124">
        <v>2</v>
      </c>
      <c r="Z750" s="124">
        <v>1</v>
      </c>
      <c r="AA750" s="124" t="s">
        <v>581</v>
      </c>
    </row>
    <row r="751" spans="1:34" s="124" customFormat="1">
      <c r="A751" s="124">
        <v>73110</v>
      </c>
      <c r="B751" s="124" t="s">
        <v>1427</v>
      </c>
      <c r="C751" s="124">
        <v>7</v>
      </c>
      <c r="E751" s="124" t="s">
        <v>706</v>
      </c>
      <c r="F751" s="124">
        <v>3</v>
      </c>
      <c r="G751" s="124" t="s">
        <v>1428</v>
      </c>
      <c r="H751" s="124">
        <v>305</v>
      </c>
      <c r="I751" s="128" t="s">
        <v>1429</v>
      </c>
      <c r="J751" s="124">
        <v>1</v>
      </c>
      <c r="K751" s="124">
        <v>30581</v>
      </c>
      <c r="T751" s="124" t="s">
        <v>1430</v>
      </c>
      <c r="U751" s="124" t="s">
        <v>1431</v>
      </c>
      <c r="V751" s="124">
        <v>0</v>
      </c>
      <c r="W751" s="124">
        <v>5</v>
      </c>
      <c r="X751" s="124" t="s">
        <v>452</v>
      </c>
      <c r="Y751" s="124">
        <v>226</v>
      </c>
      <c r="Z751" s="124">
        <v>0</v>
      </c>
      <c r="AA751" s="124" t="s">
        <v>576</v>
      </c>
      <c r="AB751" s="124" t="s">
        <v>1432</v>
      </c>
      <c r="AC751" s="124">
        <v>6</v>
      </c>
      <c r="AD751" s="124" t="s">
        <v>1433</v>
      </c>
      <c r="AE751" s="124" t="s">
        <v>1434</v>
      </c>
      <c r="AF751" s="124" t="s">
        <v>1435</v>
      </c>
      <c r="AG751" s="124" t="s">
        <v>1436</v>
      </c>
      <c r="AH751" s="124" t="s">
        <v>1437</v>
      </c>
    </row>
    <row r="752" spans="1:34" s="124" customFormat="1">
      <c r="A752" s="124">
        <v>830111</v>
      </c>
      <c r="B752" s="124" t="s">
        <v>1438</v>
      </c>
      <c r="C752" s="124">
        <v>8</v>
      </c>
      <c r="E752" s="124" t="s">
        <v>747</v>
      </c>
      <c r="F752" s="124">
        <v>3</v>
      </c>
      <c r="H752" s="124">
        <v>304</v>
      </c>
      <c r="I752" s="128" t="s">
        <v>748</v>
      </c>
      <c r="R752" s="124" t="s">
        <v>1439</v>
      </c>
      <c r="W752" s="124" t="s">
        <v>1440</v>
      </c>
      <c r="X752" s="124" t="s">
        <v>560</v>
      </c>
      <c r="AA752" s="124" t="s">
        <v>576</v>
      </c>
    </row>
    <row r="753" spans="1:34" s="124" customFormat="1">
      <c r="A753" s="124">
        <v>830211</v>
      </c>
      <c r="B753" s="124" t="s">
        <v>1441</v>
      </c>
      <c r="C753" s="124">
        <v>8</v>
      </c>
      <c r="E753" s="124" t="s">
        <v>747</v>
      </c>
      <c r="F753" s="124">
        <v>3</v>
      </c>
      <c r="H753" s="124">
        <v>302</v>
      </c>
      <c r="I753" s="128" t="s">
        <v>748</v>
      </c>
      <c r="R753" s="124" t="s">
        <v>1442</v>
      </c>
      <c r="W753" s="124" t="s">
        <v>1443</v>
      </c>
      <c r="X753" s="124" t="s">
        <v>512</v>
      </c>
      <c r="AA753" s="124" t="s">
        <v>576</v>
      </c>
    </row>
    <row r="754" spans="1:34" s="124" customFormat="1">
      <c r="A754" s="124">
        <v>830311</v>
      </c>
      <c r="B754" s="124" t="s">
        <v>1444</v>
      </c>
      <c r="C754" s="124">
        <v>8</v>
      </c>
      <c r="E754" s="124" t="s">
        <v>747</v>
      </c>
      <c r="F754" s="124">
        <v>3</v>
      </c>
      <c r="H754" s="124">
        <v>306</v>
      </c>
      <c r="I754" s="128" t="s">
        <v>748</v>
      </c>
      <c r="R754" s="124" t="s">
        <v>1445</v>
      </c>
      <c r="W754" s="124" t="s">
        <v>1446</v>
      </c>
      <c r="X754" s="124" t="s">
        <v>522</v>
      </c>
      <c r="AA754" s="124" t="s">
        <v>576</v>
      </c>
    </row>
    <row r="755" spans="1:34" s="124" customFormat="1">
      <c r="A755" s="124">
        <v>830411</v>
      </c>
      <c r="B755" s="124" t="s">
        <v>1447</v>
      </c>
      <c r="C755" s="124">
        <v>8</v>
      </c>
      <c r="E755" s="124" t="s">
        <v>747</v>
      </c>
      <c r="F755" s="124">
        <v>3</v>
      </c>
      <c r="H755" s="124">
        <v>303</v>
      </c>
      <c r="I755" s="128" t="s">
        <v>748</v>
      </c>
      <c r="R755" s="124" t="s">
        <v>1448</v>
      </c>
      <c r="W755" s="124" t="s">
        <v>1449</v>
      </c>
      <c r="X755" s="124" t="s">
        <v>531</v>
      </c>
      <c r="AA755" s="124" t="s">
        <v>576</v>
      </c>
    </row>
    <row r="756" spans="1:34" s="124" customFormat="1">
      <c r="A756" s="124">
        <v>830511</v>
      </c>
      <c r="B756" s="124" t="s">
        <v>1450</v>
      </c>
      <c r="C756" s="124">
        <v>8</v>
      </c>
      <c r="E756" s="124" t="s">
        <v>747</v>
      </c>
      <c r="F756" s="124">
        <v>3</v>
      </c>
      <c r="H756" s="124">
        <v>307</v>
      </c>
      <c r="I756" s="128" t="s">
        <v>748</v>
      </c>
      <c r="R756" s="124" t="s">
        <v>1451</v>
      </c>
      <c r="W756" s="124" t="s">
        <v>1452</v>
      </c>
      <c r="X756" s="124" t="s">
        <v>452</v>
      </c>
      <c r="AA756" s="124" t="s">
        <v>576</v>
      </c>
    </row>
    <row r="757" spans="1:34" s="124" customFormat="1">
      <c r="A757" s="124">
        <v>830611</v>
      </c>
      <c r="B757" s="124" t="s">
        <v>1453</v>
      </c>
      <c r="C757" s="124">
        <v>8</v>
      </c>
      <c r="E757" s="124" t="s">
        <v>747</v>
      </c>
      <c r="F757" s="124">
        <v>3</v>
      </c>
      <c r="H757" s="124">
        <v>301</v>
      </c>
      <c r="I757" s="128" t="s">
        <v>748</v>
      </c>
      <c r="R757" s="124" t="s">
        <v>1454</v>
      </c>
      <c r="W757" s="124" t="s">
        <v>1455</v>
      </c>
      <c r="X757" s="124" t="s">
        <v>439</v>
      </c>
      <c r="AA757" s="124" t="s">
        <v>576</v>
      </c>
    </row>
    <row r="758" spans="1:34" s="124" customFormat="1">
      <c r="A758" s="124">
        <v>830811</v>
      </c>
      <c r="B758" s="124" t="s">
        <v>1456</v>
      </c>
      <c r="C758" s="124">
        <v>8</v>
      </c>
      <c r="E758" s="124" t="s">
        <v>747</v>
      </c>
      <c r="F758" s="124">
        <v>3</v>
      </c>
      <c r="H758" s="124">
        <v>305</v>
      </c>
      <c r="I758" s="128" t="s">
        <v>748</v>
      </c>
      <c r="R758" s="124" t="s">
        <v>1457</v>
      </c>
      <c r="W758" s="124" t="s">
        <v>1458</v>
      </c>
      <c r="X758" s="124" t="s">
        <v>468</v>
      </c>
      <c r="AA758" s="124" t="s">
        <v>576</v>
      </c>
    </row>
    <row r="759" spans="1:34" s="124" customFormat="1">
      <c r="A759" s="124">
        <v>830911</v>
      </c>
      <c r="B759" s="124" t="s">
        <v>1459</v>
      </c>
      <c r="C759" s="124">
        <v>8</v>
      </c>
      <c r="E759" s="124" t="s">
        <v>747</v>
      </c>
      <c r="F759" s="124">
        <v>3</v>
      </c>
      <c r="H759" s="124">
        <v>301</v>
      </c>
      <c r="I759" s="128" t="s">
        <v>748</v>
      </c>
      <c r="R759" s="124" t="s">
        <v>1460</v>
      </c>
      <c r="W759" s="124" t="s">
        <v>1461</v>
      </c>
      <c r="X759" s="124" t="s">
        <v>468</v>
      </c>
      <c r="AA759" s="124" t="s">
        <v>576</v>
      </c>
    </row>
    <row r="760" spans="1:34" s="124" customFormat="1">
      <c r="A760" s="124">
        <v>831011</v>
      </c>
      <c r="B760" s="124" t="s">
        <v>1462</v>
      </c>
      <c r="C760" s="124">
        <v>8</v>
      </c>
      <c r="E760" s="124" t="s">
        <v>747</v>
      </c>
      <c r="F760" s="124">
        <v>3</v>
      </c>
      <c r="H760" s="124">
        <v>304</v>
      </c>
      <c r="I760" s="128" t="s">
        <v>748</v>
      </c>
      <c r="R760" s="124" t="s">
        <v>1463</v>
      </c>
      <c r="W760" s="124" t="s">
        <v>1464</v>
      </c>
      <c r="X760" s="124" t="s">
        <v>542</v>
      </c>
      <c r="AA760" s="124" t="s">
        <v>576</v>
      </c>
    </row>
    <row r="761" spans="1:34" s="124" customFormat="1">
      <c r="I761" s="127"/>
    </row>
    <row r="762" spans="1:34" s="124" customFormat="1">
      <c r="A762" s="124">
        <v>31640</v>
      </c>
      <c r="B762" s="124" t="s">
        <v>1465</v>
      </c>
      <c r="C762" s="124">
        <v>3</v>
      </c>
      <c r="E762" s="124" t="s">
        <v>3565</v>
      </c>
      <c r="F762" s="124">
        <v>1</v>
      </c>
      <c r="G762" s="124" t="s">
        <v>1466</v>
      </c>
      <c r="H762" s="124">
        <v>308</v>
      </c>
      <c r="I762" s="128" t="s">
        <v>1467</v>
      </c>
      <c r="J762" s="124">
        <v>0</v>
      </c>
      <c r="T762" s="124" t="s">
        <v>1468</v>
      </c>
      <c r="U762" s="124" t="s">
        <v>1469</v>
      </c>
      <c r="W762" s="124">
        <v>3</v>
      </c>
      <c r="X762" s="124" t="s">
        <v>539</v>
      </c>
      <c r="Y762" s="124">
        <v>2</v>
      </c>
      <c r="Z762" s="124">
        <v>5</v>
      </c>
      <c r="AA762" s="124" t="s">
        <v>488</v>
      </c>
    </row>
    <row r="763" spans="1:34" s="124" customFormat="1">
      <c r="A763" s="124">
        <v>31620</v>
      </c>
      <c r="B763" s="124" t="s">
        <v>1470</v>
      </c>
      <c r="C763" s="124">
        <v>3</v>
      </c>
      <c r="E763" s="124" t="s">
        <v>3566</v>
      </c>
      <c r="F763" s="124">
        <v>1</v>
      </c>
      <c r="H763" s="124">
        <v>302</v>
      </c>
      <c r="I763" s="128" t="s">
        <v>1467</v>
      </c>
      <c r="J763" s="124">
        <v>0</v>
      </c>
      <c r="U763" s="124" t="s">
        <v>1471</v>
      </c>
      <c r="W763" s="124">
        <v>8</v>
      </c>
      <c r="X763" s="124" t="s">
        <v>551</v>
      </c>
      <c r="Y763" s="124">
        <v>20</v>
      </c>
      <c r="Z763" s="124">
        <v>1</v>
      </c>
      <c r="AA763" s="124" t="s">
        <v>516</v>
      </c>
    </row>
    <row r="764" spans="1:34" s="124" customFormat="1">
      <c r="A764" s="124">
        <v>32620</v>
      </c>
      <c r="B764" s="124" t="s">
        <v>1472</v>
      </c>
      <c r="C764" s="124">
        <v>3</v>
      </c>
      <c r="E764" s="124" t="s">
        <v>3566</v>
      </c>
      <c r="F764" s="124">
        <v>2</v>
      </c>
      <c r="H764" s="124">
        <v>302</v>
      </c>
      <c r="I764" s="128" t="s">
        <v>1467</v>
      </c>
      <c r="J764" s="124">
        <v>0</v>
      </c>
      <c r="U764" s="124" t="s">
        <v>1473</v>
      </c>
      <c r="W764" s="124">
        <v>8</v>
      </c>
      <c r="X764" s="124" t="s">
        <v>562</v>
      </c>
      <c r="Y764" s="124">
        <v>19</v>
      </c>
      <c r="Z764" s="124">
        <v>3</v>
      </c>
      <c r="AA764" s="124" t="s">
        <v>543</v>
      </c>
    </row>
    <row r="765" spans="1:34" s="124" customFormat="1">
      <c r="A765" s="124">
        <v>33650</v>
      </c>
      <c r="B765" s="124" t="s">
        <v>1474</v>
      </c>
      <c r="C765" s="124">
        <v>3</v>
      </c>
      <c r="E765" s="124" t="s">
        <v>3566</v>
      </c>
      <c r="F765" s="124">
        <v>3</v>
      </c>
      <c r="H765" s="124">
        <v>302</v>
      </c>
      <c r="I765" s="128" t="s">
        <v>1467</v>
      </c>
      <c r="J765" s="124">
        <v>0</v>
      </c>
      <c r="U765" s="124" t="s">
        <v>1475</v>
      </c>
      <c r="W765" s="124">
        <v>8</v>
      </c>
      <c r="X765" s="124" t="s">
        <v>522</v>
      </c>
      <c r="Y765" s="124">
        <v>21</v>
      </c>
      <c r="Z765" s="124">
        <v>3</v>
      </c>
      <c r="AA765" s="124" t="s">
        <v>573</v>
      </c>
    </row>
    <row r="766" spans="1:34" s="124" customFormat="1">
      <c r="A766" s="124">
        <v>34670</v>
      </c>
      <c r="B766" s="124" t="s">
        <v>1476</v>
      </c>
      <c r="C766" s="124">
        <v>3</v>
      </c>
      <c r="E766" s="124" t="s">
        <v>3566</v>
      </c>
      <c r="F766" s="124">
        <v>4</v>
      </c>
      <c r="H766" s="124">
        <v>302</v>
      </c>
      <c r="I766" s="128" t="s">
        <v>1467</v>
      </c>
      <c r="J766" s="124">
        <v>0</v>
      </c>
      <c r="U766" s="124" t="s">
        <v>1477</v>
      </c>
      <c r="W766" s="124">
        <v>8</v>
      </c>
      <c r="X766" s="124" t="s">
        <v>439</v>
      </c>
      <c r="Y766" s="124">
        <v>17</v>
      </c>
      <c r="Z766" s="124">
        <v>3</v>
      </c>
      <c r="AA766" s="124" t="s">
        <v>583</v>
      </c>
    </row>
    <row r="767" spans="1:34" s="124" customFormat="1">
      <c r="A767" s="124">
        <v>38130</v>
      </c>
      <c r="B767" s="124" t="s">
        <v>1478</v>
      </c>
      <c r="C767" s="124">
        <v>3</v>
      </c>
      <c r="E767" s="124" t="s">
        <v>3566</v>
      </c>
      <c r="F767" s="124">
        <v>8</v>
      </c>
      <c r="H767" s="124">
        <v>302</v>
      </c>
      <c r="I767" s="128" t="s">
        <v>1467</v>
      </c>
      <c r="J767" s="124">
        <v>0</v>
      </c>
      <c r="O767" s="124">
        <v>1</v>
      </c>
      <c r="U767" s="124" t="s">
        <v>1479</v>
      </c>
      <c r="W767" s="124">
        <v>8</v>
      </c>
      <c r="X767" s="124" t="s">
        <v>562</v>
      </c>
      <c r="Y767" s="124">
        <v>18</v>
      </c>
      <c r="Z767" s="124">
        <v>2</v>
      </c>
      <c r="AA767" s="124" t="s">
        <v>588</v>
      </c>
    </row>
    <row r="768" spans="1:34" s="124" customFormat="1">
      <c r="A768" s="124">
        <v>71090</v>
      </c>
      <c r="B768" s="124" t="s">
        <v>1480</v>
      </c>
      <c r="C768" s="124">
        <v>7</v>
      </c>
      <c r="E768" s="124" t="s">
        <v>1481</v>
      </c>
      <c r="F768" s="124">
        <v>1</v>
      </c>
      <c r="G768" s="124" t="s">
        <v>1482</v>
      </c>
      <c r="H768" s="124">
        <v>301</v>
      </c>
      <c r="I768" s="127" t="s">
        <v>1467</v>
      </c>
      <c r="J768" s="124">
        <v>1</v>
      </c>
      <c r="K768" s="124">
        <v>10571</v>
      </c>
      <c r="L768" s="124">
        <v>410572</v>
      </c>
      <c r="M768" s="124">
        <v>14</v>
      </c>
      <c r="N768" s="124">
        <v>26</v>
      </c>
      <c r="T768" s="124" t="s">
        <v>1483</v>
      </c>
      <c r="U768" s="124" t="s">
        <v>1484</v>
      </c>
      <c r="V768" s="124">
        <v>2</v>
      </c>
      <c r="W768" s="124">
        <v>6</v>
      </c>
      <c r="X768" s="124" t="s">
        <v>570</v>
      </c>
      <c r="Y768" s="124">
        <v>124</v>
      </c>
      <c r="Z768" s="124">
        <v>0</v>
      </c>
      <c r="AA768" s="124" t="s">
        <v>472</v>
      </c>
      <c r="AB768" s="124" t="s">
        <v>1485</v>
      </c>
      <c r="AC768" s="124">
        <v>6</v>
      </c>
      <c r="AD768" s="124" t="s">
        <v>1486</v>
      </c>
      <c r="AE768" s="124" t="s">
        <v>1487</v>
      </c>
      <c r="AF768" s="124" t="s">
        <v>1488</v>
      </c>
      <c r="AG768" s="124" t="s">
        <v>1489</v>
      </c>
      <c r="AH768" s="124" t="s">
        <v>1490</v>
      </c>
    </row>
    <row r="769" spans="1:38" s="124" customFormat="1">
      <c r="A769" s="124">
        <v>72090</v>
      </c>
      <c r="B769" s="124" t="s">
        <v>1491</v>
      </c>
      <c r="C769" s="124">
        <v>7</v>
      </c>
      <c r="E769" s="124" t="s">
        <v>1481</v>
      </c>
      <c r="F769" s="124">
        <v>2</v>
      </c>
      <c r="G769" s="124" t="s">
        <v>1492</v>
      </c>
      <c r="H769" s="124">
        <v>301</v>
      </c>
      <c r="I769" s="127" t="s">
        <v>1467</v>
      </c>
      <c r="J769" s="124">
        <v>1</v>
      </c>
      <c r="K769" s="124">
        <v>20561</v>
      </c>
      <c r="L769" s="124">
        <v>420561</v>
      </c>
      <c r="M769" s="124">
        <v>16</v>
      </c>
      <c r="N769" s="124">
        <v>34</v>
      </c>
      <c r="T769" s="124" t="s">
        <v>1493</v>
      </c>
      <c r="U769" s="124" t="s">
        <v>1494</v>
      </c>
      <c r="V769" s="124">
        <v>2</v>
      </c>
      <c r="W769" s="124">
        <v>6</v>
      </c>
      <c r="X769" s="124" t="s">
        <v>512</v>
      </c>
      <c r="Y769" s="124">
        <v>125</v>
      </c>
      <c r="Z769" s="124">
        <v>0</v>
      </c>
      <c r="AA769" s="124" t="s">
        <v>548</v>
      </c>
      <c r="AB769" s="124" t="s">
        <v>1495</v>
      </c>
      <c r="AC769" s="124">
        <v>6</v>
      </c>
      <c r="AD769" s="124" t="s">
        <v>1496</v>
      </c>
      <c r="AE769" s="124" t="s">
        <v>1497</v>
      </c>
      <c r="AF769" s="124" t="s">
        <v>1498</v>
      </c>
      <c r="AG769" s="124" t="s">
        <v>1499</v>
      </c>
      <c r="AH769" s="124" t="s">
        <v>1500</v>
      </c>
    </row>
    <row r="770" spans="1:38" s="124" customFormat="1">
      <c r="A770" s="124">
        <v>73090</v>
      </c>
      <c r="B770" s="124" t="s">
        <v>1501</v>
      </c>
      <c r="C770" s="124">
        <v>7</v>
      </c>
      <c r="E770" s="124" t="s">
        <v>1481</v>
      </c>
      <c r="F770" s="124">
        <v>3</v>
      </c>
      <c r="G770" s="124" t="s">
        <v>1502</v>
      </c>
      <c r="H770" s="124">
        <v>301</v>
      </c>
      <c r="I770" s="127" t="s">
        <v>1467</v>
      </c>
      <c r="J770" s="124">
        <v>1</v>
      </c>
      <c r="K770" s="124">
        <v>30561</v>
      </c>
      <c r="L770" s="124">
        <v>430564</v>
      </c>
      <c r="M770" s="124">
        <v>44</v>
      </c>
      <c r="N770" s="124">
        <v>53</v>
      </c>
      <c r="T770" s="124" t="s">
        <v>1503</v>
      </c>
      <c r="U770" s="124" t="s">
        <v>1504</v>
      </c>
      <c r="V770" s="124">
        <v>2</v>
      </c>
      <c r="W770" s="124">
        <v>6</v>
      </c>
      <c r="X770" s="124" t="s">
        <v>547</v>
      </c>
      <c r="Y770" s="124">
        <v>126</v>
      </c>
      <c r="Z770" s="124">
        <v>0</v>
      </c>
      <c r="AA770" s="124" t="s">
        <v>571</v>
      </c>
      <c r="AB770" s="124" t="s">
        <v>1505</v>
      </c>
      <c r="AC770" s="124">
        <v>6</v>
      </c>
      <c r="AD770" s="124" t="s">
        <v>1506</v>
      </c>
      <c r="AE770" s="124" t="s">
        <v>1507</v>
      </c>
      <c r="AF770" s="124" t="s">
        <v>1508</v>
      </c>
      <c r="AG770" s="124" t="s">
        <v>1509</v>
      </c>
      <c r="AH770" s="124" t="s">
        <v>1510</v>
      </c>
    </row>
    <row r="771" spans="1:38" s="124" customFormat="1">
      <c r="A771" s="124">
        <v>74100</v>
      </c>
      <c r="B771" s="124" t="s">
        <v>1511</v>
      </c>
      <c r="C771" s="124">
        <v>7</v>
      </c>
      <c r="E771" s="124" t="s">
        <v>1481</v>
      </c>
      <c r="F771" s="124">
        <v>4</v>
      </c>
      <c r="G771" s="124" t="s">
        <v>1512</v>
      </c>
      <c r="H771" s="124">
        <v>301</v>
      </c>
      <c r="I771" s="127" t="s">
        <v>1467</v>
      </c>
      <c r="J771" s="124">
        <v>1</v>
      </c>
      <c r="K771" s="124">
        <v>40601</v>
      </c>
      <c r="L771" s="124">
        <v>440604</v>
      </c>
      <c r="M771" s="124">
        <v>11</v>
      </c>
      <c r="N771" s="124">
        <v>24</v>
      </c>
      <c r="P771" s="124" t="s">
        <v>1513</v>
      </c>
      <c r="T771" s="124" t="s">
        <v>1514</v>
      </c>
      <c r="U771" s="124" t="s">
        <v>1515</v>
      </c>
      <c r="V771" s="124">
        <v>2</v>
      </c>
      <c r="W771" s="124">
        <v>6</v>
      </c>
      <c r="X771" s="124" t="s">
        <v>531</v>
      </c>
      <c r="Y771" s="124">
        <v>122</v>
      </c>
      <c r="Z771" s="124">
        <v>0</v>
      </c>
      <c r="AA771" s="124" t="s">
        <v>578</v>
      </c>
      <c r="AB771" s="124" t="s">
        <v>1516</v>
      </c>
      <c r="AC771" s="124">
        <v>6</v>
      </c>
      <c r="AD771" s="124" t="s">
        <v>1517</v>
      </c>
      <c r="AE771" s="124" t="s">
        <v>1518</v>
      </c>
      <c r="AF771" s="124" t="s">
        <v>1519</v>
      </c>
      <c r="AG771" s="124" t="s">
        <v>1520</v>
      </c>
      <c r="AH771" s="124" t="s">
        <v>1521</v>
      </c>
    </row>
    <row r="772" spans="1:38" s="124" customFormat="1">
      <c r="A772" s="124">
        <v>78060</v>
      </c>
      <c r="B772" s="124" t="s">
        <v>1522</v>
      </c>
      <c r="C772" s="124">
        <v>7</v>
      </c>
      <c r="E772" s="124" t="s">
        <v>1481</v>
      </c>
      <c r="F772" s="124">
        <v>8</v>
      </c>
      <c r="G772" s="124" t="s">
        <v>1523</v>
      </c>
      <c r="H772" s="124">
        <v>301</v>
      </c>
      <c r="I772" s="127" t="s">
        <v>1467</v>
      </c>
      <c r="J772" s="124">
        <v>1</v>
      </c>
      <c r="K772" s="124">
        <v>80091</v>
      </c>
      <c r="L772" s="124">
        <v>480092</v>
      </c>
      <c r="M772" s="124">
        <v>41</v>
      </c>
      <c r="N772" s="124">
        <v>56</v>
      </c>
      <c r="O772" s="124">
        <v>1</v>
      </c>
      <c r="P772" s="124" t="s">
        <v>1524</v>
      </c>
      <c r="T772" s="124" t="s">
        <v>1525</v>
      </c>
      <c r="U772" s="124" t="s">
        <v>1526</v>
      </c>
      <c r="V772" s="124">
        <v>2</v>
      </c>
      <c r="W772" s="124">
        <v>6</v>
      </c>
      <c r="X772" s="124" t="s">
        <v>549</v>
      </c>
      <c r="Y772" s="124">
        <v>123</v>
      </c>
      <c r="Z772" s="124">
        <v>0</v>
      </c>
      <c r="AA772" s="124" t="s">
        <v>588</v>
      </c>
      <c r="AB772" s="124" t="s">
        <v>1527</v>
      </c>
      <c r="AC772" s="124">
        <v>6</v>
      </c>
      <c r="AD772" s="124" t="s">
        <v>1528</v>
      </c>
      <c r="AE772" s="124" t="s">
        <v>1529</v>
      </c>
      <c r="AF772" s="124" t="s">
        <v>1530</v>
      </c>
      <c r="AG772" s="124" t="s">
        <v>1531</v>
      </c>
      <c r="AH772" s="124" t="s">
        <v>1532</v>
      </c>
    </row>
    <row r="773" spans="1:38" s="124" customFormat="1">
      <c r="A773" s="124">
        <v>41360</v>
      </c>
      <c r="B773" s="124" t="s">
        <v>1533</v>
      </c>
      <c r="C773" s="124">
        <v>4</v>
      </c>
      <c r="E773" s="124" t="s">
        <v>1157</v>
      </c>
      <c r="F773" s="124">
        <v>1</v>
      </c>
      <c r="G773" s="124" t="s">
        <v>1534</v>
      </c>
      <c r="H773" s="124">
        <v>304</v>
      </c>
      <c r="I773" s="127" t="s">
        <v>1467</v>
      </c>
      <c r="J773" s="124">
        <v>1</v>
      </c>
      <c r="K773" s="124">
        <v>10581</v>
      </c>
      <c r="L773" s="124">
        <v>410584</v>
      </c>
      <c r="M773" s="124">
        <v>21</v>
      </c>
      <c r="N773" s="124">
        <v>33</v>
      </c>
      <c r="S773" s="124" t="s">
        <v>1535</v>
      </c>
      <c r="T773" s="124" t="s">
        <v>1536</v>
      </c>
      <c r="U773" s="124" t="s">
        <v>1537</v>
      </c>
      <c r="W773" s="124">
        <v>7</v>
      </c>
      <c r="X773" s="124" t="s">
        <v>452</v>
      </c>
      <c r="Y773" s="124">
        <v>8</v>
      </c>
      <c r="Z773" s="124">
        <v>8</v>
      </c>
      <c r="AA773" s="124" t="s">
        <v>456</v>
      </c>
      <c r="AB773" s="124" t="s">
        <v>1538</v>
      </c>
      <c r="AC773" s="124">
        <v>6</v>
      </c>
      <c r="AD773" s="124" t="s">
        <v>1539</v>
      </c>
      <c r="AE773" s="124" t="s">
        <v>1540</v>
      </c>
      <c r="AF773" s="124" t="s">
        <v>1541</v>
      </c>
      <c r="AG773" s="124" t="s">
        <v>1542</v>
      </c>
      <c r="AH773" s="124" t="s">
        <v>1543</v>
      </c>
    </row>
    <row r="774" spans="1:38" s="124" customFormat="1">
      <c r="A774" s="124">
        <v>52440</v>
      </c>
      <c r="B774" s="124" t="s">
        <v>1544</v>
      </c>
      <c r="C774" s="124">
        <v>5</v>
      </c>
      <c r="E774" s="124" t="s">
        <v>1157</v>
      </c>
      <c r="F774" s="124">
        <v>2</v>
      </c>
      <c r="G774" s="124" t="s">
        <v>1545</v>
      </c>
      <c r="H774" s="124">
        <v>304</v>
      </c>
      <c r="I774" s="127" t="s">
        <v>1467</v>
      </c>
      <c r="J774" s="124">
        <v>1</v>
      </c>
      <c r="K774" s="124">
        <v>20571</v>
      </c>
      <c r="L774" s="124">
        <v>420573</v>
      </c>
      <c r="M774" s="124">
        <v>55</v>
      </c>
      <c r="N774" s="124">
        <v>74</v>
      </c>
      <c r="S774" s="124" t="s">
        <v>1546</v>
      </c>
      <c r="T774" s="124" t="s">
        <v>1547</v>
      </c>
      <c r="U774" s="124" t="s">
        <v>1548</v>
      </c>
      <c r="W774" s="124">
        <v>6</v>
      </c>
      <c r="X774" s="124" t="s">
        <v>531</v>
      </c>
      <c r="Y774" s="124">
        <v>1</v>
      </c>
      <c r="Z774" s="124">
        <v>8</v>
      </c>
      <c r="AA774" s="124" t="s">
        <v>559</v>
      </c>
      <c r="AB774" s="124" t="s">
        <v>1549</v>
      </c>
      <c r="AC774" s="124">
        <v>8</v>
      </c>
      <c r="AD774" s="124" t="s">
        <v>1550</v>
      </c>
      <c r="AE774" s="124" t="s">
        <v>1551</v>
      </c>
      <c r="AF774" s="124" t="s">
        <v>1552</v>
      </c>
      <c r="AG774" s="124" t="s">
        <v>1553</v>
      </c>
      <c r="AH774" s="124" t="s">
        <v>1554</v>
      </c>
    </row>
    <row r="775" spans="1:38" s="124" customFormat="1">
      <c r="A775" s="124">
        <v>64040</v>
      </c>
      <c r="B775" s="124" t="s">
        <v>1555</v>
      </c>
      <c r="C775" s="124">
        <v>6</v>
      </c>
      <c r="E775" s="124" t="s">
        <v>1556</v>
      </c>
      <c r="F775" s="124">
        <v>4</v>
      </c>
      <c r="H775" s="124">
        <v>304</v>
      </c>
      <c r="I775" s="127" t="s">
        <v>1467</v>
      </c>
      <c r="J775" s="124">
        <v>3</v>
      </c>
      <c r="K775" s="124">
        <v>45041</v>
      </c>
      <c r="L775" s="124">
        <v>445042</v>
      </c>
      <c r="M775" s="124">
        <v>2</v>
      </c>
      <c r="N775" s="124">
        <v>14</v>
      </c>
      <c r="T775" s="124" t="s">
        <v>1557</v>
      </c>
      <c r="U775" s="124" t="s">
        <v>1558</v>
      </c>
      <c r="W775" s="124">
        <v>7</v>
      </c>
      <c r="X775" s="124" t="s">
        <v>556</v>
      </c>
      <c r="Y775" s="124">
        <v>22</v>
      </c>
      <c r="Z775" s="124">
        <v>0</v>
      </c>
      <c r="AA775" s="124" t="s">
        <v>584</v>
      </c>
      <c r="AB775" s="124" t="s">
        <v>1559</v>
      </c>
      <c r="AC775" s="124">
        <v>7</v>
      </c>
      <c r="AD775" s="124" t="s">
        <v>1560</v>
      </c>
      <c r="AE775" s="124" t="s">
        <v>1561</v>
      </c>
      <c r="AF775" s="124" t="s">
        <v>1562</v>
      </c>
      <c r="AG775" s="124" t="s">
        <v>1563</v>
      </c>
      <c r="AH775" s="124" t="s">
        <v>1564</v>
      </c>
      <c r="AI775" s="124" t="s">
        <v>1565</v>
      </c>
      <c r="AJ775" s="124">
        <v>4</v>
      </c>
      <c r="AL775" s="124">
        <v>1</v>
      </c>
    </row>
    <row r="776" spans="1:38" s="124" customFormat="1">
      <c r="A776" s="124">
        <v>61040</v>
      </c>
      <c r="B776" s="124" t="s">
        <v>1566</v>
      </c>
      <c r="C776" s="124">
        <v>6</v>
      </c>
      <c r="E776" s="124" t="s">
        <v>4722</v>
      </c>
      <c r="F776" s="124">
        <v>1</v>
      </c>
      <c r="H776" s="124">
        <v>303</v>
      </c>
      <c r="I776" s="127" t="s">
        <v>1467</v>
      </c>
      <c r="J776" s="124">
        <v>3</v>
      </c>
      <c r="K776" s="124">
        <v>15041</v>
      </c>
      <c r="L776" s="124">
        <v>415042</v>
      </c>
      <c r="M776" s="124">
        <v>22</v>
      </c>
      <c r="N776" s="124">
        <v>34</v>
      </c>
      <c r="P776" s="124" t="s">
        <v>1567</v>
      </c>
      <c r="T776" s="124" t="s">
        <v>1568</v>
      </c>
      <c r="U776" s="124" t="s">
        <v>1569</v>
      </c>
      <c r="W776" s="124">
        <v>4</v>
      </c>
      <c r="X776" s="124" t="s">
        <v>551</v>
      </c>
      <c r="Y776" s="124">
        <v>11</v>
      </c>
      <c r="Z776" s="124">
        <v>0</v>
      </c>
      <c r="AA776" s="124" t="s">
        <v>525</v>
      </c>
      <c r="AB776" s="124" t="s">
        <v>1570</v>
      </c>
      <c r="AC776" s="124">
        <v>4</v>
      </c>
      <c r="AD776" s="124" t="s">
        <v>1571</v>
      </c>
      <c r="AE776" s="124" t="s">
        <v>1572</v>
      </c>
      <c r="AF776" s="124" t="s">
        <v>1573</v>
      </c>
      <c r="AG776" s="124" t="s">
        <v>1574</v>
      </c>
      <c r="AH776" s="124" t="s">
        <v>1575</v>
      </c>
      <c r="AI776" s="124" t="s">
        <v>1576</v>
      </c>
      <c r="AJ776" s="124">
        <v>4</v>
      </c>
      <c r="AK776" s="124">
        <v>0</v>
      </c>
      <c r="AL776" s="124">
        <v>1</v>
      </c>
    </row>
    <row r="777" spans="1:38" s="124" customFormat="1" ht="14.25" customHeight="1">
      <c r="A777" s="124">
        <v>62030</v>
      </c>
      <c r="B777" s="124" t="s">
        <v>1577</v>
      </c>
      <c r="C777" s="124">
        <v>6</v>
      </c>
      <c r="E777" s="124" t="s">
        <v>1578</v>
      </c>
      <c r="F777" s="124">
        <v>2</v>
      </c>
      <c r="H777" s="124">
        <v>303</v>
      </c>
      <c r="I777" s="127" t="s">
        <v>1467</v>
      </c>
      <c r="J777" s="124">
        <v>3</v>
      </c>
      <c r="K777" s="124">
        <v>25031</v>
      </c>
      <c r="L777" s="124">
        <v>425034</v>
      </c>
      <c r="M777" s="124">
        <v>12</v>
      </c>
      <c r="N777" s="124">
        <v>24</v>
      </c>
      <c r="P777" s="124" t="s">
        <v>1579</v>
      </c>
      <c r="T777" s="124" t="s">
        <v>1580</v>
      </c>
      <c r="U777" s="124" t="s">
        <v>1581</v>
      </c>
      <c r="W777" s="124">
        <v>4</v>
      </c>
      <c r="X777" s="124" t="s">
        <v>512</v>
      </c>
      <c r="Y777" s="124">
        <v>12</v>
      </c>
      <c r="Z777" s="124">
        <v>0</v>
      </c>
      <c r="AA777" s="124" t="s">
        <v>552</v>
      </c>
      <c r="AB777" s="124" t="s">
        <v>1582</v>
      </c>
      <c r="AC777" s="124">
        <v>4</v>
      </c>
      <c r="AD777" s="124" t="s">
        <v>1583</v>
      </c>
      <c r="AE777" s="124" t="s">
        <v>1584</v>
      </c>
      <c r="AF777" s="124" t="s">
        <v>1585</v>
      </c>
      <c r="AG777" s="124" t="s">
        <v>1586</v>
      </c>
      <c r="AH777" s="124" t="s">
        <v>1587</v>
      </c>
      <c r="AI777" s="124" t="s">
        <v>1588</v>
      </c>
      <c r="AJ777" s="124">
        <v>4</v>
      </c>
      <c r="AK777" s="124">
        <v>0</v>
      </c>
      <c r="AL777" s="124">
        <v>1</v>
      </c>
    </row>
    <row r="778" spans="1:38" s="124" customFormat="1" ht="14.25" customHeight="1">
      <c r="A778" s="124">
        <v>63030</v>
      </c>
      <c r="B778" s="124" t="s">
        <v>1589</v>
      </c>
      <c r="C778" s="124">
        <v>6</v>
      </c>
      <c r="E778" s="124" t="s">
        <v>1590</v>
      </c>
      <c r="F778" s="124">
        <v>3</v>
      </c>
      <c r="G778" s="142"/>
      <c r="H778" s="124">
        <v>303</v>
      </c>
      <c r="I778" s="127" t="s">
        <v>1467</v>
      </c>
      <c r="J778" s="124">
        <v>3</v>
      </c>
      <c r="K778" s="124">
        <v>35031</v>
      </c>
      <c r="L778" s="124">
        <v>435034</v>
      </c>
      <c r="M778" s="124">
        <v>52</v>
      </c>
      <c r="N778" s="124">
        <v>63</v>
      </c>
      <c r="T778" s="124" t="s">
        <v>1591</v>
      </c>
      <c r="U778" s="124" t="s">
        <v>1592</v>
      </c>
      <c r="W778" s="124">
        <v>4</v>
      </c>
      <c r="X778" s="124" t="s">
        <v>560</v>
      </c>
      <c r="Y778" s="124">
        <v>13</v>
      </c>
      <c r="Z778" s="124">
        <v>0</v>
      </c>
      <c r="AA778" s="124" t="s">
        <v>577</v>
      </c>
      <c r="AB778" s="124" t="s">
        <v>1593</v>
      </c>
      <c r="AC778" s="124">
        <v>4</v>
      </c>
      <c r="AD778" s="124" t="s">
        <v>1594</v>
      </c>
      <c r="AE778" s="124" t="s">
        <v>1595</v>
      </c>
      <c r="AF778" s="124" t="s">
        <v>1596</v>
      </c>
      <c r="AG778" s="124" t="s">
        <v>1597</v>
      </c>
      <c r="AH778" s="124" t="s">
        <v>1598</v>
      </c>
      <c r="AI778" s="124" t="s">
        <v>1599</v>
      </c>
      <c r="AJ778" s="124">
        <v>4</v>
      </c>
      <c r="AK778" s="124">
        <v>0</v>
      </c>
      <c r="AL778" s="124">
        <v>1</v>
      </c>
    </row>
    <row r="779" spans="1:38" s="124" customFormat="1" ht="14.25" customHeight="1">
      <c r="A779" s="124">
        <v>64030</v>
      </c>
      <c r="B779" s="124" t="s">
        <v>1600</v>
      </c>
      <c r="C779" s="124">
        <v>6</v>
      </c>
      <c r="E779" s="124" t="s">
        <v>1601</v>
      </c>
      <c r="F779" s="124">
        <v>4</v>
      </c>
      <c r="H779" s="124">
        <v>303</v>
      </c>
      <c r="I779" s="127" t="s">
        <v>1467</v>
      </c>
      <c r="J779" s="124">
        <v>3</v>
      </c>
      <c r="K779" s="124">
        <v>45031</v>
      </c>
      <c r="L779" s="124">
        <v>445033</v>
      </c>
      <c r="M779" s="124">
        <v>24</v>
      </c>
      <c r="N779" s="124">
        <v>35</v>
      </c>
      <c r="P779" s="124" t="s">
        <v>1602</v>
      </c>
      <c r="T779" s="124" t="s">
        <v>1603</v>
      </c>
      <c r="U779" s="124" t="s">
        <v>1604</v>
      </c>
      <c r="W779" s="124">
        <v>4</v>
      </c>
      <c r="X779" s="124" t="s">
        <v>564</v>
      </c>
      <c r="Y779" s="124">
        <v>10</v>
      </c>
      <c r="Z779" s="124">
        <v>0</v>
      </c>
      <c r="AA779" s="124" t="s">
        <v>585</v>
      </c>
      <c r="AB779" s="124" t="s">
        <v>1605</v>
      </c>
      <c r="AC779" s="124">
        <v>4</v>
      </c>
      <c r="AD779" s="124" t="s">
        <v>1606</v>
      </c>
      <c r="AE779" s="124" t="s">
        <v>1607</v>
      </c>
      <c r="AF779" s="124" t="s">
        <v>1608</v>
      </c>
      <c r="AG779" s="124" t="s">
        <v>1609</v>
      </c>
      <c r="AH779" s="124" t="s">
        <v>1610</v>
      </c>
      <c r="AI779" s="124" t="s">
        <v>1611</v>
      </c>
      <c r="AJ779" s="124">
        <v>4</v>
      </c>
      <c r="AK779" s="124">
        <v>0</v>
      </c>
      <c r="AL779" s="124">
        <v>1</v>
      </c>
    </row>
    <row r="780" spans="1:38" s="124" customFormat="1">
      <c r="A780" s="124">
        <v>73100</v>
      </c>
      <c r="B780" s="124" t="s">
        <v>1612</v>
      </c>
      <c r="C780" s="124">
        <v>7</v>
      </c>
      <c r="E780" s="124" t="s">
        <v>1157</v>
      </c>
      <c r="F780" s="124">
        <v>3</v>
      </c>
      <c r="G780" s="124" t="s">
        <v>1613</v>
      </c>
      <c r="H780" s="124">
        <v>304</v>
      </c>
      <c r="I780" s="127" t="s">
        <v>1467</v>
      </c>
      <c r="J780" s="124">
        <v>1</v>
      </c>
      <c r="K780" s="124">
        <v>30571</v>
      </c>
      <c r="L780" s="124">
        <v>430573</v>
      </c>
      <c r="M780" s="124">
        <v>16</v>
      </c>
      <c r="N780" s="124">
        <v>28</v>
      </c>
      <c r="P780" s="124" t="s">
        <v>1614</v>
      </c>
      <c r="T780" s="124" t="s">
        <v>1615</v>
      </c>
      <c r="U780" s="124" t="s">
        <v>1616</v>
      </c>
      <c r="V780" s="124">
        <v>1</v>
      </c>
      <c r="W780" s="124">
        <v>7</v>
      </c>
      <c r="X780" s="124" t="s">
        <v>566</v>
      </c>
      <c r="Y780" s="124">
        <v>16</v>
      </c>
      <c r="Z780" s="124">
        <v>0</v>
      </c>
      <c r="AA780" s="124" t="s">
        <v>575</v>
      </c>
      <c r="AB780" s="124" t="s">
        <v>1617</v>
      </c>
      <c r="AC780" s="124">
        <v>7</v>
      </c>
      <c r="AD780" s="124" t="s">
        <v>1618</v>
      </c>
      <c r="AE780" s="124" t="s">
        <v>1619</v>
      </c>
      <c r="AF780" s="124" t="s">
        <v>1620</v>
      </c>
      <c r="AG780" s="124" t="s">
        <v>1621</v>
      </c>
      <c r="AH780" s="124" t="s">
        <v>1622</v>
      </c>
    </row>
    <row r="781" spans="1:38" s="124" customFormat="1">
      <c r="A781" s="124">
        <v>830110</v>
      </c>
      <c r="B781" s="124" t="s">
        <v>1623</v>
      </c>
      <c r="C781" s="124">
        <v>8</v>
      </c>
      <c r="E781" s="124" t="s">
        <v>747</v>
      </c>
      <c r="F781" s="124">
        <v>3</v>
      </c>
      <c r="H781" s="124">
        <v>304</v>
      </c>
      <c r="I781" s="128" t="s">
        <v>748</v>
      </c>
      <c r="P781" s="124" t="s">
        <v>1624</v>
      </c>
      <c r="R781" s="124" t="s">
        <v>1625</v>
      </c>
      <c r="W781" s="124" t="s">
        <v>1626</v>
      </c>
      <c r="X781" s="124" t="s">
        <v>570</v>
      </c>
      <c r="Y781" s="124">
        <v>101</v>
      </c>
      <c r="AA781" s="124" t="s">
        <v>575</v>
      </c>
    </row>
    <row r="782" spans="1:38" s="124" customFormat="1">
      <c r="A782" s="124">
        <v>830210</v>
      </c>
      <c r="B782" s="124" t="s">
        <v>1627</v>
      </c>
      <c r="C782" s="124">
        <v>8</v>
      </c>
      <c r="E782" s="124" t="s">
        <v>747</v>
      </c>
      <c r="F782" s="124">
        <v>3</v>
      </c>
      <c r="H782" s="124">
        <v>302</v>
      </c>
      <c r="I782" s="128" t="s">
        <v>748</v>
      </c>
      <c r="P782" s="124" t="s">
        <v>1628</v>
      </c>
      <c r="R782" s="124" t="s">
        <v>1629</v>
      </c>
      <c r="W782" s="124" t="s">
        <v>1630</v>
      </c>
      <c r="X782" s="124" t="s">
        <v>570</v>
      </c>
      <c r="Y782" s="124">
        <v>102</v>
      </c>
      <c r="AA782" s="124" t="s">
        <v>575</v>
      </c>
    </row>
    <row r="783" spans="1:38" s="124" customFormat="1">
      <c r="A783" s="124">
        <v>830310</v>
      </c>
      <c r="B783" s="124" t="s">
        <v>1631</v>
      </c>
      <c r="C783" s="124">
        <v>8</v>
      </c>
      <c r="E783" s="124" t="s">
        <v>747</v>
      </c>
      <c r="F783" s="124">
        <v>3</v>
      </c>
      <c r="H783" s="124">
        <v>306</v>
      </c>
      <c r="I783" s="128" t="s">
        <v>748</v>
      </c>
      <c r="P783" s="124" t="s">
        <v>1632</v>
      </c>
      <c r="R783" s="124" t="s">
        <v>1633</v>
      </c>
      <c r="W783" s="124" t="s">
        <v>1634</v>
      </c>
      <c r="X783" s="124" t="s">
        <v>545</v>
      </c>
      <c r="Y783" s="124">
        <v>103</v>
      </c>
      <c r="AA783" s="124" t="s">
        <v>575</v>
      </c>
    </row>
    <row r="784" spans="1:38" s="124" customFormat="1">
      <c r="A784" s="124">
        <v>830410</v>
      </c>
      <c r="B784" s="124" t="s">
        <v>1635</v>
      </c>
      <c r="C784" s="124">
        <v>8</v>
      </c>
      <c r="E784" s="124" t="s">
        <v>747</v>
      </c>
      <c r="F784" s="124">
        <v>3</v>
      </c>
      <c r="H784" s="124">
        <v>303</v>
      </c>
      <c r="I784" s="128" t="s">
        <v>748</v>
      </c>
      <c r="P784" s="124" t="s">
        <v>1636</v>
      </c>
      <c r="R784" s="124" t="s">
        <v>1637</v>
      </c>
      <c r="W784" s="124" t="s">
        <v>1638</v>
      </c>
      <c r="X784" s="124" t="s">
        <v>542</v>
      </c>
      <c r="Y784" s="124">
        <v>104</v>
      </c>
      <c r="AA784" s="124" t="s">
        <v>575</v>
      </c>
    </row>
    <row r="785" spans="1:27" s="124" customFormat="1">
      <c r="A785" s="124">
        <v>830510</v>
      </c>
      <c r="B785" s="124" t="s">
        <v>1639</v>
      </c>
      <c r="C785" s="124">
        <v>8</v>
      </c>
      <c r="E785" s="124" t="s">
        <v>747</v>
      </c>
      <c r="F785" s="124">
        <v>3</v>
      </c>
      <c r="H785" s="124">
        <v>307</v>
      </c>
      <c r="I785" s="128" t="s">
        <v>748</v>
      </c>
      <c r="P785" s="124" t="s">
        <v>1640</v>
      </c>
      <c r="R785" s="124" t="s">
        <v>1641</v>
      </c>
      <c r="W785" s="124" t="s">
        <v>1642</v>
      </c>
      <c r="X785" s="124" t="s">
        <v>542</v>
      </c>
      <c r="Y785" s="124">
        <v>105</v>
      </c>
      <c r="AA785" s="124" t="s">
        <v>575</v>
      </c>
    </row>
    <row r="786" spans="1:27" s="124" customFormat="1">
      <c r="A786" s="124">
        <v>830610</v>
      </c>
      <c r="B786" s="124" t="s">
        <v>1643</v>
      </c>
      <c r="C786" s="124">
        <v>8</v>
      </c>
      <c r="E786" s="124" t="s">
        <v>747</v>
      </c>
      <c r="F786" s="124">
        <v>3</v>
      </c>
      <c r="H786" s="124">
        <v>301</v>
      </c>
      <c r="I786" s="128" t="s">
        <v>748</v>
      </c>
      <c r="P786" s="124" t="s">
        <v>1644</v>
      </c>
      <c r="R786" s="124" t="s">
        <v>1645</v>
      </c>
      <c r="W786" s="124" t="s">
        <v>1646</v>
      </c>
      <c r="X786" s="124" t="s">
        <v>539</v>
      </c>
      <c r="Y786" s="124">
        <v>106</v>
      </c>
      <c r="AA786" s="124" t="s">
        <v>575</v>
      </c>
    </row>
    <row r="787" spans="1:27" s="124" customFormat="1">
      <c r="A787" s="124">
        <v>830810</v>
      </c>
      <c r="B787" s="124" t="s">
        <v>1647</v>
      </c>
      <c r="C787" s="124">
        <v>8</v>
      </c>
      <c r="E787" s="124" t="s">
        <v>747</v>
      </c>
      <c r="F787" s="124">
        <v>3</v>
      </c>
      <c r="H787" s="124">
        <v>305</v>
      </c>
      <c r="I787" s="128" t="s">
        <v>748</v>
      </c>
      <c r="P787" s="124" t="s">
        <v>1648</v>
      </c>
      <c r="R787" s="124" t="s">
        <v>1649</v>
      </c>
      <c r="W787" s="124" t="s">
        <v>1650</v>
      </c>
      <c r="X787" s="124" t="s">
        <v>556</v>
      </c>
      <c r="Y787" s="124">
        <v>107</v>
      </c>
      <c r="AA787" s="124" t="s">
        <v>575</v>
      </c>
    </row>
    <row r="788" spans="1:27" s="124" customFormat="1">
      <c r="A788" s="124">
        <v>830910</v>
      </c>
      <c r="B788" s="124" t="s">
        <v>1651</v>
      </c>
      <c r="C788" s="124">
        <v>8</v>
      </c>
      <c r="E788" s="124" t="s">
        <v>747</v>
      </c>
      <c r="F788" s="124">
        <v>3</v>
      </c>
      <c r="H788" s="124">
        <v>301</v>
      </c>
      <c r="I788" s="128" t="s">
        <v>748</v>
      </c>
      <c r="R788" s="124" t="s">
        <v>1652</v>
      </c>
      <c r="W788" s="124" t="s">
        <v>1653</v>
      </c>
      <c r="X788" s="124" t="s">
        <v>558</v>
      </c>
      <c r="Y788" s="124">
        <v>108</v>
      </c>
      <c r="AA788" s="124" t="s">
        <v>575</v>
      </c>
    </row>
    <row r="789" spans="1:27" s="124" customFormat="1">
      <c r="A789" s="124">
        <v>810109</v>
      </c>
      <c r="B789" s="124" t="s">
        <v>1654</v>
      </c>
      <c r="C789" s="124">
        <v>8</v>
      </c>
      <c r="E789" s="124" t="s">
        <v>747</v>
      </c>
      <c r="F789" s="124">
        <v>1</v>
      </c>
      <c r="H789" s="124">
        <v>304</v>
      </c>
      <c r="I789" s="128" t="s">
        <v>748</v>
      </c>
      <c r="P789" s="124" t="s">
        <v>1655</v>
      </c>
      <c r="R789" s="124" t="s">
        <v>1656</v>
      </c>
      <c r="W789" s="124" t="s">
        <v>1657</v>
      </c>
      <c r="X789" s="124" t="s">
        <v>562</v>
      </c>
      <c r="Y789" s="124">
        <v>109</v>
      </c>
      <c r="AA789" s="124" t="s">
        <v>540</v>
      </c>
    </row>
    <row r="790" spans="1:27" s="124" customFormat="1">
      <c r="A790" s="124">
        <v>810209</v>
      </c>
      <c r="B790" s="124" t="s">
        <v>1658</v>
      </c>
      <c r="C790" s="124">
        <v>8</v>
      </c>
      <c r="E790" s="124" t="s">
        <v>747</v>
      </c>
      <c r="F790" s="124">
        <v>1</v>
      </c>
      <c r="H790" s="124">
        <v>307</v>
      </c>
      <c r="I790" s="128" t="s">
        <v>748</v>
      </c>
      <c r="P790" s="124" t="s">
        <v>1659</v>
      </c>
      <c r="R790" s="124" t="s">
        <v>1660</v>
      </c>
      <c r="W790" s="124" t="s">
        <v>1661</v>
      </c>
      <c r="X790" s="124" t="s">
        <v>568</v>
      </c>
      <c r="Y790" s="124">
        <v>110</v>
      </c>
      <c r="AA790" s="124" t="s">
        <v>540</v>
      </c>
    </row>
    <row r="791" spans="1:27" s="124" customFormat="1">
      <c r="A791" s="124">
        <v>810309</v>
      </c>
      <c r="B791" s="124" t="s">
        <v>1662</v>
      </c>
      <c r="C791" s="124">
        <v>8</v>
      </c>
      <c r="E791" s="124" t="s">
        <v>747</v>
      </c>
      <c r="F791" s="124">
        <v>1</v>
      </c>
      <c r="H791" s="124">
        <v>305</v>
      </c>
      <c r="I791" s="128" t="s">
        <v>748</v>
      </c>
      <c r="P791" s="124" t="s">
        <v>1663</v>
      </c>
      <c r="R791" s="124" t="s">
        <v>1664</v>
      </c>
      <c r="W791" s="124" t="s">
        <v>1665</v>
      </c>
      <c r="X791" s="124" t="s">
        <v>566</v>
      </c>
      <c r="Y791" s="124">
        <v>111</v>
      </c>
      <c r="AA791" s="124" t="s">
        <v>540</v>
      </c>
    </row>
    <row r="792" spans="1:27" s="124" customFormat="1">
      <c r="A792" s="124">
        <v>810409</v>
      </c>
      <c r="B792" s="124" t="s">
        <v>1666</v>
      </c>
      <c r="C792" s="124">
        <v>8</v>
      </c>
      <c r="E792" s="124" t="s">
        <v>747</v>
      </c>
      <c r="F792" s="124">
        <v>1</v>
      </c>
      <c r="H792" s="124">
        <v>306</v>
      </c>
      <c r="I792" s="128" t="s">
        <v>748</v>
      </c>
      <c r="P792" s="124" t="s">
        <v>1667</v>
      </c>
      <c r="R792" s="124" t="s">
        <v>1668</v>
      </c>
      <c r="W792" s="124" t="s">
        <v>1669</v>
      </c>
      <c r="X792" s="124" t="s">
        <v>558</v>
      </c>
      <c r="Y792" s="124">
        <v>112</v>
      </c>
      <c r="AA792" s="124" t="s">
        <v>540</v>
      </c>
    </row>
    <row r="793" spans="1:27" s="124" customFormat="1">
      <c r="A793" s="124">
        <v>810509</v>
      </c>
      <c r="B793" s="124" t="s">
        <v>1670</v>
      </c>
      <c r="C793" s="124">
        <v>8</v>
      </c>
      <c r="E793" s="124" t="s">
        <v>747</v>
      </c>
      <c r="F793" s="124">
        <v>1</v>
      </c>
      <c r="H793" s="124">
        <v>307</v>
      </c>
      <c r="I793" s="128" t="s">
        <v>748</v>
      </c>
      <c r="P793" s="124" t="s">
        <v>1671</v>
      </c>
      <c r="R793" s="124" t="s">
        <v>1672</v>
      </c>
      <c r="W793" s="124" t="s">
        <v>1673</v>
      </c>
      <c r="X793" s="124" t="s">
        <v>553</v>
      </c>
      <c r="Y793" s="124">
        <v>113</v>
      </c>
      <c r="AA793" s="124" t="s">
        <v>540</v>
      </c>
    </row>
    <row r="794" spans="1:27" s="124" customFormat="1">
      <c r="A794" s="124">
        <v>810609</v>
      </c>
      <c r="B794" s="124" t="s">
        <v>1674</v>
      </c>
      <c r="C794" s="124">
        <v>8</v>
      </c>
      <c r="E794" s="124" t="s">
        <v>747</v>
      </c>
      <c r="F794" s="124">
        <v>1</v>
      </c>
      <c r="H794" s="124">
        <v>301</v>
      </c>
      <c r="I794" s="128" t="s">
        <v>748</v>
      </c>
      <c r="P794" s="124" t="s">
        <v>1675</v>
      </c>
      <c r="R794" s="124" t="s">
        <v>1676</v>
      </c>
      <c r="W794" s="124" t="s">
        <v>1677</v>
      </c>
      <c r="X794" s="124" t="s">
        <v>570</v>
      </c>
      <c r="Y794" s="124">
        <v>114</v>
      </c>
      <c r="AA794" s="124" t="s">
        <v>540</v>
      </c>
    </row>
    <row r="795" spans="1:27" s="124" customFormat="1">
      <c r="A795" s="124">
        <v>810709</v>
      </c>
      <c r="B795" s="124" t="s">
        <v>1678</v>
      </c>
      <c r="C795" s="124">
        <v>8</v>
      </c>
      <c r="E795" s="124" t="s">
        <v>747</v>
      </c>
      <c r="F795" s="124">
        <v>1</v>
      </c>
      <c r="H795" s="124">
        <v>308</v>
      </c>
      <c r="I795" s="128" t="s">
        <v>748</v>
      </c>
      <c r="P795" s="124" t="s">
        <v>1679</v>
      </c>
      <c r="R795" s="124" t="s">
        <v>1680</v>
      </c>
      <c r="W795" s="124" t="s">
        <v>1681</v>
      </c>
      <c r="X795" s="124" t="s">
        <v>558</v>
      </c>
      <c r="Y795" s="124">
        <v>101</v>
      </c>
      <c r="AA795" s="124" t="s">
        <v>540</v>
      </c>
    </row>
    <row r="796" spans="1:27" s="124" customFormat="1">
      <c r="A796" s="124">
        <v>810809</v>
      </c>
      <c r="B796" s="124" t="s">
        <v>1682</v>
      </c>
      <c r="C796" s="124">
        <v>8</v>
      </c>
      <c r="E796" s="124" t="s">
        <v>747</v>
      </c>
      <c r="F796" s="124">
        <v>1</v>
      </c>
      <c r="H796" s="124">
        <v>303</v>
      </c>
      <c r="I796" s="128" t="s">
        <v>748</v>
      </c>
      <c r="R796" s="124" t="s">
        <v>1683</v>
      </c>
      <c r="W796" s="124" t="s">
        <v>1684</v>
      </c>
      <c r="X796" s="124" t="s">
        <v>568</v>
      </c>
      <c r="Y796" s="124">
        <v>102</v>
      </c>
      <c r="AA796" s="124" t="s">
        <v>540</v>
      </c>
    </row>
    <row r="797" spans="1:27" s="124" customFormat="1">
      <c r="A797" s="124">
        <v>820109</v>
      </c>
      <c r="B797" s="124" t="s">
        <v>1685</v>
      </c>
      <c r="C797" s="124">
        <v>8</v>
      </c>
      <c r="E797" s="124" t="s">
        <v>747</v>
      </c>
      <c r="F797" s="124">
        <v>2</v>
      </c>
      <c r="H797" s="124">
        <v>305</v>
      </c>
      <c r="I797" s="128" t="s">
        <v>748</v>
      </c>
      <c r="P797" s="124" t="s">
        <v>1686</v>
      </c>
      <c r="R797" s="124" t="s">
        <v>1687</v>
      </c>
      <c r="W797" s="124" t="s">
        <v>1688</v>
      </c>
      <c r="X797" s="124" t="s">
        <v>452</v>
      </c>
      <c r="Y797" s="124">
        <v>103</v>
      </c>
      <c r="AA797" s="124" t="s">
        <v>563</v>
      </c>
    </row>
    <row r="798" spans="1:27" s="124" customFormat="1">
      <c r="A798" s="124">
        <v>820209</v>
      </c>
      <c r="B798" s="124" t="s">
        <v>1689</v>
      </c>
      <c r="C798" s="124">
        <v>8</v>
      </c>
      <c r="E798" s="124" t="s">
        <v>747</v>
      </c>
      <c r="F798" s="124">
        <v>2</v>
      </c>
      <c r="H798" s="124">
        <v>303</v>
      </c>
      <c r="I798" s="128" t="s">
        <v>748</v>
      </c>
      <c r="P798" s="124" t="s">
        <v>1690</v>
      </c>
      <c r="R798" s="124" t="s">
        <v>1691</v>
      </c>
      <c r="W798" s="124" t="s">
        <v>1692</v>
      </c>
      <c r="X798" s="124" t="s">
        <v>499</v>
      </c>
      <c r="Y798" s="124">
        <v>104</v>
      </c>
      <c r="AA798" s="124" t="s">
        <v>563</v>
      </c>
    </row>
    <row r="799" spans="1:27" s="124" customFormat="1">
      <c r="A799" s="124">
        <v>820309</v>
      </c>
      <c r="B799" s="124" t="s">
        <v>1693</v>
      </c>
      <c r="C799" s="124">
        <v>8</v>
      </c>
      <c r="E799" s="124" t="s">
        <v>747</v>
      </c>
      <c r="F799" s="124">
        <v>2</v>
      </c>
      <c r="H799" s="124">
        <v>301</v>
      </c>
      <c r="I799" s="128" t="s">
        <v>748</v>
      </c>
      <c r="R799" s="124" t="s">
        <v>1694</v>
      </c>
      <c r="W799" s="124" t="s">
        <v>1695</v>
      </c>
      <c r="X799" s="124" t="s">
        <v>484</v>
      </c>
      <c r="Y799" s="124">
        <v>105</v>
      </c>
      <c r="AA799" s="124" t="s">
        <v>563</v>
      </c>
    </row>
    <row r="800" spans="1:27" s="124" customFormat="1">
      <c r="A800" s="124">
        <v>820409</v>
      </c>
      <c r="B800" s="124" t="s">
        <v>1696</v>
      </c>
      <c r="C800" s="124">
        <v>8</v>
      </c>
      <c r="E800" s="124" t="s">
        <v>747</v>
      </c>
      <c r="F800" s="124">
        <v>2</v>
      </c>
      <c r="H800" s="124">
        <v>306</v>
      </c>
      <c r="I800" s="128" t="s">
        <v>748</v>
      </c>
      <c r="P800" s="124" t="s">
        <v>1697</v>
      </c>
      <c r="R800" s="124" t="s">
        <v>1698</v>
      </c>
      <c r="W800" s="124" t="s">
        <v>1699</v>
      </c>
      <c r="X800" s="124" t="s">
        <v>562</v>
      </c>
      <c r="Y800" s="124">
        <v>106</v>
      </c>
      <c r="AA800" s="124" t="s">
        <v>563</v>
      </c>
    </row>
    <row r="801" spans="1:27" s="124" customFormat="1">
      <c r="A801" s="124">
        <v>820509</v>
      </c>
      <c r="B801" s="124" t="s">
        <v>1700</v>
      </c>
      <c r="C801" s="124">
        <v>8</v>
      </c>
      <c r="E801" s="124" t="s">
        <v>747</v>
      </c>
      <c r="F801" s="124">
        <v>2</v>
      </c>
      <c r="H801" s="124">
        <v>303</v>
      </c>
      <c r="I801" s="128" t="s">
        <v>748</v>
      </c>
      <c r="P801" s="124" t="s">
        <v>1701</v>
      </c>
      <c r="R801" s="124" t="s">
        <v>1702</v>
      </c>
      <c r="W801" s="124" t="s">
        <v>1703</v>
      </c>
      <c r="X801" s="124" t="s">
        <v>562</v>
      </c>
      <c r="Y801" s="124">
        <v>107</v>
      </c>
      <c r="AA801" s="124" t="s">
        <v>563</v>
      </c>
    </row>
    <row r="802" spans="1:27" s="124" customFormat="1">
      <c r="A802" s="124">
        <v>820609</v>
      </c>
      <c r="B802" s="124" t="s">
        <v>1704</v>
      </c>
      <c r="C802" s="124">
        <v>8</v>
      </c>
      <c r="E802" s="124" t="s">
        <v>747</v>
      </c>
      <c r="F802" s="124">
        <v>2</v>
      </c>
      <c r="H802" s="124">
        <v>307</v>
      </c>
      <c r="I802" s="128" t="s">
        <v>748</v>
      </c>
      <c r="P802" s="124" t="s">
        <v>1705</v>
      </c>
      <c r="R802" s="124" t="s">
        <v>1706</v>
      </c>
      <c r="W802" s="124" t="s">
        <v>1707</v>
      </c>
      <c r="X802" s="124" t="s">
        <v>568</v>
      </c>
      <c r="Y802" s="124">
        <v>108</v>
      </c>
      <c r="AA802" s="124" t="s">
        <v>563</v>
      </c>
    </row>
    <row r="803" spans="1:27" s="124" customFormat="1">
      <c r="A803" s="124">
        <v>820709</v>
      </c>
      <c r="B803" s="124" t="s">
        <v>1708</v>
      </c>
      <c r="C803" s="124">
        <v>8</v>
      </c>
      <c r="E803" s="124" t="s">
        <v>747</v>
      </c>
      <c r="F803" s="124">
        <v>2</v>
      </c>
      <c r="H803" s="124">
        <v>308</v>
      </c>
      <c r="I803" s="128" t="s">
        <v>748</v>
      </c>
      <c r="P803" s="124" t="s">
        <v>1709</v>
      </c>
      <c r="R803" s="124" t="s">
        <v>1710</v>
      </c>
      <c r="W803" s="124" t="s">
        <v>1711</v>
      </c>
      <c r="X803" s="124" t="s">
        <v>512</v>
      </c>
      <c r="Y803" s="124">
        <v>109</v>
      </c>
      <c r="AA803" s="124" t="s">
        <v>563</v>
      </c>
    </row>
    <row r="804" spans="1:27" s="124" customFormat="1">
      <c r="A804" s="124">
        <v>820809</v>
      </c>
      <c r="B804" s="124" t="s">
        <v>1712</v>
      </c>
      <c r="C804" s="124">
        <v>8</v>
      </c>
      <c r="E804" s="124" t="s">
        <v>747</v>
      </c>
      <c r="F804" s="124">
        <v>2</v>
      </c>
      <c r="H804" s="124">
        <v>304</v>
      </c>
      <c r="I804" s="128" t="s">
        <v>748</v>
      </c>
      <c r="R804" s="124" t="s">
        <v>1713</v>
      </c>
      <c r="W804" s="124" t="s">
        <v>1714</v>
      </c>
      <c r="X804" s="124" t="s">
        <v>499</v>
      </c>
      <c r="Y804" s="124">
        <v>110</v>
      </c>
      <c r="AA804" s="124" t="s">
        <v>563</v>
      </c>
    </row>
    <row r="805" spans="1:27" s="124" customFormat="1">
      <c r="A805" s="124">
        <v>830109</v>
      </c>
      <c r="B805" s="124" t="s">
        <v>1715</v>
      </c>
      <c r="C805" s="124">
        <v>8</v>
      </c>
      <c r="E805" s="124" t="s">
        <v>747</v>
      </c>
      <c r="F805" s="124">
        <v>3</v>
      </c>
      <c r="H805" s="124">
        <v>304</v>
      </c>
      <c r="I805" s="128" t="s">
        <v>748</v>
      </c>
      <c r="P805" s="124" t="s">
        <v>1624</v>
      </c>
      <c r="R805" s="124" t="s">
        <v>1716</v>
      </c>
      <c r="W805" s="124" t="s">
        <v>1717</v>
      </c>
      <c r="X805" s="124" t="s">
        <v>556</v>
      </c>
      <c r="Y805" s="124">
        <v>111</v>
      </c>
      <c r="AA805" s="124" t="s">
        <v>575</v>
      </c>
    </row>
    <row r="806" spans="1:27" s="124" customFormat="1">
      <c r="A806" s="124">
        <v>830209</v>
      </c>
      <c r="B806" s="124" t="s">
        <v>1718</v>
      </c>
      <c r="C806" s="124">
        <v>8</v>
      </c>
      <c r="E806" s="124" t="s">
        <v>747</v>
      </c>
      <c r="F806" s="124">
        <v>3</v>
      </c>
      <c r="H806" s="124">
        <v>302</v>
      </c>
      <c r="I806" s="128" t="s">
        <v>748</v>
      </c>
      <c r="P806" s="124" t="s">
        <v>1628</v>
      </c>
      <c r="R806" s="124" t="s">
        <v>1719</v>
      </c>
      <c r="W806" s="124" t="s">
        <v>1720</v>
      </c>
      <c r="X806" s="124" t="s">
        <v>549</v>
      </c>
      <c r="Y806" s="124">
        <v>112</v>
      </c>
      <c r="AA806" s="124" t="s">
        <v>575</v>
      </c>
    </row>
    <row r="807" spans="1:27" s="124" customFormat="1">
      <c r="A807" s="124">
        <v>830309</v>
      </c>
      <c r="B807" s="124" t="s">
        <v>1721</v>
      </c>
      <c r="C807" s="124">
        <v>8</v>
      </c>
      <c r="E807" s="124" t="s">
        <v>747</v>
      </c>
      <c r="F807" s="124">
        <v>3</v>
      </c>
      <c r="H807" s="124">
        <v>306</v>
      </c>
      <c r="I807" s="128" t="s">
        <v>748</v>
      </c>
      <c r="P807" s="124" t="s">
        <v>1632</v>
      </c>
      <c r="R807" s="124" t="s">
        <v>1722</v>
      </c>
      <c r="W807" s="124" t="s">
        <v>1723</v>
      </c>
      <c r="X807" s="124" t="s">
        <v>551</v>
      </c>
      <c r="Y807" s="124">
        <v>113</v>
      </c>
      <c r="AA807" s="124" t="s">
        <v>575</v>
      </c>
    </row>
    <row r="808" spans="1:27" s="124" customFormat="1">
      <c r="A808" s="124">
        <v>830409</v>
      </c>
      <c r="B808" s="124" t="s">
        <v>1724</v>
      </c>
      <c r="C808" s="124">
        <v>8</v>
      </c>
      <c r="E808" s="124" t="s">
        <v>747</v>
      </c>
      <c r="F808" s="124">
        <v>3</v>
      </c>
      <c r="H808" s="124">
        <v>303</v>
      </c>
      <c r="I808" s="128" t="s">
        <v>748</v>
      </c>
      <c r="P808" s="124" t="s">
        <v>1636</v>
      </c>
      <c r="R808" s="124" t="s">
        <v>1725</v>
      </c>
      <c r="W808" s="124" t="s">
        <v>1726</v>
      </c>
      <c r="X808" s="124" t="s">
        <v>468</v>
      </c>
      <c r="Y808" s="124">
        <v>114</v>
      </c>
      <c r="AA808" s="124" t="s">
        <v>575</v>
      </c>
    </row>
    <row r="809" spans="1:27" s="124" customFormat="1">
      <c r="A809" s="124">
        <v>830509</v>
      </c>
      <c r="B809" s="124" t="s">
        <v>1727</v>
      </c>
      <c r="C809" s="124">
        <v>8</v>
      </c>
      <c r="E809" s="124" t="s">
        <v>747</v>
      </c>
      <c r="F809" s="124">
        <v>3</v>
      </c>
      <c r="H809" s="124">
        <v>307</v>
      </c>
      <c r="I809" s="128" t="s">
        <v>748</v>
      </c>
      <c r="P809" s="124" t="s">
        <v>1640</v>
      </c>
      <c r="R809" s="124" t="s">
        <v>1728</v>
      </c>
      <c r="W809" s="124" t="s">
        <v>1729</v>
      </c>
      <c r="X809" s="124" t="s">
        <v>439</v>
      </c>
      <c r="Y809" s="124">
        <v>101</v>
      </c>
      <c r="AA809" s="124" t="s">
        <v>575</v>
      </c>
    </row>
    <row r="810" spans="1:27" s="124" customFormat="1">
      <c r="A810" s="124">
        <v>830609</v>
      </c>
      <c r="B810" s="124" t="s">
        <v>1730</v>
      </c>
      <c r="C810" s="124">
        <v>8</v>
      </c>
      <c r="E810" s="124" t="s">
        <v>747</v>
      </c>
      <c r="F810" s="124">
        <v>3</v>
      </c>
      <c r="H810" s="124">
        <v>301</v>
      </c>
      <c r="I810" s="128" t="s">
        <v>748</v>
      </c>
      <c r="P810" s="124" t="s">
        <v>1644</v>
      </c>
      <c r="R810" s="124" t="s">
        <v>1731</v>
      </c>
      <c r="W810" s="124" t="s">
        <v>1732</v>
      </c>
      <c r="X810" s="124" t="s">
        <v>547</v>
      </c>
      <c r="Y810" s="124">
        <v>102</v>
      </c>
      <c r="AA810" s="124" t="s">
        <v>575</v>
      </c>
    </row>
    <row r="811" spans="1:27" s="124" customFormat="1">
      <c r="A811" s="124">
        <v>830809</v>
      </c>
      <c r="B811" s="124" t="s">
        <v>1733</v>
      </c>
      <c r="C811" s="124">
        <v>8</v>
      </c>
      <c r="E811" s="124" t="s">
        <v>747</v>
      </c>
      <c r="F811" s="124">
        <v>3</v>
      </c>
      <c r="H811" s="124">
        <v>305</v>
      </c>
      <c r="I811" s="128" t="s">
        <v>748</v>
      </c>
      <c r="P811" s="124" t="s">
        <v>1648</v>
      </c>
      <c r="R811" s="124" t="s">
        <v>1734</v>
      </c>
      <c r="W811" s="124" t="s">
        <v>1735</v>
      </c>
      <c r="X811" s="124" t="s">
        <v>547</v>
      </c>
      <c r="Y811" s="124">
        <v>103</v>
      </c>
      <c r="AA811" s="124" t="s">
        <v>575</v>
      </c>
    </row>
    <row r="812" spans="1:27" s="124" customFormat="1">
      <c r="A812" s="124">
        <v>840110</v>
      </c>
      <c r="B812" s="124" t="s">
        <v>1736</v>
      </c>
      <c r="C812" s="124">
        <v>8</v>
      </c>
      <c r="E812" s="124" t="s">
        <v>747</v>
      </c>
      <c r="F812" s="124">
        <v>4</v>
      </c>
      <c r="H812" s="124">
        <v>303</v>
      </c>
      <c r="I812" s="128" t="s">
        <v>748</v>
      </c>
      <c r="P812" s="124" t="s">
        <v>1737</v>
      </c>
      <c r="R812" s="124" t="s">
        <v>1738</v>
      </c>
      <c r="W812" s="124" t="s">
        <v>1739</v>
      </c>
      <c r="X812" s="124" t="s">
        <v>539</v>
      </c>
      <c r="Y812" s="124">
        <v>104</v>
      </c>
      <c r="AA812" s="124" t="s">
        <v>582</v>
      </c>
    </row>
    <row r="813" spans="1:27" s="124" customFormat="1">
      <c r="A813" s="124">
        <v>840210</v>
      </c>
      <c r="B813" s="124" t="s">
        <v>1740</v>
      </c>
      <c r="C813" s="124">
        <v>8</v>
      </c>
      <c r="E813" s="124" t="s">
        <v>747</v>
      </c>
      <c r="F813" s="124">
        <v>4</v>
      </c>
      <c r="H813" s="124">
        <v>302</v>
      </c>
      <c r="I813" s="128" t="s">
        <v>748</v>
      </c>
      <c r="P813" s="124" t="s">
        <v>1741</v>
      </c>
      <c r="R813" s="124" t="s">
        <v>1742</v>
      </c>
      <c r="W813" s="124" t="s">
        <v>1743</v>
      </c>
      <c r="X813" s="124" t="s">
        <v>536</v>
      </c>
      <c r="Y813" s="124">
        <v>105</v>
      </c>
      <c r="AA813" s="124" t="s">
        <v>582</v>
      </c>
    </row>
    <row r="814" spans="1:27" s="124" customFormat="1">
      <c r="A814" s="124">
        <v>840310</v>
      </c>
      <c r="B814" s="124" t="s">
        <v>1744</v>
      </c>
      <c r="C814" s="124">
        <v>8</v>
      </c>
      <c r="E814" s="124" t="s">
        <v>747</v>
      </c>
      <c r="F814" s="124">
        <v>4</v>
      </c>
      <c r="H814" s="124">
        <v>305</v>
      </c>
      <c r="I814" s="128" t="s">
        <v>748</v>
      </c>
      <c r="P814" s="124" t="s">
        <v>1745</v>
      </c>
      <c r="R814" s="124" t="s">
        <v>1746</v>
      </c>
      <c r="W814" s="124" t="s">
        <v>1747</v>
      </c>
      <c r="X814" s="124" t="s">
        <v>522</v>
      </c>
      <c r="Y814" s="124">
        <v>106</v>
      </c>
      <c r="AA814" s="124" t="s">
        <v>582</v>
      </c>
    </row>
    <row r="815" spans="1:27" s="124" customFormat="1">
      <c r="A815" s="124">
        <v>840410</v>
      </c>
      <c r="B815" s="124" t="s">
        <v>1748</v>
      </c>
      <c r="C815" s="124">
        <v>8</v>
      </c>
      <c r="E815" s="124" t="s">
        <v>747</v>
      </c>
      <c r="F815" s="124">
        <v>4</v>
      </c>
      <c r="H815" s="124">
        <v>307</v>
      </c>
      <c r="I815" s="128" t="s">
        <v>748</v>
      </c>
      <c r="P815" s="124" t="s">
        <v>1749</v>
      </c>
      <c r="R815" s="124" t="s">
        <v>1750</v>
      </c>
      <c r="W815" s="124" t="s">
        <v>1751</v>
      </c>
      <c r="X815" s="124" t="s">
        <v>542</v>
      </c>
      <c r="Y815" s="124">
        <v>107</v>
      </c>
      <c r="AA815" s="124" t="s">
        <v>582</v>
      </c>
    </row>
    <row r="816" spans="1:27" s="124" customFormat="1">
      <c r="A816" s="124">
        <v>840510</v>
      </c>
      <c r="B816" s="124" t="s">
        <v>1752</v>
      </c>
      <c r="C816" s="124">
        <v>8</v>
      </c>
      <c r="E816" s="124" t="s">
        <v>747</v>
      </c>
      <c r="F816" s="124">
        <v>4</v>
      </c>
      <c r="H816" s="124">
        <v>307</v>
      </c>
      <c r="I816" s="128" t="s">
        <v>748</v>
      </c>
      <c r="P816" s="124" t="s">
        <v>1753</v>
      </c>
      <c r="R816" s="124" t="s">
        <v>1754</v>
      </c>
      <c r="W816" s="124" t="s">
        <v>1755</v>
      </c>
      <c r="X816" s="124" t="s">
        <v>499</v>
      </c>
      <c r="Y816" s="124">
        <v>108</v>
      </c>
      <c r="AA816" s="124" t="s">
        <v>582</v>
      </c>
    </row>
    <row r="817" spans="1:34" s="124" customFormat="1">
      <c r="A817" s="124">
        <v>840610</v>
      </c>
      <c r="B817" s="124" t="s">
        <v>1756</v>
      </c>
      <c r="C817" s="124">
        <v>8</v>
      </c>
      <c r="E817" s="124" t="s">
        <v>747</v>
      </c>
      <c r="F817" s="124">
        <v>4</v>
      </c>
      <c r="H817" s="124">
        <v>306</v>
      </c>
      <c r="I817" s="128" t="s">
        <v>748</v>
      </c>
      <c r="P817" s="124" t="s">
        <v>1757</v>
      </c>
      <c r="R817" s="124" t="s">
        <v>1758</v>
      </c>
      <c r="W817" s="124" t="s">
        <v>1759</v>
      </c>
      <c r="X817" s="124" t="s">
        <v>452</v>
      </c>
      <c r="Y817" s="124">
        <v>109</v>
      </c>
      <c r="AA817" s="124" t="s">
        <v>582</v>
      </c>
    </row>
    <row r="818" spans="1:34" s="124" customFormat="1">
      <c r="A818" s="124">
        <v>840710</v>
      </c>
      <c r="B818" s="124" t="s">
        <v>1760</v>
      </c>
      <c r="C818" s="124">
        <v>8</v>
      </c>
      <c r="E818" s="124" t="s">
        <v>747</v>
      </c>
      <c r="F818" s="124">
        <v>4</v>
      </c>
      <c r="H818" s="124">
        <v>304</v>
      </c>
      <c r="I818" s="128" t="s">
        <v>748</v>
      </c>
      <c r="P818" s="124" t="s">
        <v>1761</v>
      </c>
      <c r="R818" s="124" t="s">
        <v>1762</v>
      </c>
      <c r="W818" s="124" t="s">
        <v>1763</v>
      </c>
      <c r="X818" s="124" t="s">
        <v>531</v>
      </c>
      <c r="Y818" s="124">
        <v>110</v>
      </c>
      <c r="AA818" s="124" t="s">
        <v>582</v>
      </c>
    </row>
    <row r="819" spans="1:34" s="124" customFormat="1">
      <c r="A819" s="124">
        <v>840810</v>
      </c>
      <c r="B819" s="124" t="s">
        <v>1764</v>
      </c>
      <c r="C819" s="124">
        <v>8</v>
      </c>
      <c r="E819" s="124" t="s">
        <v>747</v>
      </c>
      <c r="F819" s="124">
        <v>4</v>
      </c>
      <c r="H819" s="124">
        <v>301</v>
      </c>
      <c r="I819" s="128" t="s">
        <v>748</v>
      </c>
      <c r="P819" s="124" t="s">
        <v>1765</v>
      </c>
      <c r="R819" s="124" t="s">
        <v>1766</v>
      </c>
      <c r="W819" s="124" t="s">
        <v>1767</v>
      </c>
      <c r="X819" s="124" t="s">
        <v>522</v>
      </c>
      <c r="Y819" s="124">
        <v>111</v>
      </c>
      <c r="AA819" s="124" t="s">
        <v>582</v>
      </c>
    </row>
    <row r="820" spans="1:34" s="124" customFormat="1">
      <c r="A820" s="124">
        <v>840910</v>
      </c>
      <c r="B820" s="124" t="s">
        <v>1768</v>
      </c>
      <c r="C820" s="124">
        <v>8</v>
      </c>
      <c r="E820" s="124" t="s">
        <v>747</v>
      </c>
      <c r="F820" s="124">
        <v>4</v>
      </c>
      <c r="H820" s="124">
        <v>305</v>
      </c>
      <c r="I820" s="128" t="s">
        <v>748</v>
      </c>
      <c r="P820" s="124" t="s">
        <v>1769</v>
      </c>
      <c r="R820" s="124" t="s">
        <v>1770</v>
      </c>
      <c r="W820" s="124" t="s">
        <v>1771</v>
      </c>
      <c r="X820" s="124" t="s">
        <v>452</v>
      </c>
      <c r="Y820" s="124">
        <v>112</v>
      </c>
      <c r="AA820" s="124" t="s">
        <v>582</v>
      </c>
    </row>
    <row r="821" spans="1:34" s="124" customFormat="1">
      <c r="A821" s="124">
        <v>880106</v>
      </c>
      <c r="B821" s="124" t="s">
        <v>1772</v>
      </c>
      <c r="C821" s="124">
        <v>8</v>
      </c>
      <c r="E821" s="124" t="s">
        <v>747</v>
      </c>
      <c r="F821" s="124">
        <v>8</v>
      </c>
      <c r="H821" s="124">
        <v>308</v>
      </c>
      <c r="I821" s="128" t="s">
        <v>748</v>
      </c>
      <c r="O821" s="124">
        <v>1</v>
      </c>
      <c r="P821" s="124" t="s">
        <v>1773</v>
      </c>
      <c r="R821" s="124" t="s">
        <v>1774</v>
      </c>
      <c r="W821" s="124" t="s">
        <v>1775</v>
      </c>
      <c r="X821" s="124" t="s">
        <v>556</v>
      </c>
      <c r="Y821" s="124">
        <v>113</v>
      </c>
      <c r="AA821" s="124" t="s">
        <v>589</v>
      </c>
    </row>
    <row r="822" spans="1:34" s="124" customFormat="1">
      <c r="A822" s="124">
        <v>880206</v>
      </c>
      <c r="B822" s="124" t="s">
        <v>1776</v>
      </c>
      <c r="C822" s="124">
        <v>8</v>
      </c>
      <c r="E822" s="124" t="s">
        <v>747</v>
      </c>
      <c r="F822" s="124">
        <v>8</v>
      </c>
      <c r="H822" s="124">
        <v>302</v>
      </c>
      <c r="I822" s="128" t="s">
        <v>748</v>
      </c>
      <c r="O822" s="124">
        <v>1</v>
      </c>
      <c r="P822" s="124" t="s">
        <v>1777</v>
      </c>
      <c r="R822" s="124" t="s">
        <v>1778</v>
      </c>
      <c r="W822" s="124" t="s">
        <v>1779</v>
      </c>
      <c r="X822" s="124" t="s">
        <v>549</v>
      </c>
      <c r="Y822" s="124">
        <v>114</v>
      </c>
      <c r="AA822" s="124" t="s">
        <v>589</v>
      </c>
    </row>
    <row r="823" spans="1:34" s="124" customFormat="1">
      <c r="A823" s="124">
        <v>880306</v>
      </c>
      <c r="B823" s="124" t="s">
        <v>1780</v>
      </c>
      <c r="C823" s="124">
        <v>8</v>
      </c>
      <c r="E823" s="124" t="s">
        <v>747</v>
      </c>
      <c r="F823" s="124">
        <v>8</v>
      </c>
      <c r="H823" s="124">
        <v>304</v>
      </c>
      <c r="I823" s="128" t="s">
        <v>748</v>
      </c>
      <c r="O823" s="124">
        <v>1</v>
      </c>
      <c r="P823" s="124" t="s">
        <v>1781</v>
      </c>
      <c r="R823" s="124" t="s">
        <v>1782</v>
      </c>
      <c r="W823" s="124" t="s">
        <v>1783</v>
      </c>
      <c r="X823" s="124" t="s">
        <v>484</v>
      </c>
      <c r="Y823" s="124">
        <v>101</v>
      </c>
      <c r="AA823" s="124" t="s">
        <v>589</v>
      </c>
    </row>
    <row r="824" spans="1:34" s="124" customFormat="1">
      <c r="A824" s="124">
        <v>880406</v>
      </c>
      <c r="B824" s="124" t="s">
        <v>1784</v>
      </c>
      <c r="C824" s="124">
        <v>8</v>
      </c>
      <c r="E824" s="124" t="s">
        <v>747</v>
      </c>
      <c r="F824" s="124">
        <v>8</v>
      </c>
      <c r="H824" s="124">
        <v>307</v>
      </c>
      <c r="I824" s="128" t="s">
        <v>748</v>
      </c>
      <c r="O824" s="124">
        <v>1</v>
      </c>
      <c r="P824" s="124" t="s">
        <v>1785</v>
      </c>
      <c r="R824" s="124" t="s">
        <v>1786</v>
      </c>
      <c r="W824" s="124" t="s">
        <v>1787</v>
      </c>
      <c r="X824" s="124" t="s">
        <v>468</v>
      </c>
      <c r="Y824" s="124">
        <v>102</v>
      </c>
      <c r="AA824" s="124" t="s">
        <v>589</v>
      </c>
    </row>
    <row r="825" spans="1:34" s="124" customFormat="1">
      <c r="A825" s="124">
        <v>880506</v>
      </c>
      <c r="B825" s="124" t="s">
        <v>1788</v>
      </c>
      <c r="C825" s="124">
        <v>8</v>
      </c>
      <c r="E825" s="124" t="s">
        <v>747</v>
      </c>
      <c r="F825" s="124">
        <v>8</v>
      </c>
      <c r="H825" s="124">
        <v>305</v>
      </c>
      <c r="I825" s="128" t="s">
        <v>748</v>
      </c>
      <c r="O825" s="124">
        <v>1</v>
      </c>
      <c r="P825" s="124" t="s">
        <v>1789</v>
      </c>
      <c r="R825" s="124" t="s">
        <v>1790</v>
      </c>
      <c r="W825" s="124" t="s">
        <v>1791</v>
      </c>
      <c r="X825" s="124" t="s">
        <v>484</v>
      </c>
      <c r="Y825" s="124">
        <v>103</v>
      </c>
      <c r="AA825" s="124" t="s">
        <v>589</v>
      </c>
    </row>
    <row r="826" spans="1:34" s="124" customFormat="1">
      <c r="I826" s="127"/>
    </row>
    <row r="827" spans="1:34" s="124" customFormat="1">
      <c r="A827" s="124">
        <v>51450</v>
      </c>
      <c r="B827" s="124" t="s">
        <v>1792</v>
      </c>
      <c r="C827" s="124">
        <v>5</v>
      </c>
      <c r="E827" s="124" t="s">
        <v>716</v>
      </c>
      <c r="F827" s="124">
        <v>1</v>
      </c>
      <c r="G827" s="124" t="s">
        <v>1793</v>
      </c>
      <c r="H827" s="124">
        <v>302</v>
      </c>
      <c r="I827" s="128" t="s">
        <v>1429</v>
      </c>
      <c r="J827" s="124">
        <v>1</v>
      </c>
      <c r="K827" s="124">
        <v>10591</v>
      </c>
      <c r="L827" s="124">
        <v>410592</v>
      </c>
      <c r="M827" s="124">
        <v>5</v>
      </c>
      <c r="N827" s="124">
        <v>28</v>
      </c>
      <c r="S827" s="124" t="s">
        <v>1794</v>
      </c>
      <c r="T827" s="124" t="s">
        <v>1795</v>
      </c>
      <c r="U827" s="124" t="s">
        <v>1796</v>
      </c>
      <c r="W827" s="124">
        <v>2</v>
      </c>
      <c r="X827" s="124" t="s">
        <v>484</v>
      </c>
      <c r="Y827" s="124">
        <v>21</v>
      </c>
      <c r="Z827" s="124">
        <v>7</v>
      </c>
      <c r="AA827" s="124" t="s">
        <v>488</v>
      </c>
      <c r="AB827" s="124" t="s">
        <v>1797</v>
      </c>
      <c r="AC827" s="124">
        <v>6</v>
      </c>
      <c r="AD827" s="124" t="s">
        <v>1798</v>
      </c>
      <c r="AE827" s="124" t="s">
        <v>1799</v>
      </c>
      <c r="AF827" s="124" t="s">
        <v>1800</v>
      </c>
      <c r="AG827" s="124" t="s">
        <v>1801</v>
      </c>
      <c r="AH827" s="124" t="s">
        <v>1802</v>
      </c>
    </row>
    <row r="828" spans="1:34" s="124" customFormat="1">
      <c r="A828" s="124">
        <v>43310</v>
      </c>
      <c r="B828" s="124" t="s">
        <v>1803</v>
      </c>
      <c r="C828" s="124">
        <v>4</v>
      </c>
      <c r="D828" s="124">
        <v>0</v>
      </c>
      <c r="E828" s="124" t="s">
        <v>1804</v>
      </c>
      <c r="F828" s="124">
        <v>3</v>
      </c>
      <c r="G828" s="124" t="s">
        <v>1805</v>
      </c>
      <c r="H828" s="124">
        <v>304</v>
      </c>
      <c r="I828" s="128" t="s">
        <v>1806</v>
      </c>
      <c r="J828" s="124">
        <v>1</v>
      </c>
      <c r="K828" s="124">
        <v>30551</v>
      </c>
      <c r="L828" s="124">
        <v>430554</v>
      </c>
      <c r="M828" s="124">
        <v>39</v>
      </c>
      <c r="N828" s="124">
        <v>53</v>
      </c>
      <c r="Q828" s="124">
        <v>0</v>
      </c>
      <c r="S828" s="124" t="s">
        <v>1807</v>
      </c>
      <c r="T828" s="124" t="s">
        <v>1808</v>
      </c>
      <c r="U828" s="124" t="s">
        <v>1809</v>
      </c>
      <c r="W828" s="124">
        <v>2</v>
      </c>
      <c r="X828" s="124" t="s">
        <v>547</v>
      </c>
      <c r="Y828" s="124">
        <v>8</v>
      </c>
      <c r="Z828" s="124">
        <v>3</v>
      </c>
      <c r="AA828" s="124" t="s">
        <v>565</v>
      </c>
      <c r="AB828" s="124" t="s">
        <v>1810</v>
      </c>
      <c r="AC828" s="124">
        <v>7</v>
      </c>
      <c r="AD828" s="124" t="s">
        <v>1811</v>
      </c>
      <c r="AE828" s="124" t="s">
        <v>1812</v>
      </c>
      <c r="AF828" s="124" t="s">
        <v>1813</v>
      </c>
      <c r="AG828" s="124" t="s">
        <v>1814</v>
      </c>
      <c r="AH828" s="124" t="s">
        <v>1815</v>
      </c>
    </row>
    <row r="829" spans="1:34" s="124" customFormat="1" ht="14.25" customHeight="1">
      <c r="A829" s="124">
        <v>52430</v>
      </c>
      <c r="B829" s="124" t="s">
        <v>1816</v>
      </c>
      <c r="C829" s="124">
        <v>5</v>
      </c>
      <c r="E829" s="124" t="s">
        <v>1817</v>
      </c>
      <c r="F829" s="124">
        <v>2</v>
      </c>
      <c r="G829" s="124" t="s">
        <v>1818</v>
      </c>
      <c r="H829" s="124">
        <v>303</v>
      </c>
      <c r="I829" s="127" t="s">
        <v>1819</v>
      </c>
      <c r="J829" s="124">
        <v>1</v>
      </c>
      <c r="K829" s="124">
        <v>20541</v>
      </c>
      <c r="L829" s="124">
        <v>420544</v>
      </c>
      <c r="M829" s="124">
        <v>14</v>
      </c>
      <c r="N829" s="124">
        <v>41</v>
      </c>
      <c r="Q829" s="124">
        <v>1</v>
      </c>
      <c r="S829" s="124" t="s">
        <v>1820</v>
      </c>
      <c r="T829" s="124" t="s">
        <v>1821</v>
      </c>
      <c r="U829" s="124" t="s">
        <v>1822</v>
      </c>
      <c r="W829" s="124">
        <v>5</v>
      </c>
      <c r="X829" s="124" t="s">
        <v>549</v>
      </c>
      <c r="Y829" s="124">
        <v>9</v>
      </c>
      <c r="Z829" s="124">
        <v>4</v>
      </c>
      <c r="AA829" s="124" t="s">
        <v>563</v>
      </c>
      <c r="AB829" s="124" t="s">
        <v>1823</v>
      </c>
      <c r="AC829" s="124">
        <v>4</v>
      </c>
      <c r="AD829" s="124" t="s">
        <v>1824</v>
      </c>
      <c r="AE829" s="124" t="s">
        <v>1825</v>
      </c>
      <c r="AF829" s="124" t="s">
        <v>1826</v>
      </c>
      <c r="AG829" s="124" t="s">
        <v>1827</v>
      </c>
      <c r="AH829" s="124" t="s">
        <v>1828</v>
      </c>
    </row>
    <row r="830" spans="1:34" s="124" customFormat="1" ht="14.25" customHeight="1">
      <c r="A830" s="124">
        <v>41350</v>
      </c>
      <c r="B830" s="124" t="s">
        <v>1829</v>
      </c>
      <c r="C830" s="124">
        <v>4</v>
      </c>
      <c r="D830" s="124">
        <v>2</v>
      </c>
      <c r="E830" s="124" t="s">
        <v>1830</v>
      </c>
      <c r="F830" s="124">
        <v>1</v>
      </c>
      <c r="G830" s="124" t="s">
        <v>3567</v>
      </c>
      <c r="H830" s="124">
        <v>301</v>
      </c>
      <c r="I830" s="127" t="s">
        <v>1831</v>
      </c>
      <c r="J830" s="124">
        <v>1</v>
      </c>
      <c r="K830" s="124">
        <v>10561</v>
      </c>
      <c r="L830" s="124">
        <v>410562</v>
      </c>
      <c r="M830" s="124">
        <v>20</v>
      </c>
      <c r="N830" s="124">
        <v>34</v>
      </c>
      <c r="S830" s="124" t="s">
        <v>3568</v>
      </c>
      <c r="T830" s="124" t="s">
        <v>3569</v>
      </c>
      <c r="U830" s="124" t="s">
        <v>742</v>
      </c>
      <c r="W830" s="124">
        <v>6</v>
      </c>
      <c r="X830" s="124" t="s">
        <v>545</v>
      </c>
      <c r="Y830" s="124">
        <v>6</v>
      </c>
      <c r="Z830" s="124">
        <v>3</v>
      </c>
      <c r="AA830" s="124" t="s">
        <v>472</v>
      </c>
      <c r="AB830" s="124" t="s">
        <v>1832</v>
      </c>
      <c r="AC830" s="124">
        <v>4</v>
      </c>
      <c r="AD830" s="124" t="s">
        <v>1833</v>
      </c>
      <c r="AE830" s="124" t="s">
        <v>1834</v>
      </c>
      <c r="AF830" s="124" t="s">
        <v>1835</v>
      </c>
      <c r="AG830" s="124" t="s">
        <v>1836</v>
      </c>
      <c r="AH830" s="124" t="s">
        <v>1837</v>
      </c>
    </row>
    <row r="831" spans="1:34" s="124" customFormat="1" ht="14.25" customHeight="1">
      <c r="A831" s="124">
        <v>31630</v>
      </c>
      <c r="B831" s="124" t="s">
        <v>1838</v>
      </c>
      <c r="C831" s="124">
        <v>3</v>
      </c>
      <c r="E831" s="124" t="s">
        <v>1830</v>
      </c>
      <c r="F831" s="124">
        <v>1</v>
      </c>
      <c r="G831" s="124" t="s">
        <v>1839</v>
      </c>
      <c r="H831" s="124">
        <v>301</v>
      </c>
      <c r="I831" s="127" t="s">
        <v>1831</v>
      </c>
      <c r="J831" s="124">
        <v>1</v>
      </c>
      <c r="K831" s="124">
        <v>10561</v>
      </c>
      <c r="L831" s="124">
        <v>410562</v>
      </c>
      <c r="M831" s="124">
        <v>20</v>
      </c>
      <c r="N831" s="124">
        <v>34</v>
      </c>
      <c r="T831" s="124" t="s">
        <v>1840</v>
      </c>
      <c r="U831" s="124" t="s">
        <v>1841</v>
      </c>
      <c r="W831" s="124">
        <v>6</v>
      </c>
      <c r="X831" s="124" t="s">
        <v>512</v>
      </c>
      <c r="Y831" s="124">
        <v>3</v>
      </c>
      <c r="Z831" s="124">
        <v>2</v>
      </c>
      <c r="AA831" s="124" t="s">
        <v>443</v>
      </c>
      <c r="AB831" s="124" t="s">
        <v>1832</v>
      </c>
      <c r="AC831" s="124">
        <v>4</v>
      </c>
      <c r="AD831" s="124" t="s">
        <v>1833</v>
      </c>
      <c r="AE831" s="124" t="s">
        <v>1834</v>
      </c>
      <c r="AF831" s="124" t="s">
        <v>1835</v>
      </c>
      <c r="AG831" s="124" t="s">
        <v>1836</v>
      </c>
      <c r="AH831" s="124" t="s">
        <v>1837</v>
      </c>
    </row>
    <row r="832" spans="1:34" s="124" customFormat="1"/>
    <row r="833" spans="1:34" s="124" customFormat="1">
      <c r="A833" s="124">
        <v>33640</v>
      </c>
      <c r="B833" s="124" t="s">
        <v>1842</v>
      </c>
      <c r="C833" s="124">
        <v>3</v>
      </c>
      <c r="E833" s="124" t="s">
        <v>1843</v>
      </c>
      <c r="F833" s="124">
        <v>3</v>
      </c>
      <c r="G833" s="124" t="s">
        <v>1844</v>
      </c>
      <c r="H833" s="124">
        <v>301</v>
      </c>
      <c r="I833" s="128" t="s">
        <v>1845</v>
      </c>
      <c r="J833" s="124">
        <v>0</v>
      </c>
      <c r="T833" s="124" t="s">
        <v>1846</v>
      </c>
      <c r="U833" s="124" t="s">
        <v>1847</v>
      </c>
      <c r="W833" s="124">
        <v>3</v>
      </c>
      <c r="X833" s="124" t="s">
        <v>545</v>
      </c>
      <c r="Y833" s="124">
        <v>20</v>
      </c>
      <c r="Z833" s="124">
        <v>8</v>
      </c>
      <c r="AA833" s="124" t="s">
        <v>565</v>
      </c>
    </row>
    <row r="834" spans="1:34" s="124" customFormat="1">
      <c r="A834" s="124">
        <v>42320</v>
      </c>
      <c r="B834" s="124" t="s">
        <v>1848</v>
      </c>
      <c r="C834" s="124">
        <v>4</v>
      </c>
      <c r="E834" s="124" t="s">
        <v>1849</v>
      </c>
      <c r="F834" s="124">
        <v>2</v>
      </c>
      <c r="G834" s="124" t="s">
        <v>1850</v>
      </c>
      <c r="H834" s="124">
        <v>301</v>
      </c>
      <c r="I834" s="128" t="s">
        <v>1851</v>
      </c>
      <c r="J834" s="124">
        <v>1</v>
      </c>
      <c r="K834" s="124">
        <v>20551</v>
      </c>
      <c r="L834" s="124">
        <v>420554</v>
      </c>
      <c r="M834" s="124">
        <v>8</v>
      </c>
      <c r="N834" s="124">
        <v>31</v>
      </c>
      <c r="S834" s="124" t="s">
        <v>1852</v>
      </c>
      <c r="T834" s="124" t="s">
        <v>1853</v>
      </c>
      <c r="U834" s="124" t="s">
        <v>1854</v>
      </c>
      <c r="W834" s="124">
        <v>4</v>
      </c>
      <c r="X834" s="124" t="s">
        <v>484</v>
      </c>
      <c r="Y834" s="124">
        <v>17</v>
      </c>
      <c r="Z834" s="124">
        <v>9</v>
      </c>
      <c r="AA834" s="124" t="s">
        <v>561</v>
      </c>
      <c r="AB834" s="124" t="s">
        <v>1855</v>
      </c>
      <c r="AC834" s="124">
        <v>4</v>
      </c>
      <c r="AD834" s="124" t="s">
        <v>1856</v>
      </c>
      <c r="AE834" s="124" t="s">
        <v>1857</v>
      </c>
      <c r="AF834" s="124" t="s">
        <v>1858</v>
      </c>
      <c r="AG834" s="124" t="s">
        <v>1859</v>
      </c>
      <c r="AH834" s="124" t="s">
        <v>1860</v>
      </c>
    </row>
    <row r="835" spans="1:34" s="124" customFormat="1">
      <c r="A835" s="124">
        <v>44350</v>
      </c>
      <c r="B835" s="124" t="s">
        <v>1861</v>
      </c>
      <c r="C835" s="124">
        <v>4</v>
      </c>
      <c r="E835" s="124" t="s">
        <v>1849</v>
      </c>
      <c r="F835" s="124">
        <v>4</v>
      </c>
      <c r="G835" s="124" t="s">
        <v>1862</v>
      </c>
      <c r="H835" s="124">
        <v>306</v>
      </c>
      <c r="I835" s="128" t="s">
        <v>1851</v>
      </c>
      <c r="J835" s="124">
        <v>1</v>
      </c>
      <c r="K835" s="124">
        <v>40561</v>
      </c>
      <c r="L835" s="124">
        <v>440563</v>
      </c>
      <c r="M835" s="124">
        <v>21</v>
      </c>
      <c r="N835" s="124">
        <v>43</v>
      </c>
      <c r="S835" s="124" t="s">
        <v>1863</v>
      </c>
      <c r="T835" s="124" t="s">
        <v>1864</v>
      </c>
      <c r="U835" s="124" t="s">
        <v>1865</v>
      </c>
      <c r="W835" s="124">
        <v>4</v>
      </c>
      <c r="X835" s="124" t="s">
        <v>556</v>
      </c>
      <c r="Y835" s="124">
        <v>16</v>
      </c>
      <c r="Z835" s="124">
        <v>9</v>
      </c>
      <c r="AA835" s="124" t="s">
        <v>585</v>
      </c>
      <c r="AB835" s="124" t="s">
        <v>1866</v>
      </c>
      <c r="AC835" s="124">
        <v>4</v>
      </c>
      <c r="AD835" s="124" t="s">
        <v>1867</v>
      </c>
      <c r="AE835" s="124" t="s">
        <v>1868</v>
      </c>
      <c r="AF835" s="124" t="s">
        <v>1869</v>
      </c>
      <c r="AG835" s="124" t="s">
        <v>1870</v>
      </c>
      <c r="AH835" s="124" t="s">
        <v>1871</v>
      </c>
    </row>
    <row r="836" spans="1:34" s="124" customFormat="1" ht="15.75" customHeight="1">
      <c r="A836" s="124">
        <v>51440</v>
      </c>
      <c r="B836" s="124" t="s">
        <v>1872</v>
      </c>
      <c r="C836" s="124">
        <v>5</v>
      </c>
      <c r="E836" s="124" t="s">
        <v>1849</v>
      </c>
      <c r="F836" s="124">
        <v>1</v>
      </c>
      <c r="G836" s="146" t="s">
        <v>1873</v>
      </c>
      <c r="H836" s="124">
        <v>302</v>
      </c>
      <c r="I836" s="128" t="s">
        <v>1851</v>
      </c>
      <c r="J836" s="124">
        <v>1</v>
      </c>
      <c r="K836" s="124">
        <v>10541</v>
      </c>
      <c r="L836" s="124">
        <v>410543</v>
      </c>
      <c r="M836" s="124">
        <v>67</v>
      </c>
      <c r="N836" s="124">
        <v>93</v>
      </c>
      <c r="S836" s="124" t="s">
        <v>1874</v>
      </c>
      <c r="T836" s="124" t="s">
        <v>1875</v>
      </c>
      <c r="U836" s="124" t="s">
        <v>1876</v>
      </c>
      <c r="W836" s="124">
        <v>4</v>
      </c>
      <c r="X836" s="124" t="s">
        <v>560</v>
      </c>
      <c r="Y836" s="124">
        <v>18</v>
      </c>
      <c r="Z836" s="124">
        <v>9</v>
      </c>
      <c r="AA836" s="124" t="s">
        <v>537</v>
      </c>
      <c r="AB836" s="124" t="s">
        <v>1877</v>
      </c>
      <c r="AC836" s="124">
        <v>4</v>
      </c>
      <c r="AD836" s="124" t="s">
        <v>1878</v>
      </c>
      <c r="AE836" s="124" t="s">
        <v>1879</v>
      </c>
      <c r="AF836" s="124" t="s">
        <v>1880</v>
      </c>
      <c r="AG836" s="124" t="s">
        <v>1881</v>
      </c>
      <c r="AH836" s="124" t="s">
        <v>1882</v>
      </c>
    </row>
    <row r="837" spans="1:34" s="124" customFormat="1" ht="17.25" customHeight="1">
      <c r="A837" s="124">
        <v>53450</v>
      </c>
      <c r="B837" s="124" t="s">
        <v>1883</v>
      </c>
      <c r="C837" s="124">
        <v>5</v>
      </c>
      <c r="E837" s="124" t="s">
        <v>1849</v>
      </c>
      <c r="F837" s="124">
        <v>3</v>
      </c>
      <c r="G837" s="124" t="s">
        <v>1884</v>
      </c>
      <c r="H837" s="124">
        <v>302</v>
      </c>
      <c r="I837" s="128" t="s">
        <v>1851</v>
      </c>
      <c r="J837" s="124">
        <v>1</v>
      </c>
      <c r="K837" s="124">
        <v>30481</v>
      </c>
      <c r="L837" s="124">
        <v>430482</v>
      </c>
      <c r="M837" s="124">
        <v>39</v>
      </c>
      <c r="N837" s="124">
        <v>65</v>
      </c>
      <c r="S837" s="124" t="s">
        <v>1885</v>
      </c>
      <c r="T837" s="124" t="s">
        <v>1886</v>
      </c>
      <c r="U837" s="124" t="s">
        <v>1887</v>
      </c>
      <c r="W837" s="124">
        <v>4</v>
      </c>
      <c r="X837" s="124" t="s">
        <v>531</v>
      </c>
      <c r="Y837" s="124">
        <v>20</v>
      </c>
      <c r="Z837" s="124">
        <v>9</v>
      </c>
      <c r="AA837" s="124" t="s">
        <v>574</v>
      </c>
      <c r="AB837" s="124" t="s">
        <v>1888</v>
      </c>
      <c r="AC837" s="124">
        <v>4</v>
      </c>
      <c r="AD837" s="124" t="s">
        <v>1889</v>
      </c>
      <c r="AE837" s="124" t="s">
        <v>1890</v>
      </c>
      <c r="AF837" s="124" t="s">
        <v>1891</v>
      </c>
      <c r="AG837" s="124" t="s">
        <v>1892</v>
      </c>
      <c r="AH837" s="124" t="s">
        <v>1893</v>
      </c>
    </row>
    <row r="838" spans="1:34" s="124" customFormat="1" ht="14.25" customHeight="1">
      <c r="A838" s="124">
        <v>31610</v>
      </c>
      <c r="B838" s="124" t="s">
        <v>1894</v>
      </c>
      <c r="C838" s="124">
        <v>3</v>
      </c>
      <c r="E838" s="124" t="s">
        <v>1895</v>
      </c>
      <c r="F838" s="124">
        <v>1</v>
      </c>
      <c r="G838" s="124" t="s">
        <v>1896</v>
      </c>
      <c r="H838" s="124">
        <v>308</v>
      </c>
      <c r="I838" s="128" t="s">
        <v>1851</v>
      </c>
      <c r="J838" s="124">
        <v>0</v>
      </c>
      <c r="P838" s="127" t="s">
        <v>1897</v>
      </c>
      <c r="T838" s="124" t="s">
        <v>1898</v>
      </c>
      <c r="U838" s="124" t="s">
        <v>1899</v>
      </c>
      <c r="W838" s="124">
        <v>7</v>
      </c>
      <c r="X838" s="124" t="s">
        <v>562</v>
      </c>
      <c r="Y838" s="124">
        <v>1</v>
      </c>
      <c r="Z838" s="124">
        <v>4</v>
      </c>
      <c r="AA838" s="124" t="s">
        <v>472</v>
      </c>
    </row>
    <row r="839" spans="1:34" s="124" customFormat="1">
      <c r="A839" s="124">
        <v>32600</v>
      </c>
      <c r="B839" s="124" t="s">
        <v>1900</v>
      </c>
      <c r="C839" s="124">
        <v>3</v>
      </c>
      <c r="E839" s="124" t="s">
        <v>1895</v>
      </c>
      <c r="F839" s="124">
        <v>2</v>
      </c>
      <c r="G839" s="124" t="s">
        <v>1901</v>
      </c>
      <c r="H839" s="124">
        <v>308</v>
      </c>
      <c r="I839" s="128" t="s">
        <v>1851</v>
      </c>
      <c r="J839" s="124">
        <v>0</v>
      </c>
      <c r="P839" s="127" t="s">
        <v>1902</v>
      </c>
      <c r="T839" s="124" t="s">
        <v>1903</v>
      </c>
      <c r="U839" s="124" t="s">
        <v>1904</v>
      </c>
      <c r="W839" s="124">
        <v>7</v>
      </c>
      <c r="X839" s="124" t="s">
        <v>556</v>
      </c>
      <c r="Y839" s="124">
        <v>3</v>
      </c>
      <c r="Z839" s="124">
        <v>2</v>
      </c>
      <c r="AA839" s="124" t="s">
        <v>546</v>
      </c>
    </row>
    <row r="840" spans="1:34" s="124" customFormat="1">
      <c r="A840" s="124">
        <v>33630</v>
      </c>
      <c r="B840" s="124" t="s">
        <v>1905</v>
      </c>
      <c r="C840" s="124">
        <v>3</v>
      </c>
      <c r="E840" s="124" t="s">
        <v>1895</v>
      </c>
      <c r="F840" s="124">
        <v>3</v>
      </c>
      <c r="G840" s="124" t="s">
        <v>1906</v>
      </c>
      <c r="H840" s="124">
        <v>308</v>
      </c>
      <c r="I840" s="128" t="s">
        <v>1851</v>
      </c>
      <c r="J840" s="124">
        <v>0</v>
      </c>
      <c r="P840" s="127" t="s">
        <v>1907</v>
      </c>
      <c r="T840" s="124" t="s">
        <v>1908</v>
      </c>
      <c r="U840" s="124" t="s">
        <v>1909</v>
      </c>
      <c r="W840" s="124">
        <v>7</v>
      </c>
      <c r="X840" s="124" t="s">
        <v>564</v>
      </c>
      <c r="Y840" s="124">
        <v>2</v>
      </c>
      <c r="Z840" s="124">
        <v>2</v>
      </c>
      <c r="AA840" s="124" t="s">
        <v>571</v>
      </c>
    </row>
    <row r="841" spans="1:34" s="124" customFormat="1">
      <c r="A841" s="124">
        <v>34650</v>
      </c>
      <c r="B841" s="124" t="s">
        <v>1910</v>
      </c>
      <c r="C841" s="124">
        <v>3</v>
      </c>
      <c r="E841" s="124" t="s">
        <v>1895</v>
      </c>
      <c r="F841" s="124">
        <v>4</v>
      </c>
      <c r="G841" s="124" t="s">
        <v>1911</v>
      </c>
      <c r="H841" s="124">
        <v>308</v>
      </c>
      <c r="I841" s="128" t="s">
        <v>1851</v>
      </c>
      <c r="J841" s="124">
        <v>0</v>
      </c>
      <c r="P841" s="127" t="s">
        <v>1912</v>
      </c>
      <c r="T841" s="124" t="s">
        <v>1913</v>
      </c>
      <c r="U841" s="124" t="s">
        <v>1914</v>
      </c>
      <c r="W841" s="124">
        <v>7</v>
      </c>
      <c r="X841" s="124" t="s">
        <v>531</v>
      </c>
      <c r="Y841" s="124">
        <v>5</v>
      </c>
      <c r="Z841" s="124">
        <v>2</v>
      </c>
      <c r="AA841" s="124" t="s">
        <v>579</v>
      </c>
    </row>
    <row r="842" spans="1:34" s="124" customFormat="1">
      <c r="A842" s="124">
        <v>38120</v>
      </c>
      <c r="B842" s="124" t="s">
        <v>1915</v>
      </c>
      <c r="C842" s="124">
        <v>3</v>
      </c>
      <c r="E842" s="124" t="s">
        <v>1895</v>
      </c>
      <c r="F842" s="124">
        <v>8</v>
      </c>
      <c r="G842" s="124" t="s">
        <v>1916</v>
      </c>
      <c r="H842" s="124">
        <v>308</v>
      </c>
      <c r="I842" s="128" t="s">
        <v>1851</v>
      </c>
      <c r="J842" s="124">
        <v>0</v>
      </c>
      <c r="O842" s="124">
        <v>1</v>
      </c>
      <c r="P842" s="127" t="s">
        <v>1917</v>
      </c>
      <c r="T842" s="124" t="s">
        <v>1918</v>
      </c>
      <c r="U842" s="124" t="s">
        <v>1919</v>
      </c>
      <c r="W842" s="124">
        <v>7</v>
      </c>
      <c r="X842" s="124" t="s">
        <v>558</v>
      </c>
      <c r="Y842" s="124">
        <v>4</v>
      </c>
      <c r="Z842" s="124">
        <v>5</v>
      </c>
      <c r="AA842" s="124" t="s">
        <v>588</v>
      </c>
    </row>
    <row r="843" spans="1:34" s="124" customFormat="1">
      <c r="A843" s="124">
        <v>74090</v>
      </c>
      <c r="B843" s="124" t="s">
        <v>1920</v>
      </c>
      <c r="C843" s="124">
        <v>7</v>
      </c>
      <c r="E843" s="124" t="s">
        <v>706</v>
      </c>
      <c r="F843" s="124">
        <v>4</v>
      </c>
      <c r="G843" s="124" t="s">
        <v>1921</v>
      </c>
      <c r="H843" s="124">
        <v>305</v>
      </c>
      <c r="I843" s="128" t="s">
        <v>1851</v>
      </c>
      <c r="J843" s="124">
        <v>1</v>
      </c>
      <c r="K843" s="124">
        <v>40591</v>
      </c>
      <c r="T843" s="124" t="s">
        <v>1922</v>
      </c>
      <c r="U843" s="124" t="s">
        <v>1923</v>
      </c>
      <c r="V843" s="124">
        <v>0</v>
      </c>
      <c r="W843" s="124">
        <v>5</v>
      </c>
      <c r="X843" s="124" t="s">
        <v>512</v>
      </c>
      <c r="Y843" s="124">
        <v>225</v>
      </c>
      <c r="Z843" s="124">
        <v>0</v>
      </c>
      <c r="AA843" s="124" t="s">
        <v>587</v>
      </c>
      <c r="AB843" s="124" t="s">
        <v>1924</v>
      </c>
      <c r="AC843" s="124">
        <v>6</v>
      </c>
      <c r="AD843" s="124" t="s">
        <v>1925</v>
      </c>
      <c r="AE843" s="124" t="s">
        <v>1926</v>
      </c>
      <c r="AF843" s="124" t="s">
        <v>1927</v>
      </c>
      <c r="AG843" s="124" t="s">
        <v>1928</v>
      </c>
      <c r="AH843" s="124" t="s">
        <v>1929</v>
      </c>
    </row>
    <row r="844" spans="1:34" s="124" customFormat="1" ht="14.25" customHeight="1">
      <c r="A844" s="124">
        <v>840109</v>
      </c>
      <c r="B844" s="124" t="s">
        <v>1930</v>
      </c>
      <c r="C844" s="124">
        <v>8</v>
      </c>
      <c r="E844" s="124" t="s">
        <v>747</v>
      </c>
      <c r="F844" s="124">
        <v>4</v>
      </c>
      <c r="H844" s="124">
        <v>303</v>
      </c>
      <c r="I844" s="128" t="s">
        <v>748</v>
      </c>
      <c r="R844" s="124" t="s">
        <v>1931</v>
      </c>
      <c r="W844" s="124" t="s">
        <v>1932</v>
      </c>
      <c r="X844" s="124" t="s">
        <v>568</v>
      </c>
      <c r="Y844" s="124">
        <v>111</v>
      </c>
      <c r="AA844" s="124" t="s">
        <v>587</v>
      </c>
    </row>
    <row r="845" spans="1:34" s="124" customFormat="1" ht="14.25" customHeight="1">
      <c r="A845" s="124">
        <v>840209</v>
      </c>
      <c r="B845" s="124" t="s">
        <v>1933</v>
      </c>
      <c r="C845" s="124">
        <v>8</v>
      </c>
      <c r="E845" s="124" t="s">
        <v>747</v>
      </c>
      <c r="F845" s="124">
        <v>4</v>
      </c>
      <c r="H845" s="124">
        <v>302</v>
      </c>
      <c r="I845" s="128" t="s">
        <v>748</v>
      </c>
      <c r="R845" s="124" t="s">
        <v>1934</v>
      </c>
      <c r="W845" s="124" t="s">
        <v>1935</v>
      </c>
      <c r="X845" s="124" t="s">
        <v>549</v>
      </c>
      <c r="Y845" s="124">
        <v>112</v>
      </c>
      <c r="AA845" s="124" t="s">
        <v>587</v>
      </c>
    </row>
    <row r="846" spans="1:34" s="124" customFormat="1" ht="14.25" customHeight="1">
      <c r="A846" s="124">
        <v>840309</v>
      </c>
      <c r="B846" s="124" t="s">
        <v>1936</v>
      </c>
      <c r="C846" s="124">
        <v>8</v>
      </c>
      <c r="E846" s="124" t="s">
        <v>747</v>
      </c>
      <c r="F846" s="124">
        <v>4</v>
      </c>
      <c r="H846" s="124">
        <v>305</v>
      </c>
      <c r="I846" s="128" t="s">
        <v>748</v>
      </c>
      <c r="R846" s="124" t="s">
        <v>1937</v>
      </c>
      <c r="W846" s="124" t="s">
        <v>1938</v>
      </c>
      <c r="X846" s="124" t="s">
        <v>468</v>
      </c>
      <c r="Y846" s="124">
        <v>113</v>
      </c>
      <c r="AA846" s="124" t="s">
        <v>587</v>
      </c>
    </row>
    <row r="847" spans="1:34" s="124" customFormat="1" ht="14.25" customHeight="1">
      <c r="A847" s="124">
        <v>840409</v>
      </c>
      <c r="B847" s="124" t="s">
        <v>1939</v>
      </c>
      <c r="C847" s="124">
        <v>8</v>
      </c>
      <c r="E847" s="124" t="s">
        <v>747</v>
      </c>
      <c r="F847" s="124">
        <v>4</v>
      </c>
      <c r="H847" s="124">
        <v>307</v>
      </c>
      <c r="I847" s="128" t="s">
        <v>748</v>
      </c>
      <c r="R847" s="124" t="s">
        <v>1940</v>
      </c>
      <c r="W847" s="124" t="s">
        <v>1941</v>
      </c>
      <c r="X847" s="124" t="s">
        <v>560</v>
      </c>
      <c r="Y847" s="124">
        <v>114</v>
      </c>
      <c r="AA847" s="124" t="s">
        <v>587</v>
      </c>
    </row>
    <row r="848" spans="1:34" s="124" customFormat="1" ht="14.25" customHeight="1">
      <c r="A848" s="124">
        <v>840509</v>
      </c>
      <c r="B848" s="124" t="s">
        <v>1942</v>
      </c>
      <c r="C848" s="124">
        <v>8</v>
      </c>
      <c r="E848" s="124" t="s">
        <v>747</v>
      </c>
      <c r="F848" s="124">
        <v>4</v>
      </c>
      <c r="H848" s="124">
        <v>307</v>
      </c>
      <c r="I848" s="128" t="s">
        <v>748</v>
      </c>
      <c r="R848" s="124" t="s">
        <v>1943</v>
      </c>
      <c r="W848" s="124" t="s">
        <v>1944</v>
      </c>
      <c r="X848" s="124" t="s">
        <v>512</v>
      </c>
      <c r="Y848" s="124">
        <v>214</v>
      </c>
      <c r="AA848" s="124" t="s">
        <v>587</v>
      </c>
    </row>
    <row r="849" spans="1:42" s="124" customFormat="1" ht="14.25" customHeight="1">
      <c r="A849" s="124">
        <v>840609</v>
      </c>
      <c r="B849" s="124" t="s">
        <v>1945</v>
      </c>
      <c r="C849" s="124">
        <v>8</v>
      </c>
      <c r="E849" s="124" t="s">
        <v>747</v>
      </c>
      <c r="F849" s="124">
        <v>4</v>
      </c>
      <c r="H849" s="124">
        <v>306</v>
      </c>
      <c r="I849" s="128" t="s">
        <v>748</v>
      </c>
      <c r="R849" s="124" t="s">
        <v>1946</v>
      </c>
      <c r="W849" s="124" t="s">
        <v>1947</v>
      </c>
      <c r="X849" s="124" t="s">
        <v>562</v>
      </c>
      <c r="Y849" s="124">
        <v>215</v>
      </c>
      <c r="AA849" s="124" t="s">
        <v>587</v>
      </c>
    </row>
    <row r="850" spans="1:42" s="124" customFormat="1" ht="14.25" customHeight="1">
      <c r="A850" s="124">
        <v>840709</v>
      </c>
      <c r="B850" s="124" t="s">
        <v>1948</v>
      </c>
      <c r="C850" s="124">
        <v>8</v>
      </c>
      <c r="E850" s="124" t="s">
        <v>747</v>
      </c>
      <c r="F850" s="124">
        <v>4</v>
      </c>
      <c r="H850" s="124">
        <v>304</v>
      </c>
      <c r="I850" s="128" t="s">
        <v>748</v>
      </c>
      <c r="R850" s="124" t="s">
        <v>1949</v>
      </c>
      <c r="W850" s="124" t="s">
        <v>1950</v>
      </c>
      <c r="X850" s="124" t="s">
        <v>499</v>
      </c>
      <c r="Y850" s="124">
        <v>216</v>
      </c>
      <c r="AA850" s="124" t="s">
        <v>587</v>
      </c>
    </row>
    <row r="851" spans="1:42" s="124" customFormat="1" ht="14.25" customHeight="1">
      <c r="A851" s="124">
        <v>840809</v>
      </c>
      <c r="B851" s="124" t="s">
        <v>1951</v>
      </c>
      <c r="C851" s="124">
        <v>8</v>
      </c>
      <c r="E851" s="124" t="s">
        <v>747</v>
      </c>
      <c r="F851" s="124">
        <v>4</v>
      </c>
      <c r="H851" s="124">
        <v>301</v>
      </c>
      <c r="I851" s="128" t="s">
        <v>748</v>
      </c>
      <c r="R851" s="124" t="s">
        <v>1952</v>
      </c>
      <c r="W851" s="124" t="s">
        <v>1953</v>
      </c>
      <c r="X851" s="124" t="s">
        <v>452</v>
      </c>
      <c r="Y851" s="124">
        <v>217</v>
      </c>
      <c r="AA851" s="124" t="s">
        <v>587</v>
      </c>
    </row>
    <row r="852" spans="1:42" s="124" customFormat="1" ht="14.25" customHeight="1">
      <c r="I852" s="127"/>
    </row>
    <row r="853" spans="1:42" s="124" customFormat="1" ht="15.75" customHeight="1">
      <c r="A853" s="124">
        <v>31600</v>
      </c>
      <c r="B853" s="124" t="s">
        <v>1954</v>
      </c>
      <c r="C853" s="124">
        <v>3</v>
      </c>
      <c r="E853" s="124" t="s">
        <v>1955</v>
      </c>
      <c r="F853" s="124">
        <v>1</v>
      </c>
      <c r="G853" s="124" t="s">
        <v>1956</v>
      </c>
      <c r="H853" s="124">
        <v>303</v>
      </c>
      <c r="I853" s="128" t="s">
        <v>1957</v>
      </c>
      <c r="J853" s="124">
        <v>0</v>
      </c>
      <c r="T853" s="124" t="s">
        <v>1958</v>
      </c>
      <c r="U853" s="124" t="s">
        <v>1959</v>
      </c>
      <c r="W853" s="124">
        <v>5</v>
      </c>
      <c r="X853" s="124" t="s">
        <v>556</v>
      </c>
      <c r="Y853" s="124">
        <v>12</v>
      </c>
      <c r="Z853" s="124">
        <v>8</v>
      </c>
      <c r="AA853" s="124" t="s">
        <v>456</v>
      </c>
    </row>
    <row r="854" spans="1:42" s="124" customFormat="1">
      <c r="A854" s="124">
        <v>32590</v>
      </c>
      <c r="B854" s="124" t="s">
        <v>1960</v>
      </c>
      <c r="C854" s="124">
        <v>3</v>
      </c>
      <c r="E854" s="124" t="s">
        <v>1955</v>
      </c>
      <c r="F854" s="124">
        <v>2</v>
      </c>
      <c r="G854" s="124" t="s">
        <v>1961</v>
      </c>
      <c r="H854" s="124">
        <v>303</v>
      </c>
      <c r="I854" s="128" t="s">
        <v>1957</v>
      </c>
      <c r="J854" s="124">
        <v>0</v>
      </c>
      <c r="T854" s="124" t="s">
        <v>1962</v>
      </c>
      <c r="U854" s="124" t="s">
        <v>1963</v>
      </c>
      <c r="W854" s="124">
        <v>5</v>
      </c>
      <c r="X854" s="124" t="s">
        <v>522</v>
      </c>
      <c r="Y854" s="124">
        <v>14</v>
      </c>
      <c r="Z854" s="124">
        <v>1</v>
      </c>
      <c r="AA854" s="124" t="s">
        <v>554</v>
      </c>
    </row>
    <row r="855" spans="1:42" s="124" customFormat="1">
      <c r="A855" s="124">
        <v>33620</v>
      </c>
      <c r="B855" s="124" t="s">
        <v>1964</v>
      </c>
      <c r="C855" s="124">
        <v>3</v>
      </c>
      <c r="E855" s="124" t="s">
        <v>1955</v>
      </c>
      <c r="F855" s="124">
        <v>3</v>
      </c>
      <c r="G855" s="124" t="s">
        <v>1965</v>
      </c>
      <c r="H855" s="124">
        <v>303</v>
      </c>
      <c r="I855" s="128" t="s">
        <v>1957</v>
      </c>
      <c r="J855" s="124">
        <v>0</v>
      </c>
      <c r="T855" s="124" t="s">
        <v>1966</v>
      </c>
      <c r="U855" s="124" t="s">
        <v>1967</v>
      </c>
      <c r="W855" s="124">
        <v>5</v>
      </c>
      <c r="X855" s="124" t="s">
        <v>512</v>
      </c>
      <c r="Y855" s="124">
        <v>15</v>
      </c>
      <c r="Z855" s="124">
        <v>1</v>
      </c>
      <c r="AA855" s="124" t="s">
        <v>569</v>
      </c>
    </row>
    <row r="856" spans="1:42" s="124" customFormat="1">
      <c r="A856" s="124">
        <v>34640</v>
      </c>
      <c r="B856" s="124" t="s">
        <v>1968</v>
      </c>
      <c r="C856" s="124">
        <v>3</v>
      </c>
      <c r="E856" s="124" t="s">
        <v>1955</v>
      </c>
      <c r="F856" s="124">
        <v>4</v>
      </c>
      <c r="G856" s="124" t="s">
        <v>1969</v>
      </c>
      <c r="H856" s="124">
        <v>303</v>
      </c>
      <c r="I856" s="128" t="s">
        <v>1957</v>
      </c>
      <c r="J856" s="124">
        <v>0</v>
      </c>
      <c r="T856" s="124" t="s">
        <v>1970</v>
      </c>
      <c r="U856" s="124" t="s">
        <v>1971</v>
      </c>
      <c r="W856" s="124">
        <v>5</v>
      </c>
      <c r="X856" s="124" t="s">
        <v>568</v>
      </c>
      <c r="Y856" s="124">
        <v>11</v>
      </c>
      <c r="Z856" s="124">
        <v>7</v>
      </c>
      <c r="AA856" s="124" t="s">
        <v>578</v>
      </c>
    </row>
    <row r="857" spans="1:42" s="124" customFormat="1">
      <c r="A857" s="124">
        <v>38110</v>
      </c>
      <c r="B857" s="124" t="s">
        <v>1972</v>
      </c>
      <c r="C857" s="124">
        <v>3</v>
      </c>
      <c r="E857" s="124" t="s">
        <v>1955</v>
      </c>
      <c r="F857" s="124">
        <v>8</v>
      </c>
      <c r="G857" s="124" t="s">
        <v>1973</v>
      </c>
      <c r="H857" s="124">
        <v>303</v>
      </c>
      <c r="I857" s="128" t="s">
        <v>1957</v>
      </c>
      <c r="J857" s="124">
        <v>0</v>
      </c>
      <c r="O857" s="124">
        <v>1</v>
      </c>
      <c r="T857" s="124" t="s">
        <v>1974</v>
      </c>
      <c r="U857" s="124" t="s">
        <v>1975</v>
      </c>
      <c r="W857" s="124">
        <v>5</v>
      </c>
      <c r="X857" s="124" t="s">
        <v>545</v>
      </c>
      <c r="Y857" s="124">
        <v>16</v>
      </c>
      <c r="Z857" s="124">
        <v>4</v>
      </c>
      <c r="AA857" s="124" t="s">
        <v>588</v>
      </c>
    </row>
    <row r="858" spans="1:42" s="124" customFormat="1">
      <c r="A858" s="124">
        <v>41340</v>
      </c>
      <c r="B858" s="124" t="s">
        <v>1976</v>
      </c>
      <c r="C858" s="124">
        <v>4</v>
      </c>
      <c r="E858" s="124" t="s">
        <v>1157</v>
      </c>
      <c r="F858" s="124">
        <v>1</v>
      </c>
      <c r="G858" s="124" t="s">
        <v>1977</v>
      </c>
      <c r="H858" s="124">
        <v>302</v>
      </c>
      <c r="I858" s="128" t="s">
        <v>1957</v>
      </c>
      <c r="J858" s="124">
        <v>1</v>
      </c>
      <c r="K858" s="124">
        <v>10551</v>
      </c>
      <c r="L858" s="124">
        <v>410553</v>
      </c>
      <c r="M858" s="124">
        <v>22</v>
      </c>
      <c r="N858" s="124">
        <v>51</v>
      </c>
      <c r="S858" s="124" t="s">
        <v>1978</v>
      </c>
      <c r="T858" s="124" t="s">
        <v>1979</v>
      </c>
      <c r="U858" s="124" t="s">
        <v>1980</v>
      </c>
      <c r="W858" s="124">
        <v>7</v>
      </c>
      <c r="X858" s="124" t="s">
        <v>499</v>
      </c>
      <c r="Y858" s="124">
        <v>13</v>
      </c>
      <c r="Z858" s="124">
        <v>5</v>
      </c>
      <c r="AA858" s="124" t="s">
        <v>516</v>
      </c>
      <c r="AB858" s="124" t="s">
        <v>1981</v>
      </c>
      <c r="AC858" s="124">
        <v>6</v>
      </c>
      <c r="AD858" s="124" t="s">
        <v>1982</v>
      </c>
      <c r="AE858" s="124" t="s">
        <v>1983</v>
      </c>
      <c r="AF858" s="124" t="s">
        <v>1984</v>
      </c>
      <c r="AG858" s="124" t="s">
        <v>1985</v>
      </c>
      <c r="AH858" s="124" t="s">
        <v>1986</v>
      </c>
    </row>
    <row r="859" spans="1:42" s="124" customFormat="1">
      <c r="A859" s="124">
        <v>53440</v>
      </c>
      <c r="B859" s="124" t="s">
        <v>1987</v>
      </c>
      <c r="C859" s="124">
        <v>5</v>
      </c>
      <c r="E859" s="124" t="s">
        <v>1157</v>
      </c>
      <c r="F859" s="124">
        <v>3</v>
      </c>
      <c r="G859" s="124" t="s">
        <v>1988</v>
      </c>
      <c r="H859" s="124">
        <v>304</v>
      </c>
      <c r="I859" s="128" t="s">
        <v>1957</v>
      </c>
      <c r="J859" s="124">
        <v>1</v>
      </c>
      <c r="K859" s="124">
        <v>30541</v>
      </c>
      <c r="L859" s="124">
        <v>430543</v>
      </c>
      <c r="M859" s="124">
        <v>1</v>
      </c>
      <c r="N859" s="124">
        <v>20</v>
      </c>
      <c r="S859" s="124" t="s">
        <v>1989</v>
      </c>
      <c r="T859" s="124" t="s">
        <v>1990</v>
      </c>
      <c r="U859" s="124" t="s">
        <v>1991</v>
      </c>
      <c r="W859" s="124">
        <v>6</v>
      </c>
      <c r="X859" s="124" t="s">
        <v>558</v>
      </c>
      <c r="Y859" s="124">
        <v>10</v>
      </c>
      <c r="Z859" s="124">
        <v>7</v>
      </c>
      <c r="AA859" s="124" t="s">
        <v>576</v>
      </c>
      <c r="AB859" s="124" t="s">
        <v>1992</v>
      </c>
      <c r="AC859" s="124">
        <v>6</v>
      </c>
      <c r="AD859" s="124" t="s">
        <v>1993</v>
      </c>
      <c r="AE859" s="124" t="s">
        <v>1994</v>
      </c>
      <c r="AF859" s="124" t="s">
        <v>1995</v>
      </c>
      <c r="AG859" s="124" t="s">
        <v>1996</v>
      </c>
      <c r="AH859" s="124" t="s">
        <v>1997</v>
      </c>
    </row>
    <row r="860" spans="1:42" s="124" customFormat="1" ht="15.75" customHeight="1">
      <c r="A860" s="124">
        <v>51430</v>
      </c>
      <c r="B860" s="124" t="s">
        <v>1998</v>
      </c>
      <c r="C860" s="124">
        <v>5</v>
      </c>
      <c r="E860" s="124" t="s">
        <v>789</v>
      </c>
      <c r="F860" s="124">
        <v>1</v>
      </c>
      <c r="G860" s="124" t="s">
        <v>1999</v>
      </c>
      <c r="H860" s="124">
        <v>301</v>
      </c>
      <c r="I860" s="127"/>
      <c r="J860" s="124">
        <v>2</v>
      </c>
      <c r="K860" s="124">
        <v>12</v>
      </c>
      <c r="S860" s="124" t="s">
        <v>2000</v>
      </c>
      <c r="T860" s="124" t="s">
        <v>2001</v>
      </c>
      <c r="U860" s="124" t="s">
        <v>2002</v>
      </c>
      <c r="W860" s="124">
        <v>7</v>
      </c>
      <c r="X860" s="124" t="s">
        <v>536</v>
      </c>
      <c r="Y860" s="124">
        <v>214</v>
      </c>
      <c r="Z860" s="124">
        <v>3</v>
      </c>
      <c r="AA860" s="124" t="s">
        <v>503</v>
      </c>
    </row>
    <row r="861" spans="1:42" s="124" customFormat="1" ht="15.75" customHeight="1">
      <c r="A861" s="124">
        <v>52420</v>
      </c>
      <c r="B861" s="124" t="s">
        <v>2003</v>
      </c>
      <c r="C861" s="124">
        <v>5</v>
      </c>
      <c r="E861" s="124" t="s">
        <v>789</v>
      </c>
      <c r="F861" s="124">
        <v>2</v>
      </c>
      <c r="G861" s="124" t="s">
        <v>2004</v>
      </c>
      <c r="H861" s="124">
        <v>301</v>
      </c>
      <c r="I861" s="127"/>
      <c r="J861" s="124">
        <v>2</v>
      </c>
      <c r="K861" s="124">
        <v>22</v>
      </c>
      <c r="S861" s="124" t="s">
        <v>2005</v>
      </c>
      <c r="T861" s="124" t="s">
        <v>2006</v>
      </c>
      <c r="U861" s="124" t="s">
        <v>2007</v>
      </c>
      <c r="W861" s="124">
        <v>7</v>
      </c>
      <c r="X861" s="124" t="s">
        <v>566</v>
      </c>
      <c r="Y861" s="124">
        <v>215</v>
      </c>
      <c r="Z861" s="124">
        <v>3</v>
      </c>
      <c r="AA861" s="124" t="s">
        <v>557</v>
      </c>
    </row>
    <row r="862" spans="1:42" s="124" customFormat="1">
      <c r="A862" s="124">
        <v>53430</v>
      </c>
      <c r="B862" s="124" t="s">
        <v>2008</v>
      </c>
      <c r="C862" s="124">
        <v>5</v>
      </c>
      <c r="E862" s="124" t="s">
        <v>789</v>
      </c>
      <c r="F862" s="124">
        <v>3</v>
      </c>
      <c r="G862" s="124" t="s">
        <v>2009</v>
      </c>
      <c r="H862" s="124">
        <v>301</v>
      </c>
      <c r="I862" s="127"/>
      <c r="J862" s="124">
        <v>2</v>
      </c>
      <c r="K862" s="124">
        <v>32</v>
      </c>
      <c r="S862" s="124" t="s">
        <v>2010</v>
      </c>
      <c r="T862" s="124" t="s">
        <v>2011</v>
      </c>
      <c r="U862" s="124" t="s">
        <v>2012</v>
      </c>
      <c r="W862" s="124">
        <v>7</v>
      </c>
      <c r="X862" s="124" t="s">
        <v>562</v>
      </c>
      <c r="Y862" s="124">
        <v>216</v>
      </c>
      <c r="Z862" s="124">
        <v>3</v>
      </c>
      <c r="AA862" s="124" t="s">
        <v>575</v>
      </c>
      <c r="AP862" s="124" t="s">
        <v>2013</v>
      </c>
    </row>
    <row r="863" spans="1:42" s="124" customFormat="1">
      <c r="A863" s="124">
        <v>54440</v>
      </c>
      <c r="B863" s="124" t="s">
        <v>2014</v>
      </c>
      <c r="C863" s="124">
        <v>5</v>
      </c>
      <c r="E863" s="124" t="s">
        <v>789</v>
      </c>
      <c r="F863" s="124">
        <v>4</v>
      </c>
      <c r="G863" s="124" t="s">
        <v>2015</v>
      </c>
      <c r="H863" s="124">
        <v>301</v>
      </c>
      <c r="I863" s="127"/>
      <c r="J863" s="124">
        <v>2</v>
      </c>
      <c r="K863" s="124">
        <v>42</v>
      </c>
      <c r="S863" s="124" t="s">
        <v>2016</v>
      </c>
      <c r="T863" s="124" t="s">
        <v>2017</v>
      </c>
      <c r="U863" s="124" t="s">
        <v>2018</v>
      </c>
      <c r="W863" s="124">
        <v>7</v>
      </c>
      <c r="X863" s="124" t="s">
        <v>452</v>
      </c>
      <c r="Y863" s="124">
        <v>114</v>
      </c>
      <c r="Z863" s="124">
        <v>3</v>
      </c>
      <c r="AA863" s="124" t="s">
        <v>586</v>
      </c>
    </row>
    <row r="864" spans="1:42" s="124" customFormat="1">
      <c r="A864" s="124">
        <v>58060</v>
      </c>
      <c r="B864" s="124" t="s">
        <v>2019</v>
      </c>
      <c r="C864" s="124">
        <v>5</v>
      </c>
      <c r="E864" s="124" t="s">
        <v>789</v>
      </c>
      <c r="F864" s="124">
        <v>8</v>
      </c>
      <c r="G864" s="124" t="s">
        <v>2020</v>
      </c>
      <c r="H864" s="124">
        <v>301</v>
      </c>
      <c r="I864" s="127"/>
      <c r="J864" s="124">
        <v>2</v>
      </c>
      <c r="K864" s="124">
        <v>82</v>
      </c>
      <c r="O864" s="124">
        <v>1</v>
      </c>
      <c r="P864" s="124" t="s">
        <v>2021</v>
      </c>
      <c r="S864" s="124" t="s">
        <v>2022</v>
      </c>
      <c r="T864" s="124" t="s">
        <v>2023</v>
      </c>
      <c r="U864" s="124" t="s">
        <v>2024</v>
      </c>
      <c r="W864" s="124">
        <v>7</v>
      </c>
      <c r="X864" s="124" t="s">
        <v>551</v>
      </c>
      <c r="Y864" s="124">
        <v>115</v>
      </c>
      <c r="Z864" s="124">
        <v>3</v>
      </c>
      <c r="AA864" s="124" t="s">
        <v>589</v>
      </c>
    </row>
    <row r="865" spans="1:34" s="124" customFormat="1">
      <c r="I865" s="127"/>
    </row>
    <row r="866" spans="1:34" s="124" customFormat="1">
      <c r="A866" s="124">
        <v>32610</v>
      </c>
      <c r="B866" s="124" t="s">
        <v>2025</v>
      </c>
      <c r="C866" s="124">
        <v>3</v>
      </c>
      <c r="E866" s="124" t="s">
        <v>2026</v>
      </c>
      <c r="F866" s="124">
        <v>2</v>
      </c>
      <c r="G866" s="124" t="s">
        <v>2027</v>
      </c>
      <c r="H866" s="124">
        <v>301</v>
      </c>
      <c r="I866" s="128" t="s">
        <v>2028</v>
      </c>
      <c r="J866" s="124">
        <v>0</v>
      </c>
      <c r="T866" s="124" t="s">
        <v>2029</v>
      </c>
      <c r="U866" s="124" t="s">
        <v>2030</v>
      </c>
      <c r="W866" s="124">
        <v>3</v>
      </c>
      <c r="X866" s="124" t="s">
        <v>512</v>
      </c>
      <c r="Y866" s="124">
        <v>16</v>
      </c>
      <c r="Z866" s="124">
        <v>8</v>
      </c>
      <c r="AA866" s="124" t="s">
        <v>548</v>
      </c>
    </row>
    <row r="867" spans="1:34" s="124" customFormat="1">
      <c r="A867" s="124">
        <v>71080</v>
      </c>
      <c r="B867" s="124" t="s">
        <v>2031</v>
      </c>
      <c r="C867" s="124">
        <v>7</v>
      </c>
      <c r="E867" s="124" t="s">
        <v>2032</v>
      </c>
      <c r="F867" s="124">
        <v>1</v>
      </c>
      <c r="H867" s="124">
        <v>303</v>
      </c>
      <c r="I867" s="128" t="s">
        <v>2033</v>
      </c>
      <c r="J867" s="124">
        <v>1</v>
      </c>
      <c r="K867" s="124">
        <v>19021</v>
      </c>
      <c r="U867" s="124" t="s">
        <v>2034</v>
      </c>
      <c r="V867" s="124">
        <v>-1</v>
      </c>
      <c r="W867" s="124">
        <v>6</v>
      </c>
      <c r="X867" s="124" t="s">
        <v>568</v>
      </c>
      <c r="Y867" s="124">
        <v>218</v>
      </c>
      <c r="Z867" s="124">
        <v>0</v>
      </c>
      <c r="AA867" s="124" t="s">
        <v>525</v>
      </c>
      <c r="AB867" s="124" t="s">
        <v>2035</v>
      </c>
      <c r="AC867" s="124">
        <v>6</v>
      </c>
      <c r="AD867" s="124" t="s">
        <v>2036</v>
      </c>
      <c r="AE867" s="124" t="s">
        <v>2037</v>
      </c>
      <c r="AF867" s="124" t="s">
        <v>2038</v>
      </c>
      <c r="AG867" s="124" t="s">
        <v>2039</v>
      </c>
      <c r="AH867" s="124" t="s">
        <v>2040</v>
      </c>
    </row>
    <row r="868" spans="1:34" s="124" customFormat="1">
      <c r="A868" s="124">
        <v>72080</v>
      </c>
      <c r="B868" s="124" t="s">
        <v>2041</v>
      </c>
      <c r="C868" s="124">
        <v>7</v>
      </c>
      <c r="E868" s="124" t="s">
        <v>2032</v>
      </c>
      <c r="F868" s="124">
        <v>2</v>
      </c>
      <c r="H868" s="124">
        <v>304</v>
      </c>
      <c r="I868" s="128" t="s">
        <v>2033</v>
      </c>
      <c r="J868" s="124">
        <v>1</v>
      </c>
      <c r="K868" s="124">
        <v>29021</v>
      </c>
      <c r="U868" s="124" t="s">
        <v>2042</v>
      </c>
      <c r="V868" s="124">
        <v>-1</v>
      </c>
      <c r="W868" s="124">
        <v>6</v>
      </c>
      <c r="X868" s="124" t="s">
        <v>499</v>
      </c>
      <c r="Y868" s="124">
        <v>219</v>
      </c>
      <c r="Z868" s="124">
        <v>0</v>
      </c>
      <c r="AA868" s="124" t="s">
        <v>552</v>
      </c>
      <c r="AB868" s="124" t="s">
        <v>2043</v>
      </c>
      <c r="AC868" s="124">
        <v>6</v>
      </c>
      <c r="AD868" s="124" t="s">
        <v>2044</v>
      </c>
      <c r="AE868" s="124" t="s">
        <v>2045</v>
      </c>
      <c r="AF868" s="124" t="s">
        <v>2046</v>
      </c>
      <c r="AG868" s="124" t="s">
        <v>2047</v>
      </c>
      <c r="AH868" s="124" t="s">
        <v>2048</v>
      </c>
    </row>
    <row r="869" spans="1:34" s="124" customFormat="1">
      <c r="A869" s="124">
        <v>73080</v>
      </c>
      <c r="B869" s="124" t="s">
        <v>2049</v>
      </c>
      <c r="C869" s="124">
        <v>7</v>
      </c>
      <c r="E869" s="124" t="s">
        <v>2032</v>
      </c>
      <c r="F869" s="124">
        <v>3</v>
      </c>
      <c r="H869" s="124">
        <v>305</v>
      </c>
      <c r="I869" s="128" t="s">
        <v>2033</v>
      </c>
      <c r="J869" s="124">
        <v>1</v>
      </c>
      <c r="K869" s="124">
        <v>39021</v>
      </c>
      <c r="U869" s="124" t="s">
        <v>2050</v>
      </c>
      <c r="V869" s="124">
        <v>-1</v>
      </c>
      <c r="W869" s="124">
        <v>6</v>
      </c>
      <c r="X869" s="124" t="s">
        <v>549</v>
      </c>
      <c r="Y869" s="124">
        <v>220</v>
      </c>
      <c r="Z869" s="124">
        <v>0</v>
      </c>
      <c r="AA869" s="124" t="s">
        <v>574</v>
      </c>
      <c r="AB869" s="124" t="s">
        <v>2051</v>
      </c>
      <c r="AC869" s="124">
        <v>6</v>
      </c>
      <c r="AD869" s="124" t="s">
        <v>2052</v>
      </c>
      <c r="AE869" s="124" t="s">
        <v>2053</v>
      </c>
      <c r="AF869" s="124" t="s">
        <v>2054</v>
      </c>
      <c r="AG869" s="124" t="s">
        <v>2055</v>
      </c>
      <c r="AH869" s="124" t="s">
        <v>2056</v>
      </c>
    </row>
    <row r="870" spans="1:34" s="124" customFormat="1">
      <c r="A870" s="124">
        <v>74080</v>
      </c>
      <c r="B870" s="124" t="s">
        <v>2057</v>
      </c>
      <c r="C870" s="124">
        <v>7</v>
      </c>
      <c r="E870" s="124" t="s">
        <v>2032</v>
      </c>
      <c r="F870" s="124">
        <v>4</v>
      </c>
      <c r="H870" s="124">
        <v>301</v>
      </c>
      <c r="I870" s="128" t="s">
        <v>2033</v>
      </c>
      <c r="J870" s="124">
        <v>1</v>
      </c>
      <c r="K870" s="124">
        <v>49021</v>
      </c>
      <c r="U870" s="124" t="s">
        <v>2058</v>
      </c>
      <c r="V870" s="124">
        <v>-1</v>
      </c>
      <c r="W870" s="124">
        <v>6</v>
      </c>
      <c r="X870" s="124" t="s">
        <v>522</v>
      </c>
      <c r="Y870" s="124">
        <v>221</v>
      </c>
      <c r="Z870" s="124">
        <v>0</v>
      </c>
      <c r="AA870" s="124" t="s">
        <v>584</v>
      </c>
      <c r="AB870" s="124" t="s">
        <v>2059</v>
      </c>
      <c r="AC870" s="124">
        <v>6</v>
      </c>
      <c r="AD870" s="124" t="s">
        <v>2060</v>
      </c>
      <c r="AE870" s="124" t="s">
        <v>2061</v>
      </c>
      <c r="AF870" s="124" t="s">
        <v>2062</v>
      </c>
      <c r="AG870" s="124" t="s">
        <v>2063</v>
      </c>
      <c r="AH870" s="124" t="s">
        <v>2064</v>
      </c>
    </row>
    <row r="871" spans="1:34" s="124" customFormat="1">
      <c r="A871" s="124">
        <v>810108</v>
      </c>
      <c r="B871" s="124" t="s">
        <v>2065</v>
      </c>
      <c r="C871" s="124">
        <v>8</v>
      </c>
      <c r="E871" s="124" t="s">
        <v>747</v>
      </c>
      <c r="F871" s="124">
        <v>1</v>
      </c>
      <c r="H871" s="124">
        <v>304</v>
      </c>
      <c r="I871" s="128" t="s">
        <v>748</v>
      </c>
      <c r="R871" s="124" t="s">
        <v>2066</v>
      </c>
      <c r="W871" s="124" t="s">
        <v>2067</v>
      </c>
      <c r="X871" s="124" t="s">
        <v>562</v>
      </c>
      <c r="Y871" s="124">
        <v>201</v>
      </c>
      <c r="AA871" s="124" t="s">
        <v>525</v>
      </c>
    </row>
    <row r="872" spans="1:34" s="124" customFormat="1">
      <c r="A872" s="124">
        <v>810208</v>
      </c>
      <c r="B872" s="124" t="s">
        <v>2068</v>
      </c>
      <c r="C872" s="124">
        <v>8</v>
      </c>
      <c r="E872" s="124" t="s">
        <v>747</v>
      </c>
      <c r="F872" s="124">
        <v>1</v>
      </c>
      <c r="H872" s="124">
        <v>307</v>
      </c>
      <c r="I872" s="128" t="s">
        <v>748</v>
      </c>
      <c r="R872" s="124" t="s">
        <v>2069</v>
      </c>
      <c r="W872" s="124" t="s">
        <v>2070</v>
      </c>
      <c r="X872" s="124" t="s">
        <v>568</v>
      </c>
      <c r="Y872" s="124">
        <v>202</v>
      </c>
      <c r="AA872" s="124" t="s">
        <v>525</v>
      </c>
    </row>
    <row r="873" spans="1:34" s="124" customFormat="1">
      <c r="A873" s="124">
        <v>810308</v>
      </c>
      <c r="B873" s="124" t="s">
        <v>2071</v>
      </c>
      <c r="C873" s="124">
        <v>8</v>
      </c>
      <c r="E873" s="124" t="s">
        <v>747</v>
      </c>
      <c r="F873" s="124">
        <v>1</v>
      </c>
      <c r="H873" s="124">
        <v>305</v>
      </c>
      <c r="I873" s="128" t="s">
        <v>748</v>
      </c>
      <c r="R873" s="124" t="s">
        <v>2072</v>
      </c>
      <c r="W873" s="124" t="s">
        <v>2073</v>
      </c>
      <c r="X873" s="124" t="s">
        <v>566</v>
      </c>
      <c r="Y873" s="124">
        <v>203</v>
      </c>
      <c r="AA873" s="124" t="s">
        <v>525</v>
      </c>
    </row>
    <row r="874" spans="1:34" s="124" customFormat="1">
      <c r="A874" s="124">
        <v>810408</v>
      </c>
      <c r="B874" s="124" t="s">
        <v>2074</v>
      </c>
      <c r="C874" s="124">
        <v>8</v>
      </c>
      <c r="E874" s="124" t="s">
        <v>747</v>
      </c>
      <c r="F874" s="124">
        <v>1</v>
      </c>
      <c r="H874" s="124">
        <v>306</v>
      </c>
      <c r="I874" s="128" t="s">
        <v>748</v>
      </c>
      <c r="R874" s="124" t="s">
        <v>2075</v>
      </c>
      <c r="W874" s="124" t="s">
        <v>2076</v>
      </c>
      <c r="X874" s="124" t="s">
        <v>558</v>
      </c>
      <c r="Y874" s="124">
        <v>204</v>
      </c>
      <c r="AA874" s="124" t="s">
        <v>525</v>
      </c>
    </row>
    <row r="875" spans="1:34" s="124" customFormat="1">
      <c r="A875" s="124">
        <v>810508</v>
      </c>
      <c r="B875" s="124" t="s">
        <v>2077</v>
      </c>
      <c r="C875" s="124">
        <v>8</v>
      </c>
      <c r="E875" s="124" t="s">
        <v>747</v>
      </c>
      <c r="F875" s="124">
        <v>1</v>
      </c>
      <c r="H875" s="124">
        <v>307</v>
      </c>
      <c r="I875" s="128" t="s">
        <v>748</v>
      </c>
      <c r="R875" s="124" t="s">
        <v>2078</v>
      </c>
      <c r="W875" s="124" t="s">
        <v>2079</v>
      </c>
      <c r="X875" s="124" t="s">
        <v>553</v>
      </c>
      <c r="Y875" s="124">
        <v>205</v>
      </c>
      <c r="AA875" s="124" t="s">
        <v>525</v>
      </c>
    </row>
    <row r="876" spans="1:34" s="124" customFormat="1">
      <c r="A876" s="124">
        <v>810608</v>
      </c>
      <c r="B876" s="124" t="s">
        <v>2080</v>
      </c>
      <c r="C876" s="124">
        <v>8</v>
      </c>
      <c r="E876" s="124" t="s">
        <v>747</v>
      </c>
      <c r="F876" s="124">
        <v>1</v>
      </c>
      <c r="H876" s="124">
        <v>301</v>
      </c>
      <c r="I876" s="128" t="s">
        <v>748</v>
      </c>
      <c r="R876" s="124" t="s">
        <v>2081</v>
      </c>
      <c r="W876" s="124" t="s">
        <v>2082</v>
      </c>
      <c r="X876" s="124" t="s">
        <v>570</v>
      </c>
      <c r="Y876" s="124">
        <v>206</v>
      </c>
      <c r="AA876" s="124" t="s">
        <v>525</v>
      </c>
    </row>
    <row r="877" spans="1:34" s="124" customFormat="1">
      <c r="A877" s="124">
        <v>810708</v>
      </c>
      <c r="B877" s="124" t="s">
        <v>2083</v>
      </c>
      <c r="C877" s="124">
        <v>8</v>
      </c>
      <c r="E877" s="124" t="s">
        <v>747</v>
      </c>
      <c r="F877" s="124">
        <v>1</v>
      </c>
      <c r="H877" s="124">
        <v>308</v>
      </c>
      <c r="I877" s="128" t="s">
        <v>748</v>
      </c>
      <c r="R877" s="124" t="s">
        <v>2084</v>
      </c>
      <c r="W877" s="124" t="s">
        <v>2085</v>
      </c>
      <c r="X877" s="124" t="s">
        <v>558</v>
      </c>
      <c r="Y877" s="124">
        <v>207</v>
      </c>
      <c r="AA877" s="124" t="s">
        <v>525</v>
      </c>
    </row>
    <row r="878" spans="1:34" s="124" customFormat="1">
      <c r="A878" s="124">
        <v>820108</v>
      </c>
      <c r="B878" s="124" t="s">
        <v>2086</v>
      </c>
      <c r="C878" s="124">
        <v>8</v>
      </c>
      <c r="E878" s="124" t="s">
        <v>747</v>
      </c>
      <c r="F878" s="124">
        <v>2</v>
      </c>
      <c r="H878" s="124">
        <v>305</v>
      </c>
      <c r="I878" s="128" t="s">
        <v>748</v>
      </c>
      <c r="R878" s="124" t="s">
        <v>2087</v>
      </c>
      <c r="W878" s="124" t="s">
        <v>2088</v>
      </c>
      <c r="X878" s="124" t="s">
        <v>452</v>
      </c>
      <c r="Y878" s="124">
        <v>201</v>
      </c>
      <c r="AA878" s="124" t="s">
        <v>552</v>
      </c>
    </row>
    <row r="879" spans="1:34" s="124" customFormat="1">
      <c r="A879" s="124">
        <v>820208</v>
      </c>
      <c r="B879" s="124" t="s">
        <v>2089</v>
      </c>
      <c r="C879" s="124">
        <v>8</v>
      </c>
      <c r="E879" s="124" t="s">
        <v>747</v>
      </c>
      <c r="F879" s="124">
        <v>2</v>
      </c>
      <c r="H879" s="124">
        <v>303</v>
      </c>
      <c r="I879" s="128" t="s">
        <v>748</v>
      </c>
      <c r="R879" s="124" t="s">
        <v>2090</v>
      </c>
      <c r="W879" s="124" t="s">
        <v>2091</v>
      </c>
      <c r="X879" s="124" t="s">
        <v>499</v>
      </c>
      <c r="Y879" s="124">
        <v>202</v>
      </c>
      <c r="AA879" s="124" t="s">
        <v>552</v>
      </c>
    </row>
    <row r="880" spans="1:34" s="124" customFormat="1">
      <c r="A880" s="124">
        <v>820308</v>
      </c>
      <c r="B880" s="124" t="s">
        <v>2092</v>
      </c>
      <c r="C880" s="124">
        <v>8</v>
      </c>
      <c r="E880" s="124" t="s">
        <v>747</v>
      </c>
      <c r="F880" s="124">
        <v>2</v>
      </c>
      <c r="H880" s="124">
        <v>301</v>
      </c>
      <c r="I880" s="128" t="s">
        <v>748</v>
      </c>
      <c r="R880" s="124" t="s">
        <v>2093</v>
      </c>
      <c r="W880" s="124" t="s">
        <v>2094</v>
      </c>
      <c r="X880" s="124" t="s">
        <v>484</v>
      </c>
      <c r="Y880" s="124">
        <v>203</v>
      </c>
      <c r="AA880" s="124" t="s">
        <v>552</v>
      </c>
    </row>
    <row r="881" spans="1:27" s="124" customFormat="1">
      <c r="A881" s="124">
        <v>820408</v>
      </c>
      <c r="B881" s="124" t="s">
        <v>2095</v>
      </c>
      <c r="C881" s="124">
        <v>8</v>
      </c>
      <c r="E881" s="124" t="s">
        <v>747</v>
      </c>
      <c r="F881" s="124">
        <v>2</v>
      </c>
      <c r="H881" s="124">
        <v>306</v>
      </c>
      <c r="I881" s="128" t="s">
        <v>748</v>
      </c>
      <c r="R881" s="124" t="s">
        <v>2096</v>
      </c>
      <c r="W881" s="124" t="s">
        <v>2097</v>
      </c>
      <c r="X881" s="124" t="s">
        <v>562</v>
      </c>
      <c r="Y881" s="124">
        <v>204</v>
      </c>
      <c r="AA881" s="124" t="s">
        <v>552</v>
      </c>
    </row>
    <row r="882" spans="1:27" s="124" customFormat="1">
      <c r="A882" s="124">
        <v>820508</v>
      </c>
      <c r="B882" s="124" t="s">
        <v>2098</v>
      </c>
      <c r="C882" s="124">
        <v>8</v>
      </c>
      <c r="E882" s="124" t="s">
        <v>747</v>
      </c>
      <c r="F882" s="124">
        <v>2</v>
      </c>
      <c r="H882" s="124">
        <v>303</v>
      </c>
      <c r="I882" s="128" t="s">
        <v>748</v>
      </c>
      <c r="R882" s="124" t="s">
        <v>2099</v>
      </c>
      <c r="W882" s="124" t="s">
        <v>2100</v>
      </c>
      <c r="X882" s="124" t="s">
        <v>562</v>
      </c>
      <c r="Y882" s="124">
        <v>205</v>
      </c>
      <c r="AA882" s="124" t="s">
        <v>552</v>
      </c>
    </row>
    <row r="883" spans="1:27" s="124" customFormat="1">
      <c r="A883" s="124">
        <v>820608</v>
      </c>
      <c r="B883" s="124" t="s">
        <v>2101</v>
      </c>
      <c r="C883" s="124">
        <v>8</v>
      </c>
      <c r="E883" s="124" t="s">
        <v>747</v>
      </c>
      <c r="F883" s="124">
        <v>2</v>
      </c>
      <c r="H883" s="124">
        <v>307</v>
      </c>
      <c r="I883" s="128" t="s">
        <v>748</v>
      </c>
      <c r="R883" s="124" t="s">
        <v>2102</v>
      </c>
      <c r="W883" s="124" t="s">
        <v>2103</v>
      </c>
      <c r="X883" s="124" t="s">
        <v>562</v>
      </c>
      <c r="Y883" s="124">
        <v>206</v>
      </c>
      <c r="AA883" s="124" t="s">
        <v>552</v>
      </c>
    </row>
    <row r="884" spans="1:27" s="124" customFormat="1">
      <c r="A884" s="124">
        <v>820708</v>
      </c>
      <c r="B884" s="124" t="s">
        <v>2104</v>
      </c>
      <c r="C884" s="124">
        <v>8</v>
      </c>
      <c r="E884" s="124" t="s">
        <v>747</v>
      </c>
      <c r="F884" s="124">
        <v>2</v>
      </c>
      <c r="H884" s="124">
        <v>308</v>
      </c>
      <c r="I884" s="128" t="s">
        <v>748</v>
      </c>
      <c r="R884" s="124" t="s">
        <v>2105</v>
      </c>
      <c r="W884" s="124" t="s">
        <v>2106</v>
      </c>
      <c r="X884" s="124" t="s">
        <v>512</v>
      </c>
      <c r="Y884" s="124">
        <v>207</v>
      </c>
      <c r="AA884" s="124" t="s">
        <v>552</v>
      </c>
    </row>
    <row r="885" spans="1:27" s="124" customFormat="1">
      <c r="A885" s="124">
        <v>830108</v>
      </c>
      <c r="B885" s="124" t="s">
        <v>2107</v>
      </c>
      <c r="C885" s="124">
        <v>8</v>
      </c>
      <c r="E885" s="124" t="s">
        <v>747</v>
      </c>
      <c r="F885" s="124">
        <v>3</v>
      </c>
      <c r="H885" s="124">
        <v>304</v>
      </c>
      <c r="I885" s="128" t="s">
        <v>748</v>
      </c>
      <c r="R885" s="124" t="s">
        <v>2108</v>
      </c>
      <c r="W885" s="124" t="s">
        <v>2109</v>
      </c>
      <c r="X885" s="124" t="s">
        <v>556</v>
      </c>
      <c r="Y885" s="124">
        <v>201</v>
      </c>
      <c r="AA885" s="124" t="s">
        <v>574</v>
      </c>
    </row>
    <row r="886" spans="1:27" s="124" customFormat="1">
      <c r="A886" s="124">
        <v>830208</v>
      </c>
      <c r="B886" s="124" t="s">
        <v>2110</v>
      </c>
      <c r="C886" s="124">
        <v>8</v>
      </c>
      <c r="E886" s="124" t="s">
        <v>747</v>
      </c>
      <c r="F886" s="124">
        <v>3</v>
      </c>
      <c r="H886" s="124">
        <v>302</v>
      </c>
      <c r="I886" s="128" t="s">
        <v>748</v>
      </c>
      <c r="R886" s="124" t="s">
        <v>2111</v>
      </c>
      <c r="W886" s="124" t="s">
        <v>2112</v>
      </c>
      <c r="X886" s="124" t="s">
        <v>549</v>
      </c>
      <c r="Y886" s="124">
        <v>202</v>
      </c>
      <c r="AA886" s="124" t="s">
        <v>574</v>
      </c>
    </row>
    <row r="887" spans="1:27" s="124" customFormat="1">
      <c r="A887" s="124">
        <v>830308</v>
      </c>
      <c r="B887" s="124" t="s">
        <v>2113</v>
      </c>
      <c r="C887" s="124">
        <v>8</v>
      </c>
      <c r="E887" s="124" t="s">
        <v>747</v>
      </c>
      <c r="F887" s="124">
        <v>3</v>
      </c>
      <c r="H887" s="124">
        <v>306</v>
      </c>
      <c r="I887" s="128" t="s">
        <v>748</v>
      </c>
      <c r="R887" s="124" t="s">
        <v>2114</v>
      </c>
      <c r="W887" s="124" t="s">
        <v>2115</v>
      </c>
      <c r="X887" s="124" t="s">
        <v>551</v>
      </c>
      <c r="Y887" s="124">
        <v>203</v>
      </c>
      <c r="AA887" s="124" t="s">
        <v>574</v>
      </c>
    </row>
    <row r="888" spans="1:27" s="124" customFormat="1">
      <c r="A888" s="124">
        <v>830408</v>
      </c>
      <c r="B888" s="124" t="s">
        <v>2116</v>
      </c>
      <c r="C888" s="124">
        <v>8</v>
      </c>
      <c r="E888" s="124" t="s">
        <v>747</v>
      </c>
      <c r="F888" s="124">
        <v>3</v>
      </c>
      <c r="H888" s="124">
        <v>303</v>
      </c>
      <c r="I888" s="128" t="s">
        <v>748</v>
      </c>
      <c r="R888" s="124" t="s">
        <v>2117</v>
      </c>
      <c r="W888" s="124" t="s">
        <v>2118</v>
      </c>
      <c r="X888" s="124" t="s">
        <v>468</v>
      </c>
      <c r="Y888" s="124">
        <v>204</v>
      </c>
      <c r="AA888" s="124" t="s">
        <v>574</v>
      </c>
    </row>
    <row r="889" spans="1:27" s="124" customFormat="1">
      <c r="A889" s="124">
        <v>830508</v>
      </c>
      <c r="B889" s="124" t="s">
        <v>2119</v>
      </c>
      <c r="C889" s="124">
        <v>8</v>
      </c>
      <c r="E889" s="124" t="s">
        <v>747</v>
      </c>
      <c r="F889" s="124">
        <v>3</v>
      </c>
      <c r="H889" s="124">
        <v>307</v>
      </c>
      <c r="I889" s="128" t="s">
        <v>748</v>
      </c>
      <c r="R889" s="124" t="s">
        <v>2120</v>
      </c>
      <c r="W889" s="124" t="s">
        <v>2121</v>
      </c>
      <c r="X889" s="124" t="s">
        <v>439</v>
      </c>
      <c r="Y889" s="124">
        <v>205</v>
      </c>
      <c r="AA889" s="124" t="s">
        <v>574</v>
      </c>
    </row>
    <row r="890" spans="1:27" s="124" customFormat="1">
      <c r="A890" s="124">
        <v>830608</v>
      </c>
      <c r="B890" s="124" t="s">
        <v>2122</v>
      </c>
      <c r="C890" s="124">
        <v>8</v>
      </c>
      <c r="E890" s="124" t="s">
        <v>747</v>
      </c>
      <c r="F890" s="124">
        <v>3</v>
      </c>
      <c r="H890" s="124">
        <v>301</v>
      </c>
      <c r="I890" s="128" t="s">
        <v>748</v>
      </c>
      <c r="R890" s="124" t="s">
        <v>2123</v>
      </c>
      <c r="W890" s="124" t="s">
        <v>2124</v>
      </c>
      <c r="X890" s="124" t="s">
        <v>547</v>
      </c>
      <c r="Y890" s="124">
        <v>206</v>
      </c>
      <c r="AA890" s="124" t="s">
        <v>574</v>
      </c>
    </row>
    <row r="891" spans="1:27" s="124" customFormat="1">
      <c r="A891" s="124">
        <v>840108</v>
      </c>
      <c r="B891" s="124" t="s">
        <v>2125</v>
      </c>
      <c r="C891" s="124">
        <v>8</v>
      </c>
      <c r="E891" s="124" t="s">
        <v>747</v>
      </c>
      <c r="F891" s="124">
        <v>4</v>
      </c>
      <c r="H891" s="124">
        <v>303</v>
      </c>
      <c r="I891" s="128" t="s">
        <v>748</v>
      </c>
      <c r="R891" s="124" t="s">
        <v>2126</v>
      </c>
      <c r="W891" s="124" t="s">
        <v>2127</v>
      </c>
      <c r="X891" s="124" t="s">
        <v>536</v>
      </c>
      <c r="Y891" s="124">
        <v>127</v>
      </c>
      <c r="AA891" s="124" t="s">
        <v>584</v>
      </c>
    </row>
    <row r="892" spans="1:27" s="124" customFormat="1">
      <c r="A892" s="124">
        <v>840208</v>
      </c>
      <c r="B892" s="124" t="s">
        <v>2128</v>
      </c>
      <c r="C892" s="124">
        <v>8</v>
      </c>
      <c r="E892" s="124" t="s">
        <v>747</v>
      </c>
      <c r="F892" s="124">
        <v>4</v>
      </c>
      <c r="H892" s="124">
        <v>302</v>
      </c>
      <c r="I892" s="128" t="s">
        <v>748</v>
      </c>
      <c r="R892" s="124" t="s">
        <v>2129</v>
      </c>
      <c r="W892" s="124" t="s">
        <v>2130</v>
      </c>
      <c r="X892" s="124" t="s">
        <v>536</v>
      </c>
      <c r="Y892" s="124">
        <v>128</v>
      </c>
      <c r="AA892" s="124" t="s">
        <v>584</v>
      </c>
    </row>
    <row r="893" spans="1:27" s="124" customFormat="1">
      <c r="A893" s="124">
        <v>840308</v>
      </c>
      <c r="B893" s="124" t="s">
        <v>2131</v>
      </c>
      <c r="C893" s="124">
        <v>8</v>
      </c>
      <c r="E893" s="124" t="s">
        <v>747</v>
      </c>
      <c r="F893" s="124">
        <v>4</v>
      </c>
      <c r="H893" s="124">
        <v>305</v>
      </c>
      <c r="I893" s="128" t="s">
        <v>748</v>
      </c>
      <c r="R893" s="124" t="s">
        <v>2132</v>
      </c>
      <c r="W893" s="124" t="s">
        <v>2133</v>
      </c>
      <c r="X893" s="124" t="s">
        <v>522</v>
      </c>
      <c r="Y893" s="124">
        <v>203</v>
      </c>
      <c r="AA893" s="124" t="s">
        <v>584</v>
      </c>
    </row>
    <row r="894" spans="1:27" s="124" customFormat="1">
      <c r="A894" s="124">
        <v>840408</v>
      </c>
      <c r="B894" s="124" t="s">
        <v>2134</v>
      </c>
      <c r="C894" s="124">
        <v>8</v>
      </c>
      <c r="E894" s="124" t="s">
        <v>747</v>
      </c>
      <c r="F894" s="124">
        <v>4</v>
      </c>
      <c r="H894" s="124">
        <v>307</v>
      </c>
      <c r="I894" s="128" t="s">
        <v>748</v>
      </c>
      <c r="R894" s="124" t="s">
        <v>2135</v>
      </c>
      <c r="W894" s="124" t="s">
        <v>2136</v>
      </c>
      <c r="X894" s="124" t="s">
        <v>542</v>
      </c>
      <c r="Y894" s="124">
        <v>204</v>
      </c>
      <c r="AA894" s="124" t="s">
        <v>584</v>
      </c>
    </row>
    <row r="895" spans="1:27" s="124" customFormat="1">
      <c r="A895" s="124">
        <v>840508</v>
      </c>
      <c r="B895" s="124" t="s">
        <v>2137</v>
      </c>
      <c r="C895" s="124">
        <v>8</v>
      </c>
      <c r="E895" s="124" t="s">
        <v>747</v>
      </c>
      <c r="F895" s="124">
        <v>4</v>
      </c>
      <c r="H895" s="124">
        <v>307</v>
      </c>
      <c r="I895" s="128" t="s">
        <v>748</v>
      </c>
      <c r="R895" s="124" t="s">
        <v>2138</v>
      </c>
      <c r="W895" s="124" t="s">
        <v>2139</v>
      </c>
      <c r="X895" s="124" t="s">
        <v>452</v>
      </c>
      <c r="Y895" s="124">
        <v>205</v>
      </c>
      <c r="AA895" s="124" t="s">
        <v>584</v>
      </c>
    </row>
    <row r="896" spans="1:27" s="124" customFormat="1">
      <c r="A896" s="124">
        <v>840608</v>
      </c>
      <c r="B896" s="124" t="s">
        <v>2140</v>
      </c>
      <c r="C896" s="124">
        <v>8</v>
      </c>
      <c r="E896" s="124" t="s">
        <v>747</v>
      </c>
      <c r="F896" s="124">
        <v>4</v>
      </c>
      <c r="H896" s="124">
        <v>306</v>
      </c>
      <c r="I896" s="128" t="s">
        <v>748</v>
      </c>
      <c r="R896" s="124" t="s">
        <v>2141</v>
      </c>
      <c r="W896" s="124" t="s">
        <v>2142</v>
      </c>
      <c r="X896" s="124" t="s">
        <v>452</v>
      </c>
      <c r="Y896" s="124">
        <v>206</v>
      </c>
      <c r="AA896" s="124" t="s">
        <v>584</v>
      </c>
    </row>
    <row r="897" spans="1:34" s="124" customFormat="1">
      <c r="A897" s="124">
        <v>840708</v>
      </c>
      <c r="B897" s="124" t="s">
        <v>2143</v>
      </c>
      <c r="C897" s="124">
        <v>8</v>
      </c>
      <c r="E897" s="124" t="s">
        <v>747</v>
      </c>
      <c r="F897" s="124">
        <v>4</v>
      </c>
      <c r="H897" s="124">
        <v>304</v>
      </c>
      <c r="I897" s="128" t="s">
        <v>748</v>
      </c>
      <c r="R897" s="124" t="s">
        <v>2144</v>
      </c>
      <c r="W897" s="124" t="s">
        <v>2145</v>
      </c>
      <c r="X897" s="124" t="s">
        <v>531</v>
      </c>
      <c r="Y897" s="124">
        <v>207</v>
      </c>
      <c r="AA897" s="124" t="s">
        <v>584</v>
      </c>
    </row>
    <row r="898" spans="1:34" s="124" customFormat="1">
      <c r="G898" s="142"/>
      <c r="I898" s="127"/>
      <c r="T898" s="142"/>
    </row>
    <row r="899" spans="1:34" s="124" customFormat="1">
      <c r="A899" s="124">
        <v>32580</v>
      </c>
      <c r="B899" s="124" t="s">
        <v>2146</v>
      </c>
      <c r="C899" s="124">
        <v>3</v>
      </c>
      <c r="E899" s="124" t="s">
        <v>2147</v>
      </c>
      <c r="F899" s="124">
        <v>2</v>
      </c>
      <c r="G899" s="142" t="s">
        <v>2148</v>
      </c>
      <c r="H899" s="124">
        <v>301</v>
      </c>
      <c r="I899" s="128" t="s">
        <v>2149</v>
      </c>
      <c r="J899" s="124">
        <v>1</v>
      </c>
      <c r="K899" s="124">
        <v>20531</v>
      </c>
      <c r="T899" s="142" t="s">
        <v>2150</v>
      </c>
      <c r="U899" s="124" t="s">
        <v>2151</v>
      </c>
      <c r="W899" s="124">
        <v>6</v>
      </c>
      <c r="X899" s="124" t="s">
        <v>547</v>
      </c>
      <c r="Y899" s="124">
        <v>2</v>
      </c>
      <c r="Z899" s="124">
        <v>2</v>
      </c>
      <c r="AA899" s="124" t="s">
        <v>550</v>
      </c>
      <c r="AB899" s="124" t="s">
        <v>2152</v>
      </c>
      <c r="AC899" s="124">
        <v>4</v>
      </c>
      <c r="AD899" s="124" t="s">
        <v>2153</v>
      </c>
      <c r="AE899" s="124" t="s">
        <v>2154</v>
      </c>
      <c r="AF899" s="124" t="s">
        <v>2155</v>
      </c>
      <c r="AG899" s="124" t="s">
        <v>2156</v>
      </c>
      <c r="AH899" s="124" t="s">
        <v>2157</v>
      </c>
    </row>
    <row r="900" spans="1:34" s="124" customFormat="1" ht="18" customHeight="1">
      <c r="A900" s="124">
        <v>42310</v>
      </c>
      <c r="B900" s="124" t="s">
        <v>2158</v>
      </c>
      <c r="C900" s="124">
        <v>4</v>
      </c>
      <c r="D900" s="124">
        <v>6</v>
      </c>
      <c r="E900" s="124" t="s">
        <v>2147</v>
      </c>
      <c r="F900" s="124">
        <v>2</v>
      </c>
      <c r="G900" s="142" t="s">
        <v>2159</v>
      </c>
      <c r="H900" s="124">
        <v>301</v>
      </c>
      <c r="I900" s="128" t="s">
        <v>2149</v>
      </c>
      <c r="J900" s="124">
        <v>1</v>
      </c>
      <c r="K900" s="124">
        <v>20531</v>
      </c>
      <c r="S900" s="124" t="s">
        <v>2160</v>
      </c>
      <c r="T900" s="124" t="s">
        <v>2161</v>
      </c>
      <c r="U900" s="124" t="s">
        <v>2162</v>
      </c>
      <c r="W900" s="124">
        <v>6</v>
      </c>
      <c r="X900" s="124" t="s">
        <v>564</v>
      </c>
      <c r="Y900" s="124">
        <v>7</v>
      </c>
      <c r="Z900" s="124">
        <v>3</v>
      </c>
      <c r="AA900" s="124" t="s">
        <v>554</v>
      </c>
      <c r="AB900" s="124" t="s">
        <v>2152</v>
      </c>
      <c r="AC900" s="124">
        <v>4</v>
      </c>
      <c r="AD900" s="124" t="s">
        <v>2153</v>
      </c>
      <c r="AE900" s="124" t="s">
        <v>2154</v>
      </c>
      <c r="AF900" s="124" t="s">
        <v>2155</v>
      </c>
      <c r="AG900" s="124" t="s">
        <v>2156</v>
      </c>
      <c r="AH900" s="124" t="s">
        <v>2157</v>
      </c>
    </row>
    <row r="901" spans="1:34" s="124" customFormat="1">
      <c r="A901" s="124">
        <v>31590</v>
      </c>
      <c r="B901" s="124" t="s">
        <v>2163</v>
      </c>
      <c r="C901" s="124">
        <v>3</v>
      </c>
      <c r="E901" s="124" t="s">
        <v>2164</v>
      </c>
      <c r="F901" s="124">
        <v>1</v>
      </c>
      <c r="H901" s="124">
        <v>307</v>
      </c>
      <c r="I901" s="128" t="s">
        <v>2165</v>
      </c>
      <c r="J901" s="124">
        <v>0</v>
      </c>
      <c r="U901" s="124" t="s">
        <v>742</v>
      </c>
      <c r="W901" s="124">
        <v>9</v>
      </c>
      <c r="X901" s="124" t="s">
        <v>570</v>
      </c>
      <c r="Y901" s="124">
        <v>19</v>
      </c>
      <c r="Z901" s="124">
        <v>9</v>
      </c>
      <c r="AA901" s="124" t="s">
        <v>456</v>
      </c>
    </row>
    <row r="902" spans="1:34" s="124" customFormat="1">
      <c r="A902" s="124">
        <v>32570</v>
      </c>
      <c r="B902" s="124" t="s">
        <v>2166</v>
      </c>
      <c r="C902" s="124">
        <v>3</v>
      </c>
      <c r="E902" s="124" t="s">
        <v>2164</v>
      </c>
      <c r="F902" s="124">
        <v>2</v>
      </c>
      <c r="H902" s="124">
        <v>307</v>
      </c>
      <c r="I902" s="128" t="s">
        <v>2165</v>
      </c>
      <c r="J902" s="124">
        <v>0</v>
      </c>
      <c r="U902" s="124" t="s">
        <v>742</v>
      </c>
      <c r="W902" s="124">
        <v>9</v>
      </c>
      <c r="X902" s="124" t="s">
        <v>564</v>
      </c>
      <c r="Y902" s="124">
        <v>18</v>
      </c>
      <c r="Z902" s="124">
        <v>9</v>
      </c>
      <c r="AA902" s="124" t="s">
        <v>543</v>
      </c>
    </row>
    <row r="903" spans="1:34" s="124" customFormat="1">
      <c r="A903" s="124">
        <v>33610</v>
      </c>
      <c r="B903" s="124" t="s">
        <v>2167</v>
      </c>
      <c r="C903" s="124">
        <v>3</v>
      </c>
      <c r="E903" s="124" t="s">
        <v>2164</v>
      </c>
      <c r="F903" s="124">
        <v>3</v>
      </c>
      <c r="H903" s="124">
        <v>307</v>
      </c>
      <c r="I903" s="128" t="s">
        <v>2165</v>
      </c>
      <c r="J903" s="124">
        <v>0</v>
      </c>
      <c r="U903" s="124" t="s">
        <v>742</v>
      </c>
      <c r="W903" s="124">
        <v>9</v>
      </c>
      <c r="X903" s="124" t="s">
        <v>549</v>
      </c>
      <c r="Y903" s="124">
        <v>22</v>
      </c>
      <c r="Z903" s="124">
        <v>9</v>
      </c>
      <c r="AA903" s="124" t="s">
        <v>569</v>
      </c>
    </row>
    <row r="904" spans="1:34" s="124" customFormat="1">
      <c r="A904" s="124">
        <v>34630</v>
      </c>
      <c r="B904" s="124" t="s">
        <v>2168</v>
      </c>
      <c r="C904" s="124">
        <v>3</v>
      </c>
      <c r="E904" s="124" t="s">
        <v>2164</v>
      </c>
      <c r="F904" s="124">
        <v>4</v>
      </c>
      <c r="H904" s="124">
        <v>307</v>
      </c>
      <c r="I904" s="128" t="s">
        <v>2165</v>
      </c>
      <c r="J904" s="124">
        <v>0</v>
      </c>
      <c r="U904" s="124" t="s">
        <v>742</v>
      </c>
      <c r="W904" s="124">
        <v>9</v>
      </c>
      <c r="X904" s="124" t="s">
        <v>545</v>
      </c>
      <c r="Y904" s="124">
        <v>21</v>
      </c>
      <c r="Z904" s="124">
        <v>9</v>
      </c>
      <c r="AA904" s="124" t="s">
        <v>578</v>
      </c>
    </row>
    <row r="905" spans="1:34" s="124" customFormat="1">
      <c r="A905" s="124">
        <v>38100</v>
      </c>
      <c r="B905" s="124" t="s">
        <v>2169</v>
      </c>
      <c r="C905" s="124">
        <v>3</v>
      </c>
      <c r="E905" s="124" t="s">
        <v>2164</v>
      </c>
      <c r="F905" s="124">
        <v>8</v>
      </c>
      <c r="H905" s="124">
        <v>307</v>
      </c>
      <c r="I905" s="128" t="s">
        <v>2165</v>
      </c>
      <c r="J905" s="124">
        <v>0</v>
      </c>
      <c r="O905" s="124">
        <v>1</v>
      </c>
      <c r="U905" s="124" t="s">
        <v>742</v>
      </c>
      <c r="W905" s="124">
        <v>9</v>
      </c>
      <c r="X905" s="124" t="s">
        <v>484</v>
      </c>
      <c r="Y905" s="124">
        <v>20</v>
      </c>
      <c r="Z905" s="124">
        <v>6</v>
      </c>
      <c r="AA905" s="124" t="s">
        <v>588</v>
      </c>
    </row>
    <row r="906" spans="1:34" s="124" customFormat="1">
      <c r="I906" s="127"/>
    </row>
    <row r="907" spans="1:34" s="124" customFormat="1" ht="18" customHeight="1">
      <c r="A907" s="124">
        <v>34660</v>
      </c>
      <c r="B907" s="124" t="s">
        <v>2170</v>
      </c>
      <c r="C907" s="124">
        <v>3</v>
      </c>
      <c r="E907" s="124" t="s">
        <v>2171</v>
      </c>
      <c r="F907" s="124">
        <v>4</v>
      </c>
      <c r="G907" s="142" t="s">
        <v>2172</v>
      </c>
      <c r="H907" s="124">
        <v>303</v>
      </c>
      <c r="I907" s="128" t="s">
        <v>2173</v>
      </c>
      <c r="J907" s="124">
        <v>0</v>
      </c>
      <c r="T907" s="142" t="s">
        <v>2174</v>
      </c>
      <c r="U907" s="124" t="s">
        <v>2175</v>
      </c>
      <c r="W907" s="124">
        <v>3</v>
      </c>
      <c r="X907" s="124" t="s">
        <v>570</v>
      </c>
      <c r="Y907" s="124">
        <v>13</v>
      </c>
      <c r="Z907" s="124">
        <v>6</v>
      </c>
      <c r="AA907" s="124" t="s">
        <v>580</v>
      </c>
    </row>
    <row r="908" spans="1:34" s="124" customFormat="1" ht="15.75" customHeight="1">
      <c r="A908" s="124">
        <v>51420</v>
      </c>
      <c r="B908" s="124" t="s">
        <v>2176</v>
      </c>
      <c r="C908" s="124">
        <v>5</v>
      </c>
      <c r="E908" s="124" t="s">
        <v>2177</v>
      </c>
      <c r="F908" s="124">
        <v>1</v>
      </c>
      <c r="G908" s="124" t="s">
        <v>2178</v>
      </c>
      <c r="H908" s="124">
        <v>307</v>
      </c>
      <c r="I908" s="128" t="s">
        <v>2179</v>
      </c>
      <c r="J908" s="124">
        <v>1</v>
      </c>
      <c r="K908" s="124">
        <v>10531</v>
      </c>
      <c r="L908" s="124">
        <v>410533</v>
      </c>
      <c r="M908" s="124">
        <v>5</v>
      </c>
      <c r="N908" s="124">
        <v>33</v>
      </c>
      <c r="S908" s="124" t="s">
        <v>2180</v>
      </c>
      <c r="T908" s="124" t="s">
        <v>2181</v>
      </c>
      <c r="U908" s="124" t="s">
        <v>2182</v>
      </c>
      <c r="W908" s="124">
        <v>7</v>
      </c>
      <c r="X908" s="124" t="s">
        <v>547</v>
      </c>
      <c r="Y908" s="124">
        <v>17</v>
      </c>
      <c r="Z908" s="124">
        <v>6</v>
      </c>
      <c r="AA908" s="124" t="s">
        <v>540</v>
      </c>
      <c r="AB908" s="124" t="s">
        <v>2183</v>
      </c>
      <c r="AC908" s="124">
        <v>7</v>
      </c>
      <c r="AD908" s="124" t="s">
        <v>2184</v>
      </c>
      <c r="AE908" s="124" t="s">
        <v>2185</v>
      </c>
      <c r="AF908" s="124" t="s">
        <v>2186</v>
      </c>
      <c r="AG908" s="124" t="s">
        <v>2187</v>
      </c>
      <c r="AH908" s="124" t="s">
        <v>2188</v>
      </c>
    </row>
    <row r="909" spans="1:34" s="124" customFormat="1" ht="15.75" customHeight="1">
      <c r="A909" s="124">
        <v>52410</v>
      </c>
      <c r="B909" s="124" t="s">
        <v>2189</v>
      </c>
      <c r="C909" s="124">
        <v>5</v>
      </c>
      <c r="E909" s="124" t="s">
        <v>2177</v>
      </c>
      <c r="F909" s="124">
        <v>2</v>
      </c>
      <c r="G909" s="124" t="s">
        <v>2190</v>
      </c>
      <c r="H909" s="124">
        <v>307</v>
      </c>
      <c r="I909" s="128" t="s">
        <v>2179</v>
      </c>
      <c r="J909" s="124">
        <v>1</v>
      </c>
      <c r="K909" s="124">
        <v>20521</v>
      </c>
      <c r="L909" s="124">
        <v>420522</v>
      </c>
      <c r="M909" s="124">
        <v>1</v>
      </c>
      <c r="N909" s="124">
        <v>25</v>
      </c>
      <c r="S909" s="124" t="s">
        <v>2191</v>
      </c>
      <c r="T909" s="124" t="s">
        <v>2192</v>
      </c>
      <c r="U909" s="124" t="s">
        <v>2193</v>
      </c>
      <c r="W909" s="124">
        <v>7</v>
      </c>
      <c r="X909" s="124" t="s">
        <v>542</v>
      </c>
      <c r="Y909" s="124">
        <v>16</v>
      </c>
      <c r="Z909" s="124">
        <v>6</v>
      </c>
      <c r="AA909" s="124" t="s">
        <v>559</v>
      </c>
      <c r="AB909" s="124" t="s">
        <v>2194</v>
      </c>
      <c r="AC909" s="124">
        <v>7</v>
      </c>
      <c r="AD909" s="124" t="s">
        <v>2195</v>
      </c>
      <c r="AE909" s="124" t="s">
        <v>2196</v>
      </c>
      <c r="AF909" s="124" t="s">
        <v>2197</v>
      </c>
      <c r="AG909" s="124" t="s">
        <v>2198</v>
      </c>
      <c r="AH909" s="124" t="s">
        <v>2199</v>
      </c>
    </row>
    <row r="910" spans="1:34" s="124" customFormat="1">
      <c r="A910" s="124">
        <v>53420</v>
      </c>
      <c r="B910" s="124" t="s">
        <v>2200</v>
      </c>
      <c r="C910" s="124">
        <v>5</v>
      </c>
      <c r="E910" s="124" t="s">
        <v>2177</v>
      </c>
      <c r="F910" s="124">
        <v>3</v>
      </c>
      <c r="G910" s="124" t="s">
        <v>2201</v>
      </c>
      <c r="H910" s="124">
        <v>307</v>
      </c>
      <c r="I910" s="128" t="s">
        <v>2179</v>
      </c>
      <c r="J910" s="124">
        <v>1</v>
      </c>
      <c r="K910" s="124">
        <v>30531</v>
      </c>
      <c r="L910" s="124">
        <v>430531</v>
      </c>
      <c r="M910" s="124">
        <v>19</v>
      </c>
      <c r="N910" s="124">
        <v>43</v>
      </c>
      <c r="S910" s="124" t="s">
        <v>2202</v>
      </c>
      <c r="T910" s="124" t="s">
        <v>2203</v>
      </c>
      <c r="U910" s="124" t="s">
        <v>2204</v>
      </c>
      <c r="W910" s="124">
        <v>7</v>
      </c>
      <c r="X910" s="124" t="s">
        <v>439</v>
      </c>
      <c r="Y910" s="124">
        <v>19</v>
      </c>
      <c r="Z910" s="124">
        <v>6</v>
      </c>
      <c r="AA910" s="124" t="s">
        <v>572</v>
      </c>
      <c r="AB910" s="124" t="s">
        <v>2205</v>
      </c>
      <c r="AC910" s="124">
        <v>7</v>
      </c>
      <c r="AD910" s="124" t="s">
        <v>2206</v>
      </c>
      <c r="AE910" s="124" t="s">
        <v>2207</v>
      </c>
      <c r="AF910" s="124" t="s">
        <v>2208</v>
      </c>
      <c r="AG910" s="124" t="s">
        <v>2209</v>
      </c>
      <c r="AH910" s="124" t="s">
        <v>2210</v>
      </c>
    </row>
    <row r="911" spans="1:34" s="124" customFormat="1">
      <c r="A911" s="124">
        <v>54430</v>
      </c>
      <c r="B911" s="124" t="s">
        <v>2211</v>
      </c>
      <c r="C911" s="124">
        <v>5</v>
      </c>
      <c r="E911" s="124" t="s">
        <v>2177</v>
      </c>
      <c r="F911" s="124">
        <v>4</v>
      </c>
      <c r="G911" s="124" t="s">
        <v>2212</v>
      </c>
      <c r="H911" s="124">
        <v>307</v>
      </c>
      <c r="I911" s="128" t="s">
        <v>2179</v>
      </c>
      <c r="J911" s="124">
        <v>1</v>
      </c>
      <c r="K911" s="124">
        <v>40571</v>
      </c>
      <c r="L911" s="124">
        <v>440572</v>
      </c>
      <c r="M911" s="124">
        <v>13</v>
      </c>
      <c r="N911" s="124">
        <v>39</v>
      </c>
      <c r="S911" s="124" t="s">
        <v>2213</v>
      </c>
      <c r="T911" s="124" t="s">
        <v>2214</v>
      </c>
      <c r="U911" s="124" t="s">
        <v>2215</v>
      </c>
      <c r="W911" s="124">
        <v>7</v>
      </c>
      <c r="X911" s="124" t="s">
        <v>560</v>
      </c>
      <c r="Y911" s="124">
        <v>18</v>
      </c>
      <c r="Z911" s="124">
        <v>6</v>
      </c>
      <c r="AA911" s="124" t="s">
        <v>587</v>
      </c>
      <c r="AB911" s="124" t="s">
        <v>2216</v>
      </c>
      <c r="AC911" s="124">
        <v>7</v>
      </c>
      <c r="AD911" s="124" t="s">
        <v>2217</v>
      </c>
      <c r="AE911" s="124" t="s">
        <v>2218</v>
      </c>
      <c r="AF911" s="124" t="s">
        <v>2219</v>
      </c>
      <c r="AG911" s="124" t="s">
        <v>2220</v>
      </c>
      <c r="AH911" s="124" t="s">
        <v>2221</v>
      </c>
    </row>
    <row r="912" spans="1:34" s="124" customFormat="1">
      <c r="A912" s="124">
        <v>53410</v>
      </c>
      <c r="B912" s="124" t="s">
        <v>2222</v>
      </c>
      <c r="C912" s="124">
        <v>5</v>
      </c>
      <c r="E912" s="124" t="s">
        <v>2223</v>
      </c>
      <c r="F912" s="124">
        <v>3</v>
      </c>
      <c r="G912" s="124" t="s">
        <v>2224</v>
      </c>
      <c r="H912" s="124">
        <v>305</v>
      </c>
      <c r="I912" s="128" t="s">
        <v>2225</v>
      </c>
      <c r="J912" s="124">
        <v>1</v>
      </c>
      <c r="K912" s="124">
        <v>30511</v>
      </c>
      <c r="L912" s="124">
        <v>430513</v>
      </c>
      <c r="M912" s="124">
        <v>46</v>
      </c>
      <c r="N912" s="124">
        <v>64</v>
      </c>
      <c r="S912" s="124" t="s">
        <v>2226</v>
      </c>
      <c r="T912" s="124" t="s">
        <v>2227</v>
      </c>
      <c r="U912" s="124" t="s">
        <v>2228</v>
      </c>
      <c r="W912" s="124">
        <v>5</v>
      </c>
      <c r="X912" s="124" t="s">
        <v>536</v>
      </c>
      <c r="Y912" s="124">
        <v>1</v>
      </c>
      <c r="Z912" s="124">
        <v>4</v>
      </c>
      <c r="AA912" s="124" t="s">
        <v>577</v>
      </c>
      <c r="AB912" s="124" t="s">
        <v>2229</v>
      </c>
      <c r="AC912" s="124">
        <v>4</v>
      </c>
      <c r="AD912" s="124" t="s">
        <v>2230</v>
      </c>
      <c r="AE912" s="124" t="s">
        <v>2231</v>
      </c>
      <c r="AF912" s="124" t="s">
        <v>2232</v>
      </c>
      <c r="AG912" s="124" t="s">
        <v>2233</v>
      </c>
      <c r="AH912" s="124" t="s">
        <v>2234</v>
      </c>
    </row>
    <row r="913" spans="1:40" s="124" customFormat="1">
      <c r="I913" s="127"/>
    </row>
    <row r="914" spans="1:40" s="124" customFormat="1">
      <c r="A914" s="124">
        <v>71070</v>
      </c>
      <c r="B914" s="124" t="s">
        <v>2235</v>
      </c>
      <c r="C914" s="124">
        <v>7</v>
      </c>
      <c r="E914" s="124" t="s">
        <v>706</v>
      </c>
      <c r="F914" s="124">
        <v>1</v>
      </c>
      <c r="G914" s="124" t="s">
        <v>2236</v>
      </c>
      <c r="H914" s="124">
        <v>308</v>
      </c>
      <c r="I914" s="128" t="s">
        <v>2237</v>
      </c>
      <c r="J914" s="124">
        <v>1</v>
      </c>
      <c r="K914" s="124">
        <v>10521</v>
      </c>
      <c r="T914" s="124" t="s">
        <v>2238</v>
      </c>
      <c r="U914" s="124" t="s">
        <v>2239</v>
      </c>
      <c r="V914" s="124">
        <v>0</v>
      </c>
      <c r="W914" s="124">
        <v>5</v>
      </c>
      <c r="X914" s="124" t="s">
        <v>551</v>
      </c>
      <c r="Y914" s="124">
        <v>224</v>
      </c>
      <c r="Z914" s="124">
        <v>0</v>
      </c>
      <c r="AA914" s="124" t="s">
        <v>540</v>
      </c>
      <c r="AB914" s="124" t="s">
        <v>2240</v>
      </c>
      <c r="AC914" s="124">
        <v>4</v>
      </c>
      <c r="AD914" s="124" t="s">
        <v>2241</v>
      </c>
      <c r="AE914" s="124" t="s">
        <v>2242</v>
      </c>
      <c r="AF914" s="124" t="s">
        <v>2243</v>
      </c>
      <c r="AG914" s="124" t="s">
        <v>2244</v>
      </c>
      <c r="AH914" s="124" t="s">
        <v>2245</v>
      </c>
    </row>
    <row r="915" spans="1:40" s="124" customFormat="1" ht="18" customHeight="1">
      <c r="A915" s="124">
        <v>31580</v>
      </c>
      <c r="B915" s="124" t="s">
        <v>2246</v>
      </c>
      <c r="C915" s="124">
        <v>3</v>
      </c>
      <c r="E915" s="124" t="s">
        <v>2247</v>
      </c>
      <c r="F915" s="124">
        <v>1</v>
      </c>
      <c r="G915" s="142" t="s">
        <v>2248</v>
      </c>
      <c r="H915" s="124">
        <v>304</v>
      </c>
      <c r="I915" s="128" t="s">
        <v>2249</v>
      </c>
      <c r="J915" s="124">
        <v>0</v>
      </c>
      <c r="T915" s="142" t="s">
        <v>2250</v>
      </c>
      <c r="U915" s="124" t="s">
        <v>2251</v>
      </c>
      <c r="W915" s="124">
        <v>3</v>
      </c>
      <c r="X915" s="124" t="s">
        <v>551</v>
      </c>
      <c r="Y915" s="124">
        <v>10</v>
      </c>
      <c r="Z915" s="124">
        <v>7</v>
      </c>
      <c r="AA915" s="124" t="s">
        <v>516</v>
      </c>
    </row>
    <row r="916" spans="1:40" s="124" customFormat="1">
      <c r="A916" s="124">
        <v>31570</v>
      </c>
      <c r="B916" s="124" t="s">
        <v>2252</v>
      </c>
      <c r="C916" s="124">
        <v>3</v>
      </c>
      <c r="E916" s="124" t="s">
        <v>2253</v>
      </c>
      <c r="F916" s="124">
        <v>1</v>
      </c>
      <c r="G916" s="124" t="s">
        <v>2254</v>
      </c>
      <c r="H916" s="124">
        <v>306</v>
      </c>
      <c r="I916" s="128" t="s">
        <v>2255</v>
      </c>
      <c r="J916" s="124">
        <v>0</v>
      </c>
      <c r="T916" s="124" t="s">
        <v>2256</v>
      </c>
      <c r="U916" s="124" t="s">
        <v>2257</v>
      </c>
      <c r="W916" s="124">
        <v>8</v>
      </c>
      <c r="X916" s="124" t="s">
        <v>542</v>
      </c>
      <c r="Y916" s="124">
        <v>9</v>
      </c>
      <c r="Z916" s="124">
        <v>4</v>
      </c>
      <c r="AA916" s="124" t="s">
        <v>443</v>
      </c>
    </row>
    <row r="917" spans="1:40" s="124" customFormat="1">
      <c r="A917" s="124">
        <v>32560</v>
      </c>
      <c r="B917" s="124" t="s">
        <v>2258</v>
      </c>
      <c r="C917" s="124">
        <v>3</v>
      </c>
      <c r="E917" s="124" t="s">
        <v>2253</v>
      </c>
      <c r="F917" s="124">
        <v>2</v>
      </c>
      <c r="G917" s="124" t="s">
        <v>2259</v>
      </c>
      <c r="H917" s="124">
        <v>306</v>
      </c>
      <c r="I917" s="128" t="s">
        <v>2255</v>
      </c>
      <c r="J917" s="124">
        <v>0</v>
      </c>
      <c r="T917" s="124" t="s">
        <v>2260</v>
      </c>
      <c r="U917" s="124" t="s">
        <v>2261</v>
      </c>
      <c r="W917" s="124">
        <v>8</v>
      </c>
      <c r="X917" s="124" t="s">
        <v>484</v>
      </c>
      <c r="Y917" s="124">
        <v>8</v>
      </c>
      <c r="Z917" s="124">
        <v>6</v>
      </c>
      <c r="AA917" s="124" t="s">
        <v>554</v>
      </c>
    </row>
    <row r="918" spans="1:40" s="124" customFormat="1">
      <c r="A918" s="124">
        <v>33600</v>
      </c>
      <c r="B918" s="124" t="s">
        <v>2262</v>
      </c>
      <c r="C918" s="124">
        <v>3</v>
      </c>
      <c r="E918" s="124" t="s">
        <v>2253</v>
      </c>
      <c r="F918" s="124">
        <v>3</v>
      </c>
      <c r="G918" s="124" t="s">
        <v>2263</v>
      </c>
      <c r="H918" s="124">
        <v>306</v>
      </c>
      <c r="I918" s="128" t="s">
        <v>2255</v>
      </c>
      <c r="J918" s="124">
        <v>0</v>
      </c>
      <c r="T918" s="124" t="s">
        <v>2264</v>
      </c>
      <c r="U918" s="124" t="s">
        <v>2265</v>
      </c>
      <c r="W918" s="124">
        <v>8</v>
      </c>
      <c r="X918" s="124" t="s">
        <v>570</v>
      </c>
      <c r="Y918" s="124">
        <v>11</v>
      </c>
      <c r="Z918" s="124">
        <v>5</v>
      </c>
      <c r="AA918" s="124" t="s">
        <v>573</v>
      </c>
    </row>
    <row r="919" spans="1:40" s="124" customFormat="1">
      <c r="A919" s="124">
        <v>34620</v>
      </c>
      <c r="B919" s="124" t="s">
        <v>2266</v>
      </c>
      <c r="C919" s="124">
        <v>3</v>
      </c>
      <c r="E919" s="124" t="s">
        <v>2253</v>
      </c>
      <c r="F919" s="124">
        <v>4</v>
      </c>
      <c r="G919" s="124" t="s">
        <v>2267</v>
      </c>
      <c r="H919" s="124">
        <v>306</v>
      </c>
      <c r="I919" s="128" t="s">
        <v>2255</v>
      </c>
      <c r="J919" s="124">
        <v>0</v>
      </c>
      <c r="T919" s="124" t="s">
        <v>2268</v>
      </c>
      <c r="U919" s="124" t="s">
        <v>2269</v>
      </c>
      <c r="W919" s="124">
        <v>8</v>
      </c>
      <c r="X919" s="124" t="s">
        <v>547</v>
      </c>
      <c r="Y919" s="124">
        <v>14</v>
      </c>
      <c r="Z919" s="124">
        <v>8</v>
      </c>
      <c r="AA919" s="124" t="s">
        <v>580</v>
      </c>
    </row>
    <row r="920" spans="1:40" s="124" customFormat="1">
      <c r="A920" s="124">
        <v>38090</v>
      </c>
      <c r="B920" s="124" t="s">
        <v>2270</v>
      </c>
      <c r="C920" s="124">
        <v>3</v>
      </c>
      <c r="E920" s="124" t="s">
        <v>2253</v>
      </c>
      <c r="F920" s="124">
        <v>8</v>
      </c>
      <c r="G920" s="124" t="s">
        <v>2271</v>
      </c>
      <c r="H920" s="124">
        <v>306</v>
      </c>
      <c r="I920" s="128" t="s">
        <v>2255</v>
      </c>
      <c r="J920" s="124">
        <v>0</v>
      </c>
      <c r="O920" s="124">
        <v>1</v>
      </c>
      <c r="T920" s="124" t="s">
        <v>2272</v>
      </c>
      <c r="U920" s="124" t="s">
        <v>2273</v>
      </c>
      <c r="W920" s="124">
        <v>8</v>
      </c>
      <c r="X920" s="124" t="s">
        <v>539</v>
      </c>
      <c r="Y920" s="124">
        <v>15</v>
      </c>
      <c r="Z920" s="124">
        <v>3</v>
      </c>
      <c r="AA920" s="124" t="s">
        <v>588</v>
      </c>
    </row>
    <row r="921" spans="1:40" s="124" customFormat="1">
      <c r="A921" s="124">
        <v>72050</v>
      </c>
      <c r="B921" s="124" t="s">
        <v>2274</v>
      </c>
      <c r="C921" s="124">
        <v>7</v>
      </c>
      <c r="E921" s="124" t="s">
        <v>816</v>
      </c>
      <c r="F921" s="124">
        <v>2</v>
      </c>
      <c r="G921" s="124" t="s">
        <v>2275</v>
      </c>
      <c r="H921" s="124">
        <v>303</v>
      </c>
      <c r="I921" s="128" t="s">
        <v>2255</v>
      </c>
      <c r="J921" s="124">
        <v>1</v>
      </c>
      <c r="K921" s="124">
        <v>20511</v>
      </c>
      <c r="L921" s="124">
        <v>420512</v>
      </c>
      <c r="M921" s="124">
        <v>1</v>
      </c>
      <c r="N921" s="124">
        <v>18</v>
      </c>
      <c r="P921" s="124" t="s">
        <v>2276</v>
      </c>
      <c r="T921" s="124" t="s">
        <v>2277</v>
      </c>
      <c r="U921" s="124" t="s">
        <v>2278</v>
      </c>
      <c r="V921" s="124">
        <v>0</v>
      </c>
      <c r="W921" s="124">
        <v>7</v>
      </c>
      <c r="X921" s="124" t="s">
        <v>556</v>
      </c>
      <c r="Y921" s="124">
        <v>18</v>
      </c>
      <c r="Z921" s="124">
        <v>0</v>
      </c>
      <c r="AA921" s="124" t="s">
        <v>563</v>
      </c>
      <c r="AB921" s="124" t="s">
        <v>2279</v>
      </c>
      <c r="AC921" s="124">
        <v>7</v>
      </c>
      <c r="AD921" s="124" t="s">
        <v>2280</v>
      </c>
      <c r="AE921" s="124" t="s">
        <v>2281</v>
      </c>
      <c r="AF921" s="124" t="s">
        <v>2282</v>
      </c>
      <c r="AG921" s="124" t="s">
        <v>2283</v>
      </c>
      <c r="AH921" s="124" t="s">
        <v>2284</v>
      </c>
    </row>
    <row r="922" spans="1:40" s="124" customFormat="1">
      <c r="A922" s="124">
        <v>74060</v>
      </c>
      <c r="B922" s="124" t="s">
        <v>2285</v>
      </c>
      <c r="C922" s="124">
        <v>7</v>
      </c>
      <c r="E922" s="124" t="s">
        <v>816</v>
      </c>
      <c r="F922" s="124">
        <v>4</v>
      </c>
      <c r="G922" s="124" t="s">
        <v>2286</v>
      </c>
      <c r="H922" s="124">
        <v>306</v>
      </c>
      <c r="I922" s="128" t="s">
        <v>2255</v>
      </c>
      <c r="J922" s="124">
        <v>1</v>
      </c>
      <c r="K922" s="124">
        <v>40581</v>
      </c>
      <c r="L922" s="124">
        <v>440583</v>
      </c>
      <c r="M922" s="124">
        <v>5</v>
      </c>
      <c r="N922" s="124">
        <v>18</v>
      </c>
      <c r="P922" s="124" t="s">
        <v>2287</v>
      </c>
      <c r="T922" s="124" t="s">
        <v>2288</v>
      </c>
      <c r="U922" s="124" t="s">
        <v>2289</v>
      </c>
      <c r="V922" s="124">
        <v>1</v>
      </c>
      <c r="W922" s="124">
        <v>7</v>
      </c>
      <c r="X922" s="124" t="s">
        <v>560</v>
      </c>
      <c r="Y922" s="124">
        <v>17</v>
      </c>
      <c r="Z922" s="124">
        <v>0</v>
      </c>
      <c r="AA922" s="124" t="s">
        <v>582</v>
      </c>
      <c r="AB922" s="124" t="s">
        <v>2290</v>
      </c>
      <c r="AC922" s="124">
        <v>7</v>
      </c>
      <c r="AD922" s="124" t="s">
        <v>2291</v>
      </c>
      <c r="AE922" s="124" t="s">
        <v>2292</v>
      </c>
      <c r="AF922" s="124" t="s">
        <v>2293</v>
      </c>
      <c r="AG922" s="124" t="s">
        <v>2294</v>
      </c>
      <c r="AH922" s="124" t="s">
        <v>2295</v>
      </c>
    </row>
    <row r="923" spans="1:40" s="124" customFormat="1">
      <c r="A923" s="124">
        <v>71050</v>
      </c>
      <c r="B923" s="124" t="s">
        <v>2296</v>
      </c>
      <c r="C923" s="124">
        <v>7</v>
      </c>
      <c r="E923" s="124" t="s">
        <v>789</v>
      </c>
      <c r="F923" s="124">
        <v>1</v>
      </c>
      <c r="G923" s="124" t="s">
        <v>2297</v>
      </c>
      <c r="H923" s="124">
        <v>307</v>
      </c>
      <c r="I923" s="128" t="s">
        <v>2255</v>
      </c>
      <c r="J923" s="124">
        <v>2</v>
      </c>
      <c r="K923" s="124">
        <v>12</v>
      </c>
      <c r="P923" s="124" t="s">
        <v>2298</v>
      </c>
      <c r="T923" s="124" t="s">
        <v>2299</v>
      </c>
      <c r="U923" s="124" t="s">
        <v>2300</v>
      </c>
      <c r="V923" s="124">
        <v>1</v>
      </c>
      <c r="W923" s="124">
        <v>6</v>
      </c>
      <c r="X923" s="124" t="s">
        <v>536</v>
      </c>
      <c r="Y923" s="124">
        <v>125</v>
      </c>
      <c r="Z923" s="124">
        <v>0</v>
      </c>
      <c r="AA923" s="124" t="s">
        <v>532</v>
      </c>
      <c r="AN923" s="124">
        <v>12021</v>
      </c>
    </row>
    <row r="924" spans="1:40" s="124" customFormat="1">
      <c r="A924" s="124">
        <v>72060</v>
      </c>
      <c r="B924" s="124" t="s">
        <v>2301</v>
      </c>
      <c r="C924" s="124">
        <v>7</v>
      </c>
      <c r="E924" s="124" t="s">
        <v>789</v>
      </c>
      <c r="F924" s="124">
        <v>2</v>
      </c>
      <c r="G924" s="124" t="s">
        <v>2302</v>
      </c>
      <c r="H924" s="124">
        <v>307</v>
      </c>
      <c r="I924" s="128" t="s">
        <v>2255</v>
      </c>
      <c r="J924" s="124">
        <v>2</v>
      </c>
      <c r="K924" s="124">
        <v>22</v>
      </c>
      <c r="P924" s="124" t="s">
        <v>2303</v>
      </c>
      <c r="T924" s="124" t="s">
        <v>2304</v>
      </c>
      <c r="U924" s="124" t="s">
        <v>2305</v>
      </c>
      <c r="V924" s="124">
        <v>1</v>
      </c>
      <c r="W924" s="124">
        <v>6</v>
      </c>
      <c r="X924" s="124" t="s">
        <v>558</v>
      </c>
      <c r="Y924" s="124">
        <v>126</v>
      </c>
      <c r="Z924" s="124">
        <v>0</v>
      </c>
      <c r="AA924" s="124" t="s">
        <v>559</v>
      </c>
      <c r="AN924" s="124">
        <v>22021</v>
      </c>
    </row>
    <row r="925" spans="1:40" s="124" customFormat="1">
      <c r="A925" s="124">
        <v>73050</v>
      </c>
      <c r="B925" s="124" t="s">
        <v>2306</v>
      </c>
      <c r="C925" s="124">
        <v>7</v>
      </c>
      <c r="E925" s="124" t="s">
        <v>789</v>
      </c>
      <c r="F925" s="124">
        <v>3</v>
      </c>
      <c r="G925" s="124" t="s">
        <v>2307</v>
      </c>
      <c r="H925" s="124">
        <v>307</v>
      </c>
      <c r="I925" s="128" t="s">
        <v>2255</v>
      </c>
      <c r="J925" s="124">
        <v>2</v>
      </c>
      <c r="K925" s="124">
        <v>32</v>
      </c>
      <c r="P925" s="124" t="s">
        <v>2308</v>
      </c>
      <c r="T925" s="124" t="s">
        <v>2309</v>
      </c>
      <c r="U925" s="124" t="s">
        <v>2310</v>
      </c>
      <c r="V925" s="124">
        <v>1</v>
      </c>
      <c r="W925" s="124">
        <v>6</v>
      </c>
      <c r="X925" s="124" t="s">
        <v>531</v>
      </c>
      <c r="Y925" s="124">
        <v>127</v>
      </c>
      <c r="Z925" s="124">
        <v>0</v>
      </c>
      <c r="AA925" s="124" t="s">
        <v>577</v>
      </c>
      <c r="AN925" s="124">
        <v>32021</v>
      </c>
    </row>
    <row r="926" spans="1:40" s="124" customFormat="1">
      <c r="A926" s="124">
        <v>74050</v>
      </c>
      <c r="B926" s="124" t="s">
        <v>2311</v>
      </c>
      <c r="C926" s="124">
        <v>7</v>
      </c>
      <c r="E926" s="124" t="s">
        <v>789</v>
      </c>
      <c r="F926" s="124">
        <v>4</v>
      </c>
      <c r="G926" s="124" t="s">
        <v>2312</v>
      </c>
      <c r="H926" s="124">
        <v>307</v>
      </c>
      <c r="I926" s="128" t="s">
        <v>2255</v>
      </c>
      <c r="J926" s="124">
        <v>2</v>
      </c>
      <c r="K926" s="124">
        <v>42</v>
      </c>
      <c r="P926" s="124" t="s">
        <v>2313</v>
      </c>
      <c r="T926" s="124" t="s">
        <v>2314</v>
      </c>
      <c r="U926" s="124" t="s">
        <v>2315</v>
      </c>
      <c r="V926" s="124">
        <v>1</v>
      </c>
      <c r="W926" s="124">
        <v>6</v>
      </c>
      <c r="X926" s="124" t="s">
        <v>562</v>
      </c>
      <c r="Y926" s="124">
        <v>128</v>
      </c>
      <c r="Z926" s="124">
        <v>0</v>
      </c>
      <c r="AA926" s="124" t="s">
        <v>586</v>
      </c>
      <c r="AN926" s="124">
        <v>42021</v>
      </c>
    </row>
    <row r="927" spans="1:40" s="124" customFormat="1">
      <c r="A927" s="124">
        <v>78040</v>
      </c>
      <c r="B927" s="124" t="s">
        <v>2316</v>
      </c>
      <c r="C927" s="124">
        <v>7</v>
      </c>
      <c r="E927" s="124" t="s">
        <v>789</v>
      </c>
      <c r="F927" s="124">
        <v>8</v>
      </c>
      <c r="G927" s="124" t="s">
        <v>2317</v>
      </c>
      <c r="H927" s="124">
        <v>307</v>
      </c>
      <c r="I927" s="128" t="s">
        <v>2255</v>
      </c>
      <c r="J927" s="124">
        <v>2</v>
      </c>
      <c r="K927" s="124">
        <v>82</v>
      </c>
      <c r="O927" s="124">
        <v>1</v>
      </c>
      <c r="P927" s="124" t="s">
        <v>2318</v>
      </c>
      <c r="T927" s="124" t="s">
        <v>2319</v>
      </c>
      <c r="U927" s="124" t="s">
        <v>2320</v>
      </c>
      <c r="V927" s="124">
        <v>1</v>
      </c>
      <c r="W927" s="124">
        <v>6</v>
      </c>
      <c r="X927" s="124" t="s">
        <v>439</v>
      </c>
      <c r="Y927" s="124">
        <v>129</v>
      </c>
      <c r="Z927" s="124">
        <v>0</v>
      </c>
      <c r="AA927" s="124" t="s">
        <v>589</v>
      </c>
      <c r="AN927" s="124">
        <v>82021</v>
      </c>
    </row>
    <row r="928" spans="1:40" s="124" customFormat="1">
      <c r="A928" s="124">
        <v>71060</v>
      </c>
      <c r="B928" s="124" t="s">
        <v>2321</v>
      </c>
      <c r="C928" s="124">
        <v>7</v>
      </c>
      <c r="E928" s="126" t="s">
        <v>2322</v>
      </c>
      <c r="F928" s="124">
        <v>1</v>
      </c>
      <c r="G928" s="124" t="s">
        <v>2323</v>
      </c>
      <c r="H928" s="124">
        <v>301</v>
      </c>
      <c r="I928" s="128" t="s">
        <v>2255</v>
      </c>
      <c r="J928" s="124">
        <v>1</v>
      </c>
      <c r="K928" s="124">
        <v>10501</v>
      </c>
      <c r="T928" s="124" t="s">
        <v>2324</v>
      </c>
      <c r="U928" s="124" t="s">
        <v>2325</v>
      </c>
      <c r="V928" s="124">
        <v>1</v>
      </c>
      <c r="W928" s="124">
        <v>3</v>
      </c>
      <c r="X928" s="124" t="s">
        <v>558</v>
      </c>
      <c r="Y928" s="124">
        <v>123</v>
      </c>
      <c r="Z928" s="124">
        <v>0</v>
      </c>
      <c r="AA928" s="124" t="s">
        <v>488</v>
      </c>
      <c r="AB928" s="124" t="s">
        <v>2326</v>
      </c>
      <c r="AC928" s="124">
        <v>4</v>
      </c>
      <c r="AD928" s="124" t="s">
        <v>2327</v>
      </c>
      <c r="AE928" s="124" t="s">
        <v>2328</v>
      </c>
      <c r="AF928" s="124" t="s">
        <v>2329</v>
      </c>
      <c r="AG928" s="124" t="s">
        <v>2330</v>
      </c>
      <c r="AH928" s="124" t="s">
        <v>2331</v>
      </c>
    </row>
    <row r="929" spans="1:34" s="124" customFormat="1">
      <c r="A929" s="124">
        <v>72070</v>
      </c>
      <c r="B929" s="124" t="s">
        <v>2332</v>
      </c>
      <c r="C929" s="124">
        <v>7</v>
      </c>
      <c r="E929" s="126" t="s">
        <v>2333</v>
      </c>
      <c r="F929" s="124">
        <v>2</v>
      </c>
      <c r="G929" s="124" t="s">
        <v>2334</v>
      </c>
      <c r="H929" s="124">
        <v>308</v>
      </c>
      <c r="I929" s="128" t="s">
        <v>2255</v>
      </c>
      <c r="J929" s="124">
        <v>1</v>
      </c>
      <c r="K929" s="124">
        <v>20501</v>
      </c>
      <c r="P929" s="124" t="s">
        <v>2335</v>
      </c>
      <c r="T929" s="124" t="s">
        <v>2336</v>
      </c>
      <c r="U929" s="124" t="s">
        <v>2337</v>
      </c>
      <c r="V929" s="124">
        <v>1</v>
      </c>
      <c r="W929" s="124">
        <v>3</v>
      </c>
      <c r="X929" s="124" t="s">
        <v>562</v>
      </c>
      <c r="Y929" s="124">
        <v>124</v>
      </c>
      <c r="Z929" s="124">
        <v>0</v>
      </c>
      <c r="AA929" s="124" t="s">
        <v>543</v>
      </c>
      <c r="AB929" s="124" t="s">
        <v>2338</v>
      </c>
      <c r="AC929" s="124">
        <v>4</v>
      </c>
      <c r="AD929" s="124" t="s">
        <v>2339</v>
      </c>
      <c r="AE929" s="124" t="s">
        <v>2340</v>
      </c>
      <c r="AF929" s="124" t="s">
        <v>2341</v>
      </c>
      <c r="AG929" s="124" t="s">
        <v>2342</v>
      </c>
      <c r="AH929" s="124" t="s">
        <v>2343</v>
      </c>
    </row>
    <row r="930" spans="1:34" s="124" customFormat="1">
      <c r="A930" s="124">
        <v>73060</v>
      </c>
      <c r="B930" s="124" t="s">
        <v>2344</v>
      </c>
      <c r="C930" s="124">
        <v>7</v>
      </c>
      <c r="E930" s="126" t="s">
        <v>2345</v>
      </c>
      <c r="F930" s="124">
        <v>3</v>
      </c>
      <c r="G930" s="124" t="s">
        <v>2346</v>
      </c>
      <c r="H930" s="124">
        <v>301</v>
      </c>
      <c r="I930" s="128" t="s">
        <v>2255</v>
      </c>
      <c r="J930" s="124">
        <v>1</v>
      </c>
      <c r="K930" s="124">
        <v>30521</v>
      </c>
      <c r="P930" s="124" t="s">
        <v>2347</v>
      </c>
      <c r="T930" s="124" t="s">
        <v>2348</v>
      </c>
      <c r="U930" s="124" t="s">
        <v>2349</v>
      </c>
      <c r="V930" s="124">
        <v>1</v>
      </c>
      <c r="W930" s="124">
        <v>3</v>
      </c>
      <c r="X930" s="124" t="s">
        <v>468</v>
      </c>
      <c r="Y930" s="124">
        <v>120</v>
      </c>
      <c r="Z930" s="124">
        <v>0</v>
      </c>
      <c r="AA930" s="124" t="s">
        <v>569</v>
      </c>
      <c r="AB930" s="124" t="s">
        <v>2350</v>
      </c>
      <c r="AC930" s="124">
        <v>4</v>
      </c>
      <c r="AD930" s="124" t="s">
        <v>2351</v>
      </c>
      <c r="AE930" s="124" t="s">
        <v>2352</v>
      </c>
      <c r="AF930" s="124" t="s">
        <v>2353</v>
      </c>
      <c r="AG930" s="124" t="s">
        <v>2354</v>
      </c>
      <c r="AH930" s="124" t="s">
        <v>2355</v>
      </c>
    </row>
    <row r="931" spans="1:34" s="124" customFormat="1">
      <c r="A931" s="124">
        <v>74070</v>
      </c>
      <c r="B931" s="124" t="s">
        <v>2356</v>
      </c>
      <c r="C931" s="124">
        <v>7</v>
      </c>
      <c r="E931" s="126" t="s">
        <v>2357</v>
      </c>
      <c r="F931" s="124">
        <v>4</v>
      </c>
      <c r="G931" s="124" t="s">
        <v>2358</v>
      </c>
      <c r="H931" s="124">
        <v>304</v>
      </c>
      <c r="I931" s="128" t="s">
        <v>2255</v>
      </c>
      <c r="J931" s="124">
        <v>1</v>
      </c>
      <c r="K931" s="124">
        <v>40551</v>
      </c>
      <c r="P931" s="124" t="s">
        <v>2359</v>
      </c>
      <c r="T931" s="124" t="s">
        <v>2360</v>
      </c>
      <c r="U931" s="124" t="s">
        <v>2361</v>
      </c>
      <c r="V931" s="124">
        <v>1</v>
      </c>
      <c r="W931" s="124">
        <v>3</v>
      </c>
      <c r="X931" s="124" t="s">
        <v>452</v>
      </c>
      <c r="Y931" s="124">
        <v>121</v>
      </c>
      <c r="Z931" s="124">
        <v>0</v>
      </c>
      <c r="AA931" s="124" t="s">
        <v>581</v>
      </c>
      <c r="AB931" s="124" t="s">
        <v>2362</v>
      </c>
      <c r="AC931" s="124">
        <v>4</v>
      </c>
      <c r="AD931" s="124" t="s">
        <v>2363</v>
      </c>
      <c r="AE931" s="124" t="s">
        <v>2364</v>
      </c>
      <c r="AF931" s="124" t="s">
        <v>2365</v>
      </c>
      <c r="AG931" s="124" t="s">
        <v>2366</v>
      </c>
      <c r="AH931" s="124" t="s">
        <v>2367</v>
      </c>
    </row>
    <row r="932" spans="1:34" s="124" customFormat="1">
      <c r="A932" s="124">
        <v>78050</v>
      </c>
      <c r="B932" s="124" t="s">
        <v>2368</v>
      </c>
      <c r="C932" s="124">
        <v>7</v>
      </c>
      <c r="E932" s="126" t="s">
        <v>2369</v>
      </c>
      <c r="F932" s="124">
        <v>8</v>
      </c>
      <c r="G932" s="124" t="s">
        <v>2370</v>
      </c>
      <c r="H932" s="124">
        <v>305</v>
      </c>
      <c r="I932" s="128" t="s">
        <v>2255</v>
      </c>
      <c r="J932" s="124">
        <v>1</v>
      </c>
      <c r="K932" s="124">
        <v>80081</v>
      </c>
      <c r="O932" s="124">
        <v>1</v>
      </c>
      <c r="P932" s="124" t="s">
        <v>2371</v>
      </c>
      <c r="T932" s="124" t="s">
        <v>2372</v>
      </c>
      <c r="U932" s="124" t="s">
        <v>2373</v>
      </c>
      <c r="V932" s="124">
        <v>1</v>
      </c>
      <c r="W932" s="124">
        <v>3</v>
      </c>
      <c r="X932" s="124" t="s">
        <v>542</v>
      </c>
      <c r="Y932" s="124">
        <v>122</v>
      </c>
      <c r="Z932" s="124">
        <v>0</v>
      </c>
      <c r="AA932" s="124" t="s">
        <v>588</v>
      </c>
      <c r="AB932" s="124" t="s">
        <v>2374</v>
      </c>
      <c r="AC932" s="124">
        <v>4</v>
      </c>
      <c r="AD932" s="124" t="s">
        <v>2375</v>
      </c>
      <c r="AE932" s="124" t="s">
        <v>2376</v>
      </c>
      <c r="AF932" s="124" t="s">
        <v>2377</v>
      </c>
      <c r="AG932" s="124" t="s">
        <v>2378</v>
      </c>
      <c r="AH932" s="124" t="s">
        <v>2379</v>
      </c>
    </row>
    <row r="933" spans="1:34" s="124" customFormat="1">
      <c r="A933" s="124">
        <v>810107</v>
      </c>
      <c r="B933" s="124" t="s">
        <v>2380</v>
      </c>
      <c r="C933" s="124">
        <v>8</v>
      </c>
      <c r="E933" s="124" t="s">
        <v>747</v>
      </c>
      <c r="F933" s="124">
        <v>1</v>
      </c>
      <c r="H933" s="124">
        <v>304</v>
      </c>
      <c r="I933" s="128" t="s">
        <v>748</v>
      </c>
      <c r="P933" s="124" t="s">
        <v>1655</v>
      </c>
      <c r="R933" s="124" t="s">
        <v>2381</v>
      </c>
      <c r="W933" s="124" t="s">
        <v>2382</v>
      </c>
      <c r="X933" s="124" t="s">
        <v>468</v>
      </c>
      <c r="Y933" s="124">
        <v>104</v>
      </c>
      <c r="AA933" s="124" t="s">
        <v>540</v>
      </c>
    </row>
    <row r="934" spans="1:34" s="124" customFormat="1">
      <c r="A934" s="124">
        <v>810207</v>
      </c>
      <c r="B934" s="124" t="s">
        <v>2383</v>
      </c>
      <c r="C934" s="124">
        <v>8</v>
      </c>
      <c r="E934" s="124" t="s">
        <v>747</v>
      </c>
      <c r="F934" s="124">
        <v>1</v>
      </c>
      <c r="H934" s="124">
        <v>307</v>
      </c>
      <c r="I934" s="128" t="s">
        <v>748</v>
      </c>
      <c r="P934" s="124" t="s">
        <v>1659</v>
      </c>
      <c r="R934" s="124" t="s">
        <v>2384</v>
      </c>
      <c r="W934" s="124" t="s">
        <v>2385</v>
      </c>
      <c r="X934" s="124" t="s">
        <v>549</v>
      </c>
      <c r="Y934" s="124">
        <v>105</v>
      </c>
      <c r="AA934" s="124" t="s">
        <v>540</v>
      </c>
    </row>
    <row r="935" spans="1:34" s="124" customFormat="1">
      <c r="A935" s="124">
        <v>810307</v>
      </c>
      <c r="B935" s="124" t="s">
        <v>2386</v>
      </c>
      <c r="C935" s="124">
        <v>8</v>
      </c>
      <c r="E935" s="124" t="s">
        <v>747</v>
      </c>
      <c r="F935" s="124">
        <v>1</v>
      </c>
      <c r="H935" s="124">
        <v>305</v>
      </c>
      <c r="I935" s="128" t="s">
        <v>748</v>
      </c>
      <c r="P935" s="124" t="s">
        <v>1663</v>
      </c>
      <c r="R935" s="124" t="s">
        <v>2387</v>
      </c>
      <c r="W935" s="124" t="s">
        <v>2388</v>
      </c>
      <c r="X935" s="124" t="s">
        <v>539</v>
      </c>
      <c r="Y935" s="124">
        <v>106</v>
      </c>
      <c r="AA935" s="124" t="s">
        <v>540</v>
      </c>
    </row>
    <row r="936" spans="1:34" s="124" customFormat="1">
      <c r="A936" s="124">
        <v>810407</v>
      </c>
      <c r="B936" s="124" t="s">
        <v>2389</v>
      </c>
      <c r="C936" s="124">
        <v>8</v>
      </c>
      <c r="E936" s="124" t="s">
        <v>747</v>
      </c>
      <c r="F936" s="124">
        <v>1</v>
      </c>
      <c r="H936" s="124">
        <v>306</v>
      </c>
      <c r="I936" s="128" t="s">
        <v>748</v>
      </c>
      <c r="P936" s="124" t="s">
        <v>1667</v>
      </c>
      <c r="R936" s="124" t="s">
        <v>2390</v>
      </c>
      <c r="W936" s="124" t="s">
        <v>2391</v>
      </c>
      <c r="X936" s="124" t="s">
        <v>536</v>
      </c>
      <c r="Y936" s="124">
        <v>107</v>
      </c>
      <c r="AA936" s="124" t="s">
        <v>540</v>
      </c>
    </row>
    <row r="937" spans="1:34" s="124" customFormat="1">
      <c r="A937" s="124">
        <v>810105</v>
      </c>
      <c r="B937" s="124" t="s">
        <v>2392</v>
      </c>
      <c r="C937" s="124">
        <v>8</v>
      </c>
      <c r="E937" s="124" t="s">
        <v>747</v>
      </c>
      <c r="F937" s="124">
        <v>1</v>
      </c>
      <c r="H937" s="124">
        <v>304</v>
      </c>
      <c r="I937" s="128" t="s">
        <v>748</v>
      </c>
      <c r="P937" s="124" t="s">
        <v>2393</v>
      </c>
      <c r="R937" s="124" t="s">
        <v>2394</v>
      </c>
      <c r="W937" s="124" t="s">
        <v>2395</v>
      </c>
      <c r="X937" s="124" t="s">
        <v>439</v>
      </c>
      <c r="Y937" s="124">
        <v>108</v>
      </c>
      <c r="AA937" s="124" t="s">
        <v>532</v>
      </c>
    </row>
    <row r="938" spans="1:34" s="124" customFormat="1">
      <c r="A938" s="124">
        <v>810205</v>
      </c>
      <c r="B938" s="124" t="s">
        <v>2396</v>
      </c>
      <c r="C938" s="124">
        <v>8</v>
      </c>
      <c r="E938" s="124" t="s">
        <v>747</v>
      </c>
      <c r="F938" s="124">
        <v>1</v>
      </c>
      <c r="H938" s="124">
        <v>307</v>
      </c>
      <c r="I938" s="128" t="s">
        <v>748</v>
      </c>
      <c r="P938" s="124" t="s">
        <v>2397</v>
      </c>
      <c r="R938" s="124" t="s">
        <v>2398</v>
      </c>
      <c r="W938" s="124" t="s">
        <v>2399</v>
      </c>
      <c r="X938" s="124" t="s">
        <v>551</v>
      </c>
      <c r="Y938" s="124">
        <v>109</v>
      </c>
      <c r="AA938" s="124" t="s">
        <v>532</v>
      </c>
    </row>
    <row r="939" spans="1:34" s="124" customFormat="1">
      <c r="A939" s="124">
        <v>810305</v>
      </c>
      <c r="B939" s="124" t="s">
        <v>2400</v>
      </c>
      <c r="C939" s="124">
        <v>8</v>
      </c>
      <c r="E939" s="124" t="s">
        <v>747</v>
      </c>
      <c r="F939" s="124">
        <v>1</v>
      </c>
      <c r="H939" s="124">
        <v>305</v>
      </c>
      <c r="I939" s="128" t="s">
        <v>748</v>
      </c>
      <c r="P939" s="124" t="s">
        <v>2401</v>
      </c>
      <c r="R939" s="124" t="s">
        <v>2402</v>
      </c>
      <c r="W939" s="124" t="s">
        <v>2403</v>
      </c>
      <c r="X939" s="124" t="s">
        <v>539</v>
      </c>
      <c r="Y939" s="124">
        <v>110</v>
      </c>
      <c r="AA939" s="124" t="s">
        <v>532</v>
      </c>
    </row>
    <row r="940" spans="1:34" s="124" customFormat="1">
      <c r="A940" s="124">
        <v>810405</v>
      </c>
      <c r="B940" s="124" t="s">
        <v>2404</v>
      </c>
      <c r="C940" s="124">
        <v>8</v>
      </c>
      <c r="E940" s="124" t="s">
        <v>747</v>
      </c>
      <c r="F940" s="124">
        <v>1</v>
      </c>
      <c r="H940" s="124">
        <v>306</v>
      </c>
      <c r="I940" s="128" t="s">
        <v>748</v>
      </c>
      <c r="P940" s="124" t="s">
        <v>2405</v>
      </c>
      <c r="R940" s="124" t="s">
        <v>2406</v>
      </c>
      <c r="W940" s="124" t="s">
        <v>2407</v>
      </c>
      <c r="X940" s="124" t="s">
        <v>539</v>
      </c>
      <c r="Y940" s="124">
        <v>204</v>
      </c>
      <c r="AA940" s="124" t="s">
        <v>532</v>
      </c>
    </row>
    <row r="941" spans="1:34" s="124" customFormat="1">
      <c r="A941" s="124">
        <v>810507</v>
      </c>
      <c r="B941" s="124" t="s">
        <v>2408</v>
      </c>
      <c r="C941" s="124">
        <v>8</v>
      </c>
      <c r="E941" s="124" t="s">
        <v>747</v>
      </c>
      <c r="F941" s="124">
        <v>1</v>
      </c>
      <c r="H941" s="124">
        <v>307</v>
      </c>
      <c r="I941" s="128" t="s">
        <v>748</v>
      </c>
      <c r="P941" s="124" t="s">
        <v>2409</v>
      </c>
      <c r="Q941" s="124">
        <v>1</v>
      </c>
      <c r="R941" s="124" t="s">
        <v>2410</v>
      </c>
      <c r="W941" s="124" t="s">
        <v>2411</v>
      </c>
      <c r="X941" s="124" t="s">
        <v>551</v>
      </c>
      <c r="Y941" s="124">
        <v>207</v>
      </c>
      <c r="AA941" s="124" t="s">
        <v>532</v>
      </c>
    </row>
    <row r="942" spans="1:34" s="124" customFormat="1">
      <c r="A942" s="124">
        <v>810106</v>
      </c>
      <c r="B942" s="124" t="s">
        <v>2412</v>
      </c>
      <c r="C942" s="124">
        <v>8</v>
      </c>
      <c r="E942" s="124" t="s">
        <v>747</v>
      </c>
      <c r="F942" s="124">
        <v>1</v>
      </c>
      <c r="H942" s="124">
        <v>304</v>
      </c>
      <c r="I942" s="128" t="s">
        <v>748</v>
      </c>
      <c r="P942" s="124" t="s">
        <v>1655</v>
      </c>
      <c r="R942" s="124" t="s">
        <v>2413</v>
      </c>
      <c r="W942" s="124" t="s">
        <v>2414</v>
      </c>
      <c r="X942" s="124" t="s">
        <v>562</v>
      </c>
      <c r="Y942" s="124">
        <v>208</v>
      </c>
      <c r="AA942" s="124" t="s">
        <v>532</v>
      </c>
    </row>
    <row r="943" spans="1:34" s="124" customFormat="1">
      <c r="A943" s="124">
        <v>810206</v>
      </c>
      <c r="B943" s="124" t="s">
        <v>2415</v>
      </c>
      <c r="C943" s="124">
        <v>8</v>
      </c>
      <c r="E943" s="124" t="s">
        <v>747</v>
      </c>
      <c r="F943" s="124">
        <v>1</v>
      </c>
      <c r="H943" s="124">
        <v>307</v>
      </c>
      <c r="I943" s="128" t="s">
        <v>748</v>
      </c>
      <c r="P943" s="124" t="s">
        <v>1659</v>
      </c>
      <c r="R943" s="124" t="s">
        <v>2416</v>
      </c>
      <c r="W943" s="124" t="s">
        <v>2417</v>
      </c>
      <c r="X943" s="124" t="s">
        <v>568</v>
      </c>
      <c r="Y943" s="124">
        <v>209</v>
      </c>
      <c r="AA943" s="124" t="s">
        <v>532</v>
      </c>
    </row>
    <row r="944" spans="1:34" s="124" customFormat="1">
      <c r="A944" s="124">
        <v>810306</v>
      </c>
      <c r="B944" s="124" t="s">
        <v>2418</v>
      </c>
      <c r="C944" s="124">
        <v>8</v>
      </c>
      <c r="E944" s="124" t="s">
        <v>747</v>
      </c>
      <c r="F944" s="124">
        <v>1</v>
      </c>
      <c r="H944" s="124">
        <v>305</v>
      </c>
      <c r="I944" s="128" t="s">
        <v>748</v>
      </c>
      <c r="P944" s="124" t="s">
        <v>1663</v>
      </c>
      <c r="R944" s="124" t="s">
        <v>2419</v>
      </c>
      <c r="W944" s="124" t="s">
        <v>2420</v>
      </c>
      <c r="X944" s="124" t="s">
        <v>566</v>
      </c>
      <c r="Y944" s="124">
        <v>210</v>
      </c>
      <c r="AA944" s="124" t="s">
        <v>532</v>
      </c>
    </row>
    <row r="945" spans="1:27" s="124" customFormat="1">
      <c r="A945" s="124">
        <v>810406</v>
      </c>
      <c r="B945" s="124" t="s">
        <v>2421</v>
      </c>
      <c r="C945" s="124">
        <v>8</v>
      </c>
      <c r="E945" s="124" t="s">
        <v>747</v>
      </c>
      <c r="F945" s="124">
        <v>1</v>
      </c>
      <c r="H945" s="124">
        <v>306</v>
      </c>
      <c r="I945" s="128" t="s">
        <v>748</v>
      </c>
      <c r="P945" s="124" t="s">
        <v>1667</v>
      </c>
      <c r="R945" s="124" t="s">
        <v>2422</v>
      </c>
      <c r="W945" s="124" t="s">
        <v>2423</v>
      </c>
      <c r="X945" s="124" t="s">
        <v>553</v>
      </c>
      <c r="Y945" s="124">
        <v>211</v>
      </c>
      <c r="AA945" s="124" t="s">
        <v>532</v>
      </c>
    </row>
    <row r="946" spans="1:27" s="124" customFormat="1">
      <c r="A946" s="124">
        <v>810607</v>
      </c>
      <c r="B946" s="124" t="s">
        <v>2424</v>
      </c>
      <c r="C946" s="124">
        <v>8</v>
      </c>
      <c r="E946" s="124" t="s">
        <v>747</v>
      </c>
      <c r="F946" s="124">
        <v>1</v>
      </c>
      <c r="H946" s="124">
        <v>301</v>
      </c>
      <c r="I946" s="128" t="s">
        <v>748</v>
      </c>
      <c r="Q946" s="124">
        <v>1</v>
      </c>
      <c r="R946" s="124" t="s">
        <v>2425</v>
      </c>
      <c r="W946" s="124" t="s">
        <v>2426</v>
      </c>
      <c r="X946" s="124" t="s">
        <v>553</v>
      </c>
      <c r="Y946" s="124">
        <v>212</v>
      </c>
      <c r="AA946" s="124" t="s">
        <v>532</v>
      </c>
    </row>
    <row r="947" spans="1:27" s="124" customFormat="1">
      <c r="A947" s="124">
        <v>810506</v>
      </c>
      <c r="B947" s="124" t="s">
        <v>2427</v>
      </c>
      <c r="C947" s="124">
        <v>8</v>
      </c>
      <c r="E947" s="124" t="s">
        <v>747</v>
      </c>
      <c r="F947" s="124">
        <v>1</v>
      </c>
      <c r="H947" s="124">
        <v>301</v>
      </c>
      <c r="I947" s="128" t="s">
        <v>748</v>
      </c>
      <c r="P947" s="124" t="s">
        <v>2409</v>
      </c>
      <c r="R947" s="124" t="s">
        <v>2428</v>
      </c>
      <c r="W947" s="124" t="s">
        <v>2429</v>
      </c>
      <c r="X947" s="124" t="s">
        <v>553</v>
      </c>
      <c r="Y947" s="124">
        <v>213</v>
      </c>
      <c r="AA947" s="124" t="s">
        <v>532</v>
      </c>
    </row>
    <row r="948" spans="1:27" s="124" customFormat="1">
      <c r="A948" s="124">
        <v>820106</v>
      </c>
      <c r="B948" s="124" t="s">
        <v>2430</v>
      </c>
      <c r="C948" s="124">
        <v>8</v>
      </c>
      <c r="E948" s="124" t="s">
        <v>747</v>
      </c>
      <c r="F948" s="124">
        <v>2</v>
      </c>
      <c r="H948" s="124">
        <v>305</v>
      </c>
      <c r="I948" s="128" t="s">
        <v>748</v>
      </c>
      <c r="P948" s="124" t="s">
        <v>2431</v>
      </c>
      <c r="R948" s="124" t="s">
        <v>2432</v>
      </c>
      <c r="W948" s="124" t="s">
        <v>2433</v>
      </c>
      <c r="X948" s="124" t="s">
        <v>536</v>
      </c>
      <c r="Y948" s="124">
        <v>104</v>
      </c>
      <c r="AA948" s="124" t="s">
        <v>559</v>
      </c>
    </row>
    <row r="949" spans="1:27" s="124" customFormat="1">
      <c r="A949" s="124">
        <v>820206</v>
      </c>
      <c r="B949" s="124" t="s">
        <v>2434</v>
      </c>
      <c r="C949" s="124">
        <v>8</v>
      </c>
      <c r="E949" s="124" t="s">
        <v>747</v>
      </c>
      <c r="F949" s="124">
        <v>2</v>
      </c>
      <c r="H949" s="124">
        <v>303</v>
      </c>
      <c r="I949" s="128" t="s">
        <v>748</v>
      </c>
      <c r="P949" s="124" t="s">
        <v>2435</v>
      </c>
      <c r="R949" s="124" t="s">
        <v>2436</v>
      </c>
      <c r="W949" s="124" t="s">
        <v>2437</v>
      </c>
      <c r="X949" s="124" t="s">
        <v>570</v>
      </c>
      <c r="Y949" s="124">
        <v>105</v>
      </c>
      <c r="AA949" s="124" t="s">
        <v>559</v>
      </c>
    </row>
    <row r="950" spans="1:27" s="124" customFormat="1">
      <c r="A950" s="124">
        <v>820306</v>
      </c>
      <c r="B950" s="124" t="s">
        <v>2438</v>
      </c>
      <c r="C950" s="124">
        <v>8</v>
      </c>
      <c r="E950" s="124" t="s">
        <v>747</v>
      </c>
      <c r="F950" s="124">
        <v>2</v>
      </c>
      <c r="H950" s="124">
        <v>301</v>
      </c>
      <c r="I950" s="128" t="s">
        <v>748</v>
      </c>
      <c r="P950" s="124" t="s">
        <v>2439</v>
      </c>
      <c r="R950" s="124" t="s">
        <v>2440</v>
      </c>
      <c r="W950" s="124" t="s">
        <v>2441</v>
      </c>
      <c r="X950" s="124" t="s">
        <v>556</v>
      </c>
      <c r="Y950" s="124">
        <v>106</v>
      </c>
      <c r="AA950" s="124" t="s">
        <v>559</v>
      </c>
    </row>
    <row r="951" spans="1:27" s="124" customFormat="1">
      <c r="A951" s="124">
        <v>820406</v>
      </c>
      <c r="B951" s="124" t="s">
        <v>2442</v>
      </c>
      <c r="C951" s="124">
        <v>8</v>
      </c>
      <c r="E951" s="124" t="s">
        <v>747</v>
      </c>
      <c r="F951" s="124">
        <v>2</v>
      </c>
      <c r="H951" s="124">
        <v>306</v>
      </c>
      <c r="I951" s="128" t="s">
        <v>748</v>
      </c>
      <c r="P951" s="124" t="s">
        <v>2443</v>
      </c>
      <c r="R951" s="124" t="s">
        <v>2444</v>
      </c>
      <c r="W951" s="124" t="s">
        <v>2445</v>
      </c>
      <c r="X951" s="124" t="s">
        <v>570</v>
      </c>
      <c r="Y951" s="124">
        <v>107</v>
      </c>
      <c r="AA951" s="124" t="s">
        <v>559</v>
      </c>
    </row>
    <row r="952" spans="1:27" s="124" customFormat="1">
      <c r="A952" s="124">
        <v>820105</v>
      </c>
      <c r="B952" s="124" t="s">
        <v>2446</v>
      </c>
      <c r="C952" s="124">
        <v>8</v>
      </c>
      <c r="E952" s="124" t="s">
        <v>747</v>
      </c>
      <c r="F952" s="124">
        <v>2</v>
      </c>
      <c r="H952" s="124">
        <v>305</v>
      </c>
      <c r="I952" s="128" t="s">
        <v>748</v>
      </c>
      <c r="P952" s="124" t="s">
        <v>2447</v>
      </c>
      <c r="R952" s="124" t="s">
        <v>2448</v>
      </c>
      <c r="W952" s="124" t="s">
        <v>2449</v>
      </c>
      <c r="X952" s="124" t="s">
        <v>547</v>
      </c>
      <c r="Y952" s="124">
        <v>108</v>
      </c>
      <c r="AA952" s="124" t="s">
        <v>563</v>
      </c>
    </row>
    <row r="953" spans="1:27" s="124" customFormat="1">
      <c r="A953" s="124">
        <v>820205</v>
      </c>
      <c r="B953" s="124" t="s">
        <v>2450</v>
      </c>
      <c r="C953" s="124">
        <v>8</v>
      </c>
      <c r="E953" s="124" t="s">
        <v>747</v>
      </c>
      <c r="F953" s="124">
        <v>2</v>
      </c>
      <c r="H953" s="124">
        <v>303</v>
      </c>
      <c r="I953" s="128" t="s">
        <v>748</v>
      </c>
      <c r="P953" s="124" t="s">
        <v>2451</v>
      </c>
      <c r="R953" s="124" t="s">
        <v>2452</v>
      </c>
      <c r="W953" s="124" t="s">
        <v>2453</v>
      </c>
      <c r="X953" s="124" t="s">
        <v>562</v>
      </c>
      <c r="Y953" s="124">
        <v>109</v>
      </c>
      <c r="AA953" s="124" t="s">
        <v>563</v>
      </c>
    </row>
    <row r="954" spans="1:27" s="124" customFormat="1">
      <c r="A954" s="124">
        <v>820305</v>
      </c>
      <c r="B954" s="124" t="s">
        <v>2454</v>
      </c>
      <c r="C954" s="124">
        <v>8</v>
      </c>
      <c r="E954" s="124" t="s">
        <v>747</v>
      </c>
      <c r="F954" s="124">
        <v>2</v>
      </c>
      <c r="H954" s="124">
        <v>301</v>
      </c>
      <c r="I954" s="128" t="s">
        <v>748</v>
      </c>
      <c r="P954" s="124" t="s">
        <v>2455</v>
      </c>
      <c r="R954" s="124" t="s">
        <v>2456</v>
      </c>
      <c r="W954" s="124" t="s">
        <v>2457</v>
      </c>
      <c r="X954" s="124" t="s">
        <v>549</v>
      </c>
      <c r="Y954" s="124">
        <v>110</v>
      </c>
      <c r="AA954" s="124" t="s">
        <v>563</v>
      </c>
    </row>
    <row r="955" spans="1:27" s="124" customFormat="1">
      <c r="A955" s="124">
        <v>820405</v>
      </c>
      <c r="B955" s="124" t="s">
        <v>2458</v>
      </c>
      <c r="C955" s="124">
        <v>8</v>
      </c>
      <c r="E955" s="124" t="s">
        <v>747</v>
      </c>
      <c r="F955" s="124">
        <v>2</v>
      </c>
      <c r="H955" s="124">
        <v>306</v>
      </c>
      <c r="I955" s="128" t="s">
        <v>748</v>
      </c>
      <c r="P955" s="124" t="s">
        <v>2459</v>
      </c>
      <c r="R955" s="124" t="s">
        <v>2460</v>
      </c>
      <c r="W955" s="124" t="s">
        <v>2461</v>
      </c>
      <c r="X955" s="124" t="s">
        <v>558</v>
      </c>
      <c r="Y955" s="124">
        <v>204</v>
      </c>
      <c r="AA955" s="124" t="s">
        <v>563</v>
      </c>
    </row>
    <row r="956" spans="1:27" s="124" customFormat="1">
      <c r="A956" s="124">
        <v>820506</v>
      </c>
      <c r="B956" s="124" t="s">
        <v>2462</v>
      </c>
      <c r="C956" s="124">
        <v>8</v>
      </c>
      <c r="E956" s="124" t="s">
        <v>747</v>
      </c>
      <c r="F956" s="124">
        <v>2</v>
      </c>
      <c r="H956" s="124">
        <v>307</v>
      </c>
      <c r="I956" s="128" t="s">
        <v>748</v>
      </c>
      <c r="P956" s="124" t="s">
        <v>2463</v>
      </c>
      <c r="R956" s="124" t="s">
        <v>2464</v>
      </c>
      <c r="W956" s="124" t="s">
        <v>2465</v>
      </c>
      <c r="X956" s="124" t="s">
        <v>556</v>
      </c>
      <c r="Y956" s="124">
        <v>207</v>
      </c>
      <c r="AA956" s="124" t="s">
        <v>559</v>
      </c>
    </row>
    <row r="957" spans="1:27" s="124" customFormat="1">
      <c r="A957" s="124">
        <v>820107</v>
      </c>
      <c r="B957" s="124" t="s">
        <v>2466</v>
      </c>
      <c r="C957" s="124">
        <v>8</v>
      </c>
      <c r="E957" s="124" t="s">
        <v>747</v>
      </c>
      <c r="F957" s="124">
        <v>2</v>
      </c>
      <c r="H957" s="124">
        <v>305</v>
      </c>
      <c r="I957" s="128" t="s">
        <v>748</v>
      </c>
      <c r="P957" s="124" t="s">
        <v>2467</v>
      </c>
      <c r="R957" s="124" t="s">
        <v>2468</v>
      </c>
      <c r="W957" s="124" t="s">
        <v>2469</v>
      </c>
      <c r="X957" s="124" t="s">
        <v>452</v>
      </c>
      <c r="Y957" s="124">
        <v>208</v>
      </c>
      <c r="AA957" s="124" t="s">
        <v>552</v>
      </c>
    </row>
    <row r="958" spans="1:27" s="124" customFormat="1">
      <c r="A958" s="124">
        <v>820207</v>
      </c>
      <c r="B958" s="124" t="s">
        <v>2470</v>
      </c>
      <c r="C958" s="124">
        <v>8</v>
      </c>
      <c r="E958" s="124" t="s">
        <v>747</v>
      </c>
      <c r="F958" s="124">
        <v>2</v>
      </c>
      <c r="H958" s="124">
        <v>303</v>
      </c>
      <c r="I958" s="128" t="s">
        <v>748</v>
      </c>
      <c r="P958" s="124" t="s">
        <v>2471</v>
      </c>
      <c r="R958" s="124" t="s">
        <v>2472</v>
      </c>
      <c r="W958" s="124" t="s">
        <v>2473</v>
      </c>
      <c r="X958" s="124" t="s">
        <v>499</v>
      </c>
      <c r="Y958" s="124">
        <v>209</v>
      </c>
      <c r="AA958" s="124" t="s">
        <v>552</v>
      </c>
    </row>
    <row r="959" spans="1:27" s="124" customFormat="1">
      <c r="A959" s="124">
        <v>820307</v>
      </c>
      <c r="B959" s="124" t="s">
        <v>2474</v>
      </c>
      <c r="C959" s="124">
        <v>8</v>
      </c>
      <c r="E959" s="124" t="s">
        <v>747</v>
      </c>
      <c r="F959" s="124">
        <v>2</v>
      </c>
      <c r="H959" s="124">
        <v>301</v>
      </c>
      <c r="I959" s="128" t="s">
        <v>748</v>
      </c>
      <c r="P959" s="124" t="s">
        <v>2475</v>
      </c>
      <c r="R959" s="124" t="s">
        <v>2476</v>
      </c>
      <c r="W959" s="124" t="s">
        <v>2477</v>
      </c>
      <c r="X959" s="124" t="s">
        <v>484</v>
      </c>
      <c r="Y959" s="124">
        <v>210</v>
      </c>
      <c r="AA959" s="124" t="s">
        <v>552</v>
      </c>
    </row>
    <row r="960" spans="1:27" s="124" customFormat="1">
      <c r="A960" s="124">
        <v>820407</v>
      </c>
      <c r="B960" s="124" t="s">
        <v>2478</v>
      </c>
      <c r="C960" s="124">
        <v>8</v>
      </c>
      <c r="E960" s="124" t="s">
        <v>747</v>
      </c>
      <c r="F960" s="124">
        <v>2</v>
      </c>
      <c r="H960" s="124">
        <v>306</v>
      </c>
      <c r="I960" s="128" t="s">
        <v>748</v>
      </c>
      <c r="P960" s="124" t="s">
        <v>2479</v>
      </c>
      <c r="R960" s="124" t="s">
        <v>2480</v>
      </c>
      <c r="W960" s="124" t="s">
        <v>2481</v>
      </c>
      <c r="X960" s="124" t="s">
        <v>568</v>
      </c>
      <c r="Y960" s="124">
        <v>211</v>
      </c>
      <c r="AA960" s="124" t="s">
        <v>552</v>
      </c>
    </row>
    <row r="961" spans="1:27" s="124" customFormat="1">
      <c r="A961" s="124">
        <v>820607</v>
      </c>
      <c r="B961" s="124" t="s">
        <v>2482</v>
      </c>
      <c r="C961" s="124">
        <v>8</v>
      </c>
      <c r="E961" s="124" t="s">
        <v>747</v>
      </c>
      <c r="F961" s="124">
        <v>2</v>
      </c>
      <c r="H961" s="124">
        <v>308</v>
      </c>
      <c r="I961" s="128" t="s">
        <v>748</v>
      </c>
      <c r="P961" s="124" t="s">
        <v>2483</v>
      </c>
      <c r="R961" s="124" t="s">
        <v>2484</v>
      </c>
      <c r="W961" s="124" t="s">
        <v>2485</v>
      </c>
      <c r="X961" s="124" t="s">
        <v>568</v>
      </c>
      <c r="Y961" s="124">
        <v>212</v>
      </c>
      <c r="AA961" s="124" t="s">
        <v>552</v>
      </c>
    </row>
    <row r="962" spans="1:27" s="124" customFormat="1">
      <c r="A962" s="124">
        <v>820507</v>
      </c>
      <c r="B962" s="124" t="s">
        <v>2486</v>
      </c>
      <c r="C962" s="124">
        <v>8</v>
      </c>
      <c r="E962" s="124" t="s">
        <v>747</v>
      </c>
      <c r="F962" s="124">
        <v>2</v>
      </c>
      <c r="H962" s="124">
        <v>308</v>
      </c>
      <c r="I962" s="128" t="s">
        <v>748</v>
      </c>
      <c r="P962" s="124" t="s">
        <v>2487</v>
      </c>
      <c r="R962" s="124" t="s">
        <v>2488</v>
      </c>
      <c r="W962" s="124" t="s">
        <v>2489</v>
      </c>
      <c r="X962" s="124" t="s">
        <v>568</v>
      </c>
      <c r="Y962" s="124">
        <v>213</v>
      </c>
      <c r="AA962" s="124" t="s">
        <v>552</v>
      </c>
    </row>
    <row r="963" spans="1:27" s="124" customFormat="1">
      <c r="A963" s="124">
        <v>830105</v>
      </c>
      <c r="B963" s="124" t="s">
        <v>2490</v>
      </c>
      <c r="C963" s="124">
        <v>8</v>
      </c>
      <c r="E963" s="124" t="s">
        <v>747</v>
      </c>
      <c r="F963" s="124">
        <v>3</v>
      </c>
      <c r="H963" s="124">
        <v>304</v>
      </c>
      <c r="I963" s="128" t="s">
        <v>748</v>
      </c>
      <c r="P963" s="124" t="s">
        <v>2491</v>
      </c>
      <c r="R963" s="124" t="s">
        <v>2492</v>
      </c>
      <c r="W963" s="124" t="s">
        <v>2493</v>
      </c>
      <c r="X963" s="124" t="s">
        <v>542</v>
      </c>
      <c r="Y963" s="124">
        <v>104</v>
      </c>
      <c r="AA963" s="124" t="s">
        <v>577</v>
      </c>
    </row>
    <row r="964" spans="1:27" s="124" customFormat="1">
      <c r="A964" s="124">
        <v>830205</v>
      </c>
      <c r="B964" s="124" t="s">
        <v>2494</v>
      </c>
      <c r="C964" s="124">
        <v>8</v>
      </c>
      <c r="E964" s="124" t="s">
        <v>747</v>
      </c>
      <c r="F964" s="124">
        <v>3</v>
      </c>
      <c r="H964" s="124">
        <v>302</v>
      </c>
      <c r="I964" s="128" t="s">
        <v>748</v>
      </c>
      <c r="P964" s="124" t="s">
        <v>2495</v>
      </c>
      <c r="R964" s="124" t="s">
        <v>2496</v>
      </c>
      <c r="W964" s="124" t="s">
        <v>2497</v>
      </c>
      <c r="X964" s="124" t="s">
        <v>452</v>
      </c>
      <c r="Y964" s="124">
        <v>105</v>
      </c>
      <c r="AA964" s="124" t="s">
        <v>577</v>
      </c>
    </row>
    <row r="965" spans="1:27" s="124" customFormat="1">
      <c r="A965" s="124">
        <v>830305</v>
      </c>
      <c r="B965" s="124" t="s">
        <v>2498</v>
      </c>
      <c r="C965" s="124">
        <v>8</v>
      </c>
      <c r="E965" s="124" t="s">
        <v>747</v>
      </c>
      <c r="F965" s="124">
        <v>3</v>
      </c>
      <c r="H965" s="124">
        <v>306</v>
      </c>
      <c r="I965" s="128" t="s">
        <v>748</v>
      </c>
      <c r="P965" s="124" t="s">
        <v>2499</v>
      </c>
      <c r="R965" s="124" t="s">
        <v>2500</v>
      </c>
      <c r="W965" s="124" t="s">
        <v>2501</v>
      </c>
      <c r="X965" s="124" t="s">
        <v>522</v>
      </c>
      <c r="Y965" s="124">
        <v>106</v>
      </c>
      <c r="AA965" s="124" t="s">
        <v>577</v>
      </c>
    </row>
    <row r="966" spans="1:27" s="124" customFormat="1">
      <c r="A966" s="124">
        <v>830405</v>
      </c>
      <c r="B966" s="124" t="s">
        <v>2502</v>
      </c>
      <c r="C966" s="124">
        <v>8</v>
      </c>
      <c r="E966" s="124" t="s">
        <v>747</v>
      </c>
      <c r="F966" s="124">
        <v>3</v>
      </c>
      <c r="H966" s="124">
        <v>303</v>
      </c>
      <c r="I966" s="128" t="s">
        <v>748</v>
      </c>
      <c r="P966" s="124" t="s">
        <v>2503</v>
      </c>
      <c r="R966" s="124" t="s">
        <v>2504</v>
      </c>
      <c r="W966" s="124" t="s">
        <v>2505</v>
      </c>
      <c r="X966" s="124" t="s">
        <v>522</v>
      </c>
      <c r="Y966" s="124">
        <v>107</v>
      </c>
      <c r="AA966" s="124" t="s">
        <v>577</v>
      </c>
    </row>
    <row r="967" spans="1:27" s="124" customFormat="1">
      <c r="A967" s="124">
        <v>830106</v>
      </c>
      <c r="B967" s="124" t="s">
        <v>2506</v>
      </c>
      <c r="C967" s="124">
        <v>8</v>
      </c>
      <c r="E967" s="124" t="s">
        <v>747</v>
      </c>
      <c r="F967" s="124">
        <v>3</v>
      </c>
      <c r="H967" s="124">
        <v>304</v>
      </c>
      <c r="I967" s="128" t="s">
        <v>748</v>
      </c>
      <c r="P967" s="124" t="s">
        <v>2507</v>
      </c>
      <c r="R967" s="124" t="s">
        <v>2508</v>
      </c>
      <c r="W967" s="124" t="s">
        <v>2509</v>
      </c>
      <c r="X967" s="124" t="s">
        <v>556</v>
      </c>
      <c r="Y967" s="124">
        <v>108</v>
      </c>
      <c r="AA967" s="124" t="s">
        <v>576</v>
      </c>
    </row>
    <row r="968" spans="1:27" s="124" customFormat="1">
      <c r="A968" s="124">
        <v>830206</v>
      </c>
      <c r="B968" s="124" t="s">
        <v>2510</v>
      </c>
      <c r="C968" s="124">
        <v>8</v>
      </c>
      <c r="E968" s="124" t="s">
        <v>747</v>
      </c>
      <c r="F968" s="124">
        <v>3</v>
      </c>
      <c r="H968" s="124">
        <v>302</v>
      </c>
      <c r="I968" s="128" t="s">
        <v>748</v>
      </c>
      <c r="P968" s="124" t="s">
        <v>2511</v>
      </c>
      <c r="R968" s="124" t="s">
        <v>2512</v>
      </c>
      <c r="W968" s="124" t="s">
        <v>2513</v>
      </c>
      <c r="X968" s="124" t="s">
        <v>549</v>
      </c>
      <c r="Y968" s="124">
        <v>109</v>
      </c>
      <c r="AA968" s="124" t="s">
        <v>576</v>
      </c>
    </row>
    <row r="969" spans="1:27" s="124" customFormat="1">
      <c r="A969" s="124">
        <v>830306</v>
      </c>
      <c r="B969" s="124" t="s">
        <v>2514</v>
      </c>
      <c r="C969" s="124">
        <v>8</v>
      </c>
      <c r="E969" s="124" t="s">
        <v>747</v>
      </c>
      <c r="F969" s="124">
        <v>3</v>
      </c>
      <c r="H969" s="124">
        <v>306</v>
      </c>
      <c r="I969" s="128" t="s">
        <v>748</v>
      </c>
      <c r="P969" s="124" t="s">
        <v>2515</v>
      </c>
      <c r="R969" s="124" t="s">
        <v>2516</v>
      </c>
      <c r="W969" s="124" t="s">
        <v>2517</v>
      </c>
      <c r="X969" s="124" t="s">
        <v>551</v>
      </c>
      <c r="Y969" s="124">
        <v>110</v>
      </c>
      <c r="AA969" s="124" t="s">
        <v>576</v>
      </c>
    </row>
    <row r="970" spans="1:27" s="124" customFormat="1">
      <c r="A970" s="124">
        <v>830406</v>
      </c>
      <c r="B970" s="124" t="s">
        <v>2518</v>
      </c>
      <c r="C970" s="124">
        <v>8</v>
      </c>
      <c r="E970" s="124" t="s">
        <v>747</v>
      </c>
      <c r="F970" s="124">
        <v>3</v>
      </c>
      <c r="H970" s="124">
        <v>303</v>
      </c>
      <c r="I970" s="128" t="s">
        <v>748</v>
      </c>
      <c r="P970" s="124" t="s">
        <v>2519</v>
      </c>
      <c r="R970" s="124" t="s">
        <v>2520</v>
      </c>
      <c r="W970" s="124" t="s">
        <v>2521</v>
      </c>
      <c r="X970" s="124" t="s">
        <v>439</v>
      </c>
      <c r="Y970" s="124">
        <v>204</v>
      </c>
      <c r="AA970" s="124" t="s">
        <v>576</v>
      </c>
    </row>
    <row r="971" spans="1:27" s="124" customFormat="1">
      <c r="A971" s="124">
        <v>830506</v>
      </c>
      <c r="B971" s="124" t="s">
        <v>2522</v>
      </c>
      <c r="C971" s="124">
        <v>8</v>
      </c>
      <c r="E971" s="124" t="s">
        <v>747</v>
      </c>
      <c r="F971" s="124">
        <v>3</v>
      </c>
      <c r="H971" s="124">
        <v>301</v>
      </c>
      <c r="I971" s="128" t="s">
        <v>748</v>
      </c>
      <c r="P971" s="124" t="s">
        <v>2523</v>
      </c>
      <c r="R971" s="124" t="s">
        <v>2524</v>
      </c>
      <c r="W971" s="124" t="s">
        <v>2525</v>
      </c>
      <c r="X971" s="124" t="s">
        <v>439</v>
      </c>
      <c r="Y971" s="124">
        <v>207</v>
      </c>
      <c r="AA971" s="124" t="s">
        <v>576</v>
      </c>
    </row>
    <row r="972" spans="1:27" s="124" customFormat="1">
      <c r="A972" s="124">
        <v>840105</v>
      </c>
      <c r="B972" s="124" t="s">
        <v>2526</v>
      </c>
      <c r="C972" s="124">
        <v>8</v>
      </c>
      <c r="E972" s="124" t="s">
        <v>747</v>
      </c>
      <c r="F972" s="124">
        <v>4</v>
      </c>
      <c r="H972" s="124">
        <v>303</v>
      </c>
      <c r="I972" s="128" t="s">
        <v>748</v>
      </c>
      <c r="P972" s="124" t="s">
        <v>2527</v>
      </c>
      <c r="R972" s="124" t="s">
        <v>2528</v>
      </c>
      <c r="W972" s="124" t="s">
        <v>2529</v>
      </c>
      <c r="X972" s="124" t="s">
        <v>568</v>
      </c>
      <c r="Y972" s="124">
        <v>104</v>
      </c>
      <c r="AA972" s="124" t="s">
        <v>586</v>
      </c>
    </row>
    <row r="973" spans="1:27" s="124" customFormat="1">
      <c r="A973" s="124">
        <v>840205</v>
      </c>
      <c r="B973" s="124" t="s">
        <v>2530</v>
      </c>
      <c r="C973" s="124">
        <v>8</v>
      </c>
      <c r="E973" s="124" t="s">
        <v>747</v>
      </c>
      <c r="F973" s="124">
        <v>4</v>
      </c>
      <c r="H973" s="124">
        <v>302</v>
      </c>
      <c r="I973" s="128" t="s">
        <v>748</v>
      </c>
      <c r="P973" s="124" t="s">
        <v>2531</v>
      </c>
      <c r="R973" s="124" t="s">
        <v>2532</v>
      </c>
      <c r="W973" s="124" t="s">
        <v>2533</v>
      </c>
      <c r="X973" s="124" t="s">
        <v>556</v>
      </c>
      <c r="Y973" s="124">
        <v>105</v>
      </c>
      <c r="AA973" s="124" t="s">
        <v>586</v>
      </c>
    </row>
    <row r="974" spans="1:27" s="124" customFormat="1">
      <c r="A974" s="124">
        <v>840305</v>
      </c>
      <c r="B974" s="124" t="s">
        <v>2534</v>
      </c>
      <c r="C974" s="124">
        <v>8</v>
      </c>
      <c r="E974" s="124" t="s">
        <v>747</v>
      </c>
      <c r="F974" s="124">
        <v>4</v>
      </c>
      <c r="H974" s="124">
        <v>305</v>
      </c>
      <c r="I974" s="128" t="s">
        <v>748</v>
      </c>
      <c r="P974" s="124" t="s">
        <v>2535</v>
      </c>
      <c r="R974" s="124" t="s">
        <v>2536</v>
      </c>
      <c r="W974" s="124" t="s">
        <v>2537</v>
      </c>
      <c r="X974" s="124" t="s">
        <v>512</v>
      </c>
      <c r="Y974" s="124">
        <v>106</v>
      </c>
      <c r="AA974" s="124" t="s">
        <v>586</v>
      </c>
    </row>
    <row r="975" spans="1:27" s="124" customFormat="1">
      <c r="A975" s="124">
        <v>840405</v>
      </c>
      <c r="B975" s="124" t="s">
        <v>2538</v>
      </c>
      <c r="C975" s="124">
        <v>8</v>
      </c>
      <c r="E975" s="124" t="s">
        <v>747</v>
      </c>
      <c r="F975" s="124">
        <v>4</v>
      </c>
      <c r="H975" s="124">
        <v>307</v>
      </c>
      <c r="I975" s="128" t="s">
        <v>748</v>
      </c>
      <c r="P975" s="124" t="s">
        <v>2539</v>
      </c>
      <c r="R975" s="124" t="s">
        <v>2540</v>
      </c>
      <c r="W975" s="124" t="s">
        <v>2541</v>
      </c>
      <c r="X975" s="124" t="s">
        <v>560</v>
      </c>
      <c r="Y975" s="124">
        <v>107</v>
      </c>
      <c r="AA975" s="124" t="s">
        <v>586</v>
      </c>
    </row>
    <row r="976" spans="1:27" s="124" customFormat="1">
      <c r="A976" s="124">
        <v>840106</v>
      </c>
      <c r="B976" s="124" t="s">
        <v>2542</v>
      </c>
      <c r="C976" s="124">
        <v>8</v>
      </c>
      <c r="E976" s="124" t="s">
        <v>747</v>
      </c>
      <c r="F976" s="124">
        <v>4</v>
      </c>
      <c r="H976" s="124">
        <v>303</v>
      </c>
      <c r="I976" s="128" t="s">
        <v>748</v>
      </c>
      <c r="P976" s="124" t="s">
        <v>2543</v>
      </c>
      <c r="R976" s="124" t="s">
        <v>2544</v>
      </c>
      <c r="W976" s="124" t="s">
        <v>2545</v>
      </c>
      <c r="X976" s="124" t="s">
        <v>568</v>
      </c>
      <c r="Y976" s="124">
        <v>108</v>
      </c>
      <c r="AA976" s="124" t="s">
        <v>582</v>
      </c>
    </row>
    <row r="977" spans="1:27" s="124" customFormat="1">
      <c r="A977" s="124">
        <v>840206</v>
      </c>
      <c r="B977" s="124" t="s">
        <v>2546</v>
      </c>
      <c r="C977" s="124">
        <v>8</v>
      </c>
      <c r="E977" s="124" t="s">
        <v>747</v>
      </c>
      <c r="F977" s="124">
        <v>4</v>
      </c>
      <c r="H977" s="124">
        <v>302</v>
      </c>
      <c r="I977" s="128" t="s">
        <v>748</v>
      </c>
      <c r="P977" s="124" t="s">
        <v>2547</v>
      </c>
      <c r="R977" s="124" t="s">
        <v>2548</v>
      </c>
      <c r="W977" s="124" t="s">
        <v>2549</v>
      </c>
      <c r="X977" s="124" t="s">
        <v>566</v>
      </c>
      <c r="Y977" s="124">
        <v>109</v>
      </c>
      <c r="AA977" s="124" t="s">
        <v>582</v>
      </c>
    </row>
    <row r="978" spans="1:27" s="124" customFormat="1">
      <c r="A978" s="124">
        <v>840306</v>
      </c>
      <c r="B978" s="124" t="s">
        <v>2550</v>
      </c>
      <c r="C978" s="124">
        <v>8</v>
      </c>
      <c r="E978" s="124" t="s">
        <v>747</v>
      </c>
      <c r="F978" s="124">
        <v>4</v>
      </c>
      <c r="H978" s="124">
        <v>305</v>
      </c>
      <c r="I978" s="128" t="s">
        <v>748</v>
      </c>
      <c r="P978" s="124" t="s">
        <v>2551</v>
      </c>
      <c r="R978" s="124" t="s">
        <v>2552</v>
      </c>
      <c r="W978" s="124" t="s">
        <v>2553</v>
      </c>
      <c r="X978" s="124" t="s">
        <v>452</v>
      </c>
      <c r="Y978" s="124">
        <v>110</v>
      </c>
      <c r="AA978" s="124" t="s">
        <v>582</v>
      </c>
    </row>
    <row r="979" spans="1:27" s="124" customFormat="1">
      <c r="A979" s="124">
        <v>840406</v>
      </c>
      <c r="B979" s="124" t="s">
        <v>2554</v>
      </c>
      <c r="C979" s="124">
        <v>8</v>
      </c>
      <c r="E979" s="124" t="s">
        <v>747</v>
      </c>
      <c r="F979" s="124">
        <v>4</v>
      </c>
      <c r="H979" s="124">
        <v>307</v>
      </c>
      <c r="I979" s="128" t="s">
        <v>748</v>
      </c>
      <c r="P979" s="124" t="s">
        <v>2555</v>
      </c>
      <c r="R979" s="124" t="s">
        <v>2556</v>
      </c>
      <c r="W979" s="124" t="s">
        <v>2557</v>
      </c>
      <c r="X979" s="124" t="s">
        <v>564</v>
      </c>
      <c r="Y979" s="124">
        <v>204</v>
      </c>
      <c r="AA979" s="124" t="s">
        <v>582</v>
      </c>
    </row>
    <row r="980" spans="1:27" s="124" customFormat="1">
      <c r="A980" s="124">
        <v>840506</v>
      </c>
      <c r="B980" s="124" t="s">
        <v>2558</v>
      </c>
      <c r="C980" s="124">
        <v>8</v>
      </c>
      <c r="E980" s="124" t="s">
        <v>747</v>
      </c>
      <c r="F980" s="124">
        <v>4</v>
      </c>
      <c r="H980" s="124">
        <v>307</v>
      </c>
      <c r="I980" s="128" t="s">
        <v>748</v>
      </c>
      <c r="P980" s="124" t="s">
        <v>2559</v>
      </c>
      <c r="R980" s="124" t="s">
        <v>2560</v>
      </c>
      <c r="W980" s="124" t="s">
        <v>2561</v>
      </c>
      <c r="X980" s="124" t="s">
        <v>560</v>
      </c>
      <c r="Y980" s="124">
        <v>207</v>
      </c>
      <c r="AA980" s="124" t="s">
        <v>586</v>
      </c>
    </row>
    <row r="981" spans="1:27" s="124" customFormat="1">
      <c r="A981" s="124">
        <v>840107</v>
      </c>
      <c r="B981" s="124" t="s">
        <v>2562</v>
      </c>
      <c r="C981" s="124">
        <v>8</v>
      </c>
      <c r="E981" s="124" t="s">
        <v>747</v>
      </c>
      <c r="F981" s="124">
        <v>4</v>
      </c>
      <c r="H981" s="124">
        <v>303</v>
      </c>
      <c r="I981" s="128" t="s">
        <v>748</v>
      </c>
      <c r="P981" s="124" t="s">
        <v>2563</v>
      </c>
      <c r="R981" s="124" t="s">
        <v>2564</v>
      </c>
      <c r="W981" s="124" t="s">
        <v>2565</v>
      </c>
      <c r="X981" s="124" t="s">
        <v>566</v>
      </c>
      <c r="Y981" s="124">
        <v>208</v>
      </c>
      <c r="AA981" s="124" t="s">
        <v>585</v>
      </c>
    </row>
    <row r="982" spans="1:27" s="124" customFormat="1">
      <c r="A982" s="124">
        <v>840207</v>
      </c>
      <c r="B982" s="124" t="s">
        <v>2566</v>
      </c>
      <c r="C982" s="124">
        <v>8</v>
      </c>
      <c r="E982" s="124" t="s">
        <v>747</v>
      </c>
      <c r="F982" s="124">
        <v>4</v>
      </c>
      <c r="H982" s="124">
        <v>302</v>
      </c>
      <c r="I982" s="128" t="s">
        <v>748</v>
      </c>
      <c r="P982" s="124" t="s">
        <v>2567</v>
      </c>
      <c r="R982" s="124" t="s">
        <v>2568</v>
      </c>
      <c r="W982" s="124" t="s">
        <v>2569</v>
      </c>
      <c r="X982" s="124" t="s">
        <v>536</v>
      </c>
      <c r="Y982" s="124">
        <v>209</v>
      </c>
      <c r="AA982" s="124" t="s">
        <v>585</v>
      </c>
    </row>
    <row r="983" spans="1:27" s="124" customFormat="1">
      <c r="A983" s="124">
        <v>840307</v>
      </c>
      <c r="B983" s="124" t="s">
        <v>2570</v>
      </c>
      <c r="C983" s="124">
        <v>8</v>
      </c>
      <c r="E983" s="124" t="s">
        <v>747</v>
      </c>
      <c r="F983" s="124">
        <v>4</v>
      </c>
      <c r="H983" s="124">
        <v>305</v>
      </c>
      <c r="I983" s="128" t="s">
        <v>748</v>
      </c>
      <c r="P983" s="124" t="s">
        <v>2571</v>
      </c>
      <c r="R983" s="124" t="s">
        <v>2572</v>
      </c>
      <c r="W983" s="124" t="s">
        <v>2573</v>
      </c>
      <c r="X983" s="124" t="s">
        <v>522</v>
      </c>
      <c r="Y983" s="124">
        <v>210</v>
      </c>
      <c r="AA983" s="124" t="s">
        <v>585</v>
      </c>
    </row>
    <row r="984" spans="1:27" s="124" customFormat="1">
      <c r="A984" s="124">
        <v>840407</v>
      </c>
      <c r="B984" s="124" t="s">
        <v>2574</v>
      </c>
      <c r="C984" s="124">
        <v>8</v>
      </c>
      <c r="E984" s="124" t="s">
        <v>747</v>
      </c>
      <c r="F984" s="124">
        <v>4</v>
      </c>
      <c r="H984" s="124">
        <v>307</v>
      </c>
      <c r="I984" s="128" t="s">
        <v>748</v>
      </c>
      <c r="P984" s="124" t="s">
        <v>2575</v>
      </c>
      <c r="R984" s="124" t="s">
        <v>2576</v>
      </c>
      <c r="W984" s="124" t="s">
        <v>2577</v>
      </c>
      <c r="X984" s="124" t="s">
        <v>542</v>
      </c>
      <c r="Y984" s="124">
        <v>211</v>
      </c>
      <c r="AA984" s="124" t="s">
        <v>585</v>
      </c>
    </row>
    <row r="985" spans="1:27" s="124" customFormat="1">
      <c r="A985" s="124">
        <v>840507</v>
      </c>
      <c r="B985" s="124" t="s">
        <v>2578</v>
      </c>
      <c r="C985" s="124">
        <v>8</v>
      </c>
      <c r="E985" s="124" t="s">
        <v>747</v>
      </c>
      <c r="F985" s="124">
        <v>4</v>
      </c>
      <c r="H985" s="124">
        <v>304</v>
      </c>
      <c r="I985" s="128" t="s">
        <v>748</v>
      </c>
      <c r="P985" s="124" t="s">
        <v>2579</v>
      </c>
      <c r="R985" s="124" t="s">
        <v>2580</v>
      </c>
      <c r="W985" s="124" t="s">
        <v>2581</v>
      </c>
      <c r="X985" s="124" t="s">
        <v>499</v>
      </c>
      <c r="Y985" s="124">
        <v>212</v>
      </c>
      <c r="AA985" s="124" t="s">
        <v>585</v>
      </c>
    </row>
    <row r="986" spans="1:27" s="124" customFormat="1">
      <c r="A986" s="124">
        <v>840607</v>
      </c>
      <c r="B986" s="124" t="s">
        <v>2582</v>
      </c>
      <c r="C986" s="124">
        <v>8</v>
      </c>
      <c r="E986" s="124" t="s">
        <v>747</v>
      </c>
      <c r="F986" s="124">
        <v>4</v>
      </c>
      <c r="H986" s="124">
        <v>304</v>
      </c>
      <c r="I986" s="128" t="s">
        <v>748</v>
      </c>
      <c r="P986" s="124" t="s">
        <v>2583</v>
      </c>
      <c r="R986" s="124" t="s">
        <v>2584</v>
      </c>
      <c r="W986" s="124" t="s">
        <v>2585</v>
      </c>
      <c r="X986" s="124" t="s">
        <v>499</v>
      </c>
      <c r="Y986" s="124">
        <v>213</v>
      </c>
      <c r="AA986" s="124" t="s">
        <v>585</v>
      </c>
    </row>
    <row r="987" spans="1:27" s="124" customFormat="1">
      <c r="A987" s="124">
        <v>880104</v>
      </c>
      <c r="B987" s="124" t="s">
        <v>2586</v>
      </c>
      <c r="C987" s="124">
        <v>8</v>
      </c>
      <c r="E987" s="124" t="s">
        <v>747</v>
      </c>
      <c r="F987" s="124">
        <v>8</v>
      </c>
      <c r="H987" s="124">
        <v>308</v>
      </c>
      <c r="I987" s="128" t="s">
        <v>748</v>
      </c>
      <c r="O987" s="124">
        <v>1</v>
      </c>
      <c r="P987" s="124" t="s">
        <v>2587</v>
      </c>
      <c r="R987" s="124" t="s">
        <v>2588</v>
      </c>
      <c r="W987" s="124" t="s">
        <v>2589</v>
      </c>
      <c r="X987" s="124" t="s">
        <v>522</v>
      </c>
      <c r="Y987" s="124">
        <v>208</v>
      </c>
      <c r="AA987" s="124" t="s">
        <v>589</v>
      </c>
    </row>
    <row r="988" spans="1:27" s="124" customFormat="1">
      <c r="A988" s="124">
        <v>880204</v>
      </c>
      <c r="B988" s="124" t="s">
        <v>2590</v>
      </c>
      <c r="C988" s="124">
        <v>8</v>
      </c>
      <c r="E988" s="124" t="s">
        <v>747</v>
      </c>
      <c r="F988" s="124">
        <v>8</v>
      </c>
      <c r="H988" s="124">
        <v>302</v>
      </c>
      <c r="I988" s="128" t="s">
        <v>748</v>
      </c>
      <c r="O988" s="124">
        <v>1</v>
      </c>
      <c r="P988" s="124" t="s">
        <v>2591</v>
      </c>
      <c r="R988" s="124" t="s">
        <v>2592</v>
      </c>
      <c r="W988" s="124" t="s">
        <v>2593</v>
      </c>
      <c r="X988" s="124" t="s">
        <v>468</v>
      </c>
      <c r="Y988" s="124">
        <v>209</v>
      </c>
      <c r="AA988" s="124" t="s">
        <v>589</v>
      </c>
    </row>
    <row r="989" spans="1:27" s="124" customFormat="1">
      <c r="A989" s="124">
        <v>880304</v>
      </c>
      <c r="B989" s="124" t="s">
        <v>2594</v>
      </c>
      <c r="C989" s="124">
        <v>8</v>
      </c>
      <c r="E989" s="124" t="s">
        <v>747</v>
      </c>
      <c r="F989" s="124">
        <v>8</v>
      </c>
      <c r="H989" s="124">
        <v>304</v>
      </c>
      <c r="I989" s="128" t="s">
        <v>748</v>
      </c>
      <c r="O989" s="124">
        <v>1</v>
      </c>
      <c r="P989" s="124" t="s">
        <v>2595</v>
      </c>
      <c r="R989" s="124" t="s">
        <v>2596</v>
      </c>
      <c r="W989" s="124" t="s">
        <v>2597</v>
      </c>
      <c r="X989" s="124" t="s">
        <v>452</v>
      </c>
      <c r="Y989" s="124">
        <v>210</v>
      </c>
      <c r="AA989" s="124" t="s">
        <v>589</v>
      </c>
    </row>
    <row r="990" spans="1:27" s="124" customFormat="1">
      <c r="A990" s="124">
        <v>880105</v>
      </c>
      <c r="B990" s="124" t="s">
        <v>2598</v>
      </c>
      <c r="C990" s="124">
        <v>8</v>
      </c>
      <c r="E990" s="124" t="s">
        <v>747</v>
      </c>
      <c r="F990" s="124">
        <v>8</v>
      </c>
      <c r="H990" s="124">
        <v>308</v>
      </c>
      <c r="I990" s="128" t="s">
        <v>748</v>
      </c>
      <c r="O990" s="124">
        <v>1</v>
      </c>
      <c r="P990" s="124" t="s">
        <v>2599</v>
      </c>
      <c r="R990" s="124" t="s">
        <v>2600</v>
      </c>
      <c r="W990" s="124" t="s">
        <v>2601</v>
      </c>
      <c r="X990" s="124" t="s">
        <v>566</v>
      </c>
      <c r="Y990" s="124">
        <v>211</v>
      </c>
      <c r="AA990" s="124" t="s">
        <v>589</v>
      </c>
    </row>
    <row r="991" spans="1:27" s="124" customFormat="1">
      <c r="A991" s="124">
        <v>880205</v>
      </c>
      <c r="B991" s="124" t="s">
        <v>2602</v>
      </c>
      <c r="C991" s="124">
        <v>8</v>
      </c>
      <c r="E991" s="124" t="s">
        <v>747</v>
      </c>
      <c r="F991" s="124">
        <v>8</v>
      </c>
      <c r="H991" s="124">
        <v>302</v>
      </c>
      <c r="I991" s="128" t="s">
        <v>748</v>
      </c>
      <c r="O991" s="124">
        <v>1</v>
      </c>
      <c r="P991" s="124" t="s">
        <v>2603</v>
      </c>
      <c r="R991" s="124" t="s">
        <v>2604</v>
      </c>
      <c r="W991" s="124" t="s">
        <v>2605</v>
      </c>
      <c r="X991" s="124" t="s">
        <v>570</v>
      </c>
      <c r="Y991" s="124">
        <v>212</v>
      </c>
      <c r="AA991" s="124" t="s">
        <v>589</v>
      </c>
    </row>
    <row r="992" spans="1:27" s="124" customFormat="1">
      <c r="A992" s="124">
        <v>880305</v>
      </c>
      <c r="B992" s="124" t="s">
        <v>2606</v>
      </c>
      <c r="C992" s="124">
        <v>8</v>
      </c>
      <c r="E992" s="124" t="s">
        <v>747</v>
      </c>
      <c r="F992" s="124">
        <v>8</v>
      </c>
      <c r="H992" s="124">
        <v>304</v>
      </c>
      <c r="I992" s="128" t="s">
        <v>748</v>
      </c>
      <c r="O992" s="124">
        <v>1</v>
      </c>
      <c r="P992" s="124" t="s">
        <v>2607</v>
      </c>
      <c r="R992" s="124" t="s">
        <v>2608</v>
      </c>
      <c r="W992" s="124" t="s">
        <v>2609</v>
      </c>
      <c r="X992" s="124" t="s">
        <v>560</v>
      </c>
      <c r="Y992" s="124">
        <v>213</v>
      </c>
      <c r="AA992" s="124" t="s">
        <v>589</v>
      </c>
    </row>
    <row r="993" spans="1:34" s="124" customFormat="1">
      <c r="A993" s="124">
        <v>880405</v>
      </c>
      <c r="B993" s="124" t="s">
        <v>2610</v>
      </c>
      <c r="C993" s="124">
        <v>8</v>
      </c>
      <c r="E993" s="124" t="s">
        <v>747</v>
      </c>
      <c r="F993" s="124">
        <v>8</v>
      </c>
      <c r="H993" s="124">
        <v>305</v>
      </c>
      <c r="I993" s="128" t="s">
        <v>748</v>
      </c>
      <c r="O993" s="124">
        <v>1</v>
      </c>
      <c r="P993" s="124" t="s">
        <v>2611</v>
      </c>
      <c r="R993" s="124" t="s">
        <v>2612</v>
      </c>
      <c r="W993" s="124" t="s">
        <v>2613</v>
      </c>
      <c r="X993" s="124" t="s">
        <v>531</v>
      </c>
      <c r="Y993" s="124">
        <v>206</v>
      </c>
      <c r="AA993" s="124" t="s">
        <v>589</v>
      </c>
    </row>
    <row r="994" spans="1:34" s="124" customFormat="1">
      <c r="I994" s="127"/>
    </row>
    <row r="995" spans="1:34" s="124" customFormat="1">
      <c r="A995" s="124">
        <v>51410</v>
      </c>
      <c r="B995" s="124" t="s">
        <v>2614</v>
      </c>
      <c r="C995" s="124">
        <v>5</v>
      </c>
      <c r="E995" s="124" t="s">
        <v>2615</v>
      </c>
      <c r="F995" s="124">
        <v>1</v>
      </c>
      <c r="G995" s="124" t="s">
        <v>2616</v>
      </c>
      <c r="H995" s="124">
        <v>308</v>
      </c>
      <c r="I995" s="128" t="s">
        <v>2617</v>
      </c>
      <c r="J995" s="124">
        <v>1</v>
      </c>
      <c r="K995" s="124">
        <v>10511</v>
      </c>
      <c r="L995" s="124">
        <v>410514</v>
      </c>
      <c r="M995" s="124">
        <v>30</v>
      </c>
      <c r="N995" s="124">
        <v>48</v>
      </c>
      <c r="S995" s="124" t="s">
        <v>2618</v>
      </c>
      <c r="T995" s="124" t="s">
        <v>2619</v>
      </c>
      <c r="U995" s="124" t="s">
        <v>2620</v>
      </c>
      <c r="W995" s="124">
        <v>5</v>
      </c>
      <c r="X995" s="124" t="s">
        <v>512</v>
      </c>
      <c r="Y995" s="124">
        <v>2</v>
      </c>
      <c r="Z995" s="124">
        <v>4</v>
      </c>
      <c r="AA995" s="124" t="s">
        <v>516</v>
      </c>
      <c r="AB995" s="124" t="s">
        <v>2621</v>
      </c>
      <c r="AC995" s="124">
        <v>6</v>
      </c>
      <c r="AD995" s="124" t="s">
        <v>2622</v>
      </c>
      <c r="AE995" s="124" t="s">
        <v>2623</v>
      </c>
      <c r="AF995" s="124" t="s">
        <v>2624</v>
      </c>
      <c r="AG995" s="124" t="s">
        <v>2625</v>
      </c>
      <c r="AH995" s="124" t="s">
        <v>2626</v>
      </c>
    </row>
    <row r="996" spans="1:34" s="124" customFormat="1">
      <c r="A996" s="124">
        <v>31560</v>
      </c>
      <c r="B996" s="124" t="s">
        <v>2627</v>
      </c>
      <c r="C996" s="124">
        <v>3</v>
      </c>
      <c r="E996" s="124" t="s">
        <v>2628</v>
      </c>
      <c r="F996" s="124">
        <v>1</v>
      </c>
      <c r="G996" s="124" t="s">
        <v>2629</v>
      </c>
      <c r="H996" s="124">
        <v>305</v>
      </c>
      <c r="I996" s="128" t="s">
        <v>2617</v>
      </c>
      <c r="J996" s="124">
        <v>0</v>
      </c>
      <c r="T996" s="124" t="s">
        <v>2630</v>
      </c>
      <c r="U996" s="124" t="s">
        <v>2631</v>
      </c>
      <c r="W996" s="124">
        <v>7</v>
      </c>
      <c r="X996" s="124" t="s">
        <v>484</v>
      </c>
      <c r="Y996" s="124">
        <v>16</v>
      </c>
      <c r="Z996" s="124">
        <v>6</v>
      </c>
      <c r="AA996" s="124" t="s">
        <v>472</v>
      </c>
    </row>
    <row r="997" spans="1:34" s="124" customFormat="1">
      <c r="A997" s="124">
        <v>32550</v>
      </c>
      <c r="B997" s="124" t="s">
        <v>2632</v>
      </c>
      <c r="C997" s="124">
        <v>3</v>
      </c>
      <c r="E997" s="124" t="s">
        <v>2628</v>
      </c>
      <c r="F997" s="124">
        <v>2</v>
      </c>
      <c r="G997" s="124" t="s">
        <v>2633</v>
      </c>
      <c r="H997" s="124">
        <v>305</v>
      </c>
      <c r="I997" s="128" t="s">
        <v>2617</v>
      </c>
      <c r="J997" s="124">
        <v>0</v>
      </c>
      <c r="T997" s="124" t="s">
        <v>2634</v>
      </c>
      <c r="U997" s="124" t="s">
        <v>2635</v>
      </c>
      <c r="W997" s="124">
        <v>7</v>
      </c>
      <c r="X997" s="124" t="s">
        <v>542</v>
      </c>
      <c r="Y997" s="124">
        <v>15</v>
      </c>
      <c r="Z997" s="124">
        <v>5</v>
      </c>
      <c r="AA997" s="124" t="s">
        <v>548</v>
      </c>
    </row>
    <row r="998" spans="1:34" s="124" customFormat="1">
      <c r="A998" s="124">
        <v>33590</v>
      </c>
      <c r="B998" s="124" t="s">
        <v>2636</v>
      </c>
      <c r="C998" s="124">
        <v>3</v>
      </c>
      <c r="E998" s="124" t="s">
        <v>2628</v>
      </c>
      <c r="F998" s="124">
        <v>3</v>
      </c>
      <c r="G998" s="124" t="s">
        <v>2637</v>
      </c>
      <c r="H998" s="124">
        <v>305</v>
      </c>
      <c r="I998" s="128" t="s">
        <v>2617</v>
      </c>
      <c r="J998" s="124">
        <v>0</v>
      </c>
      <c r="T998" s="124" t="s">
        <v>2638</v>
      </c>
      <c r="U998" s="124" t="s">
        <v>2639</v>
      </c>
      <c r="W998" s="124">
        <v>7</v>
      </c>
      <c r="X998" s="124" t="s">
        <v>536</v>
      </c>
      <c r="Y998" s="124">
        <v>14</v>
      </c>
      <c r="Z998" s="124">
        <v>4</v>
      </c>
      <c r="AA998" s="124" t="s">
        <v>565</v>
      </c>
    </row>
    <row r="999" spans="1:34" s="124" customFormat="1">
      <c r="A999" s="124">
        <v>34610</v>
      </c>
      <c r="B999" s="124" t="s">
        <v>2640</v>
      </c>
      <c r="C999" s="124">
        <v>3</v>
      </c>
      <c r="E999" s="124" t="s">
        <v>2628</v>
      </c>
      <c r="F999" s="124">
        <v>4</v>
      </c>
      <c r="G999" s="124" t="s">
        <v>2641</v>
      </c>
      <c r="H999" s="124">
        <v>305</v>
      </c>
      <c r="I999" s="128" t="s">
        <v>2617</v>
      </c>
      <c r="J999" s="124">
        <v>0</v>
      </c>
      <c r="T999" s="124" t="s">
        <v>2642</v>
      </c>
      <c r="U999" s="124" t="s">
        <v>2643</v>
      </c>
      <c r="W999" s="124">
        <v>7</v>
      </c>
      <c r="X999" s="124" t="s">
        <v>566</v>
      </c>
      <c r="Y999" s="124">
        <v>13</v>
      </c>
      <c r="Z999" s="124">
        <v>3</v>
      </c>
      <c r="AA999" s="124" t="s">
        <v>581</v>
      </c>
    </row>
    <row r="1000" spans="1:34" s="124" customFormat="1">
      <c r="A1000" s="124">
        <v>38080</v>
      </c>
      <c r="B1000" s="124" t="s">
        <v>2644</v>
      </c>
      <c r="C1000" s="124">
        <v>3</v>
      </c>
      <c r="E1000" s="124" t="s">
        <v>2628</v>
      </c>
      <c r="F1000" s="124">
        <v>8</v>
      </c>
      <c r="G1000" s="124" t="s">
        <v>2645</v>
      </c>
      <c r="H1000" s="124">
        <v>305</v>
      </c>
      <c r="I1000" s="128" t="s">
        <v>2617</v>
      </c>
      <c r="J1000" s="124">
        <v>0</v>
      </c>
      <c r="O1000" s="124">
        <v>1</v>
      </c>
      <c r="T1000" s="124" t="s">
        <v>2646</v>
      </c>
      <c r="U1000" s="124" t="s">
        <v>2647</v>
      </c>
      <c r="W1000" s="124">
        <v>7</v>
      </c>
      <c r="X1000" s="124" t="s">
        <v>549</v>
      </c>
      <c r="Y1000" s="124">
        <v>17</v>
      </c>
      <c r="Z1000" s="124">
        <v>7</v>
      </c>
      <c r="AA1000" s="124" t="s">
        <v>588</v>
      </c>
    </row>
    <row r="1001" spans="1:34" s="124" customFormat="1">
      <c r="I1001" s="127"/>
    </row>
    <row r="1002" spans="1:34" s="124" customFormat="1" ht="18" customHeight="1">
      <c r="A1002" s="124">
        <v>33580</v>
      </c>
      <c r="B1002" s="124" t="s">
        <v>2648</v>
      </c>
      <c r="C1002" s="124">
        <v>3</v>
      </c>
      <c r="E1002" s="124" t="s">
        <v>2649</v>
      </c>
      <c r="F1002" s="124">
        <v>3</v>
      </c>
      <c r="G1002" s="142" t="s">
        <v>2650</v>
      </c>
      <c r="H1002" s="124">
        <v>304</v>
      </c>
      <c r="I1002" s="128" t="s">
        <v>2651</v>
      </c>
      <c r="J1002" s="124">
        <v>0</v>
      </c>
      <c r="T1002" s="124" t="s">
        <v>2652</v>
      </c>
      <c r="U1002" s="124" t="s">
        <v>2653</v>
      </c>
      <c r="W1002" s="124">
        <v>3</v>
      </c>
      <c r="X1002" s="124" t="s">
        <v>556</v>
      </c>
      <c r="Y1002" s="124">
        <v>9</v>
      </c>
      <c r="Z1002" s="124">
        <v>7</v>
      </c>
      <c r="AA1002" s="124" t="s">
        <v>571</v>
      </c>
    </row>
    <row r="1003" spans="1:34" s="124" customFormat="1">
      <c r="A1003" s="124">
        <v>54410</v>
      </c>
      <c r="B1003" s="124" t="s">
        <v>2654</v>
      </c>
      <c r="C1003" s="124">
        <v>5</v>
      </c>
      <c r="E1003" s="124" t="s">
        <v>716</v>
      </c>
      <c r="F1003" s="124">
        <v>4</v>
      </c>
      <c r="G1003" s="124" t="s">
        <v>2655</v>
      </c>
      <c r="H1003" s="124">
        <v>302</v>
      </c>
      <c r="I1003" s="128" t="s">
        <v>2656</v>
      </c>
      <c r="J1003" s="124">
        <v>1</v>
      </c>
      <c r="K1003" s="124">
        <v>40541</v>
      </c>
      <c r="L1003" s="124">
        <v>440542</v>
      </c>
      <c r="M1003" s="124">
        <v>14</v>
      </c>
      <c r="N1003" s="124">
        <v>27</v>
      </c>
      <c r="S1003" s="124" t="s">
        <v>2657</v>
      </c>
      <c r="T1003" s="124" t="s">
        <v>2658</v>
      </c>
      <c r="U1003" s="124" t="s">
        <v>2659</v>
      </c>
      <c r="W1003" s="124">
        <v>2</v>
      </c>
      <c r="X1003" s="124" t="s">
        <v>545</v>
      </c>
      <c r="Y1003" s="124">
        <v>15</v>
      </c>
      <c r="Z1003" s="124">
        <v>8</v>
      </c>
      <c r="AA1003" s="124" t="s">
        <v>581</v>
      </c>
      <c r="AB1003" s="124" t="s">
        <v>2660</v>
      </c>
      <c r="AC1003" s="124">
        <v>6</v>
      </c>
      <c r="AD1003" s="124" t="s">
        <v>2661</v>
      </c>
      <c r="AE1003" s="124" t="s">
        <v>2662</v>
      </c>
      <c r="AF1003" s="124" t="s">
        <v>2663</v>
      </c>
      <c r="AG1003" s="124" t="s">
        <v>2664</v>
      </c>
      <c r="AH1003" s="124" t="s">
        <v>2665</v>
      </c>
    </row>
    <row r="1004" spans="1:34" s="124" customFormat="1" ht="15.75" customHeight="1">
      <c r="A1004" s="124">
        <v>51400</v>
      </c>
      <c r="B1004" s="124" t="s">
        <v>2666</v>
      </c>
      <c r="C1004" s="124">
        <v>5</v>
      </c>
      <c r="E1004" s="124" t="s">
        <v>2667</v>
      </c>
      <c r="F1004" s="124">
        <v>1</v>
      </c>
      <c r="G1004" s="124" t="s">
        <v>2668</v>
      </c>
      <c r="H1004" s="124">
        <v>303</v>
      </c>
      <c r="I1004" s="128" t="s">
        <v>2669</v>
      </c>
      <c r="J1004" s="124">
        <v>1</v>
      </c>
      <c r="K1004" s="124">
        <v>10481</v>
      </c>
      <c r="L1004" s="124">
        <v>410481</v>
      </c>
      <c r="M1004" s="124">
        <v>21</v>
      </c>
      <c r="N1004" s="124">
        <v>33</v>
      </c>
      <c r="S1004" s="124" t="s">
        <v>2670</v>
      </c>
      <c r="T1004" s="124" t="s">
        <v>2671</v>
      </c>
      <c r="U1004" s="124" t="s">
        <v>2672</v>
      </c>
      <c r="W1004" s="124">
        <v>7</v>
      </c>
      <c r="X1004" s="124" t="s">
        <v>522</v>
      </c>
      <c r="Y1004" s="124">
        <v>4</v>
      </c>
      <c r="Z1004" s="124">
        <v>5</v>
      </c>
      <c r="AA1004" s="124" t="s">
        <v>532</v>
      </c>
      <c r="AB1004" s="124" t="s">
        <v>2673</v>
      </c>
      <c r="AC1004" s="124">
        <v>7</v>
      </c>
      <c r="AD1004" s="124" t="s">
        <v>2674</v>
      </c>
      <c r="AE1004" s="124" t="s">
        <v>2675</v>
      </c>
      <c r="AF1004" s="124" t="s">
        <v>2676</v>
      </c>
      <c r="AG1004" s="124" t="s">
        <v>2677</v>
      </c>
      <c r="AH1004" s="124" t="s">
        <v>2678</v>
      </c>
    </row>
    <row r="1005" spans="1:34" s="124" customFormat="1" ht="15.75" customHeight="1">
      <c r="A1005" s="124">
        <v>52400</v>
      </c>
      <c r="B1005" s="124" t="s">
        <v>2679</v>
      </c>
      <c r="C1005" s="124">
        <v>5</v>
      </c>
      <c r="E1005" s="124" t="s">
        <v>2667</v>
      </c>
      <c r="F1005" s="124">
        <v>2</v>
      </c>
      <c r="G1005" s="124" t="s">
        <v>2680</v>
      </c>
      <c r="H1005" s="124">
        <v>303</v>
      </c>
      <c r="I1005" s="128" t="s">
        <v>2669</v>
      </c>
      <c r="J1005" s="124">
        <v>1</v>
      </c>
      <c r="K1005" s="124">
        <v>20491</v>
      </c>
      <c r="L1005" s="124">
        <v>420491</v>
      </c>
      <c r="M1005" s="124">
        <v>18</v>
      </c>
      <c r="N1005" s="124">
        <v>29</v>
      </c>
      <c r="S1005" s="124" t="s">
        <v>2681</v>
      </c>
      <c r="T1005" s="124" t="s">
        <v>2682</v>
      </c>
      <c r="U1005" s="124" t="s">
        <v>2683</v>
      </c>
      <c r="W1005" s="124">
        <v>7</v>
      </c>
      <c r="X1005" s="124" t="s">
        <v>468</v>
      </c>
      <c r="Y1005" s="124">
        <v>5</v>
      </c>
      <c r="Z1005" s="124">
        <v>5</v>
      </c>
      <c r="AA1005" s="124" t="s">
        <v>563</v>
      </c>
      <c r="AB1005" s="124" t="s">
        <v>2684</v>
      </c>
      <c r="AC1005" s="124">
        <v>7</v>
      </c>
      <c r="AD1005" s="124" t="s">
        <v>2685</v>
      </c>
      <c r="AE1005" s="124" t="s">
        <v>2686</v>
      </c>
      <c r="AF1005" s="124" t="s">
        <v>2687</v>
      </c>
      <c r="AG1005" s="124" t="s">
        <v>2688</v>
      </c>
      <c r="AH1005" s="124" t="s">
        <v>2689</v>
      </c>
    </row>
    <row r="1006" spans="1:34" s="124" customFormat="1">
      <c r="A1006" s="124">
        <v>53400</v>
      </c>
      <c r="B1006" s="124" t="s">
        <v>2690</v>
      </c>
      <c r="C1006" s="124">
        <v>5</v>
      </c>
      <c r="E1006" s="124" t="s">
        <v>2667</v>
      </c>
      <c r="F1006" s="124">
        <v>3</v>
      </c>
      <c r="G1006" s="124" t="s">
        <v>2691</v>
      </c>
      <c r="H1006" s="124">
        <v>303</v>
      </c>
      <c r="I1006" s="128" t="s">
        <v>2669</v>
      </c>
      <c r="J1006" s="124">
        <v>1</v>
      </c>
      <c r="K1006" s="124">
        <v>30501</v>
      </c>
      <c r="L1006" s="124">
        <v>430504</v>
      </c>
      <c r="M1006" s="124">
        <v>73</v>
      </c>
      <c r="N1006" s="124">
        <v>89</v>
      </c>
      <c r="S1006" s="124" t="s">
        <v>2692</v>
      </c>
      <c r="T1006" s="124" t="s">
        <v>2693</v>
      </c>
      <c r="U1006" s="124" t="s">
        <v>2694</v>
      </c>
      <c r="W1006" s="124">
        <v>7</v>
      </c>
      <c r="X1006" s="124" t="s">
        <v>549</v>
      </c>
      <c r="Y1006" s="124">
        <v>6</v>
      </c>
      <c r="Z1006" s="124">
        <v>5</v>
      </c>
      <c r="AA1006" s="124" t="s">
        <v>574</v>
      </c>
      <c r="AB1006" s="124" t="s">
        <v>2695</v>
      </c>
      <c r="AC1006" s="124">
        <v>7</v>
      </c>
      <c r="AD1006" s="124" t="s">
        <v>2696</v>
      </c>
      <c r="AE1006" s="124" t="s">
        <v>2697</v>
      </c>
      <c r="AF1006" s="124" t="s">
        <v>2698</v>
      </c>
      <c r="AG1006" s="124" t="s">
        <v>2699</v>
      </c>
      <c r="AH1006" s="124" t="s">
        <v>2700</v>
      </c>
    </row>
    <row r="1007" spans="1:34" s="124" customFormat="1">
      <c r="A1007" s="124">
        <v>54420</v>
      </c>
      <c r="B1007" s="124" t="s">
        <v>2701</v>
      </c>
      <c r="C1007" s="124">
        <v>5</v>
      </c>
      <c r="E1007" s="124" t="s">
        <v>2667</v>
      </c>
      <c r="F1007" s="124">
        <v>4</v>
      </c>
      <c r="G1007" s="124" t="s">
        <v>2702</v>
      </c>
      <c r="H1007" s="124">
        <v>303</v>
      </c>
      <c r="I1007" s="128" t="s">
        <v>2669</v>
      </c>
      <c r="J1007" s="124">
        <v>1</v>
      </c>
      <c r="K1007" s="124">
        <v>40531</v>
      </c>
      <c r="L1007" s="124">
        <v>440533</v>
      </c>
      <c r="M1007" s="124">
        <v>127</v>
      </c>
      <c r="N1007" s="124">
        <v>135</v>
      </c>
      <c r="S1007" s="124" t="s">
        <v>2703</v>
      </c>
      <c r="T1007" s="124" t="s">
        <v>2704</v>
      </c>
      <c r="U1007" s="124" t="s">
        <v>2705</v>
      </c>
      <c r="W1007" s="124">
        <v>7</v>
      </c>
      <c r="X1007" s="124" t="s">
        <v>564</v>
      </c>
      <c r="Y1007" s="124">
        <v>7</v>
      </c>
      <c r="Z1007" s="124">
        <v>5</v>
      </c>
      <c r="AA1007" s="124" t="s">
        <v>582</v>
      </c>
      <c r="AB1007" s="124" t="s">
        <v>2706</v>
      </c>
      <c r="AC1007" s="124">
        <v>7</v>
      </c>
      <c r="AD1007" s="124" t="s">
        <v>2707</v>
      </c>
      <c r="AE1007" s="124" t="s">
        <v>2708</v>
      </c>
      <c r="AF1007" s="124" t="s">
        <v>2709</v>
      </c>
      <c r="AG1007" s="124" t="s">
        <v>2710</v>
      </c>
      <c r="AH1007" s="124" t="s">
        <v>2711</v>
      </c>
    </row>
    <row r="1008" spans="1:34" s="124" customFormat="1">
      <c r="A1008" s="124">
        <v>58050</v>
      </c>
      <c r="B1008" s="124" t="s">
        <v>2712</v>
      </c>
      <c r="C1008" s="124">
        <v>5</v>
      </c>
      <c r="E1008" s="124" t="s">
        <v>2667</v>
      </c>
      <c r="F1008" s="124">
        <v>8</v>
      </c>
      <c r="G1008" s="124" t="s">
        <v>2713</v>
      </c>
      <c r="H1008" s="124">
        <v>303</v>
      </c>
      <c r="I1008" s="128" t="s">
        <v>2669</v>
      </c>
      <c r="J1008" s="124">
        <v>1</v>
      </c>
      <c r="K1008" s="124">
        <v>80071</v>
      </c>
      <c r="L1008" s="124">
        <v>480074</v>
      </c>
      <c r="M1008" s="124">
        <v>21</v>
      </c>
      <c r="N1008" s="124">
        <v>33</v>
      </c>
      <c r="O1008" s="124">
        <v>1</v>
      </c>
      <c r="S1008" s="124" t="s">
        <v>2714</v>
      </c>
      <c r="T1008" s="124" t="s">
        <v>2715</v>
      </c>
      <c r="U1008" s="124" t="s">
        <v>2716</v>
      </c>
      <c r="W1008" s="124">
        <v>7</v>
      </c>
      <c r="X1008" s="124" t="s">
        <v>570</v>
      </c>
      <c r="Y1008" s="124">
        <v>8</v>
      </c>
      <c r="Z1008" s="124">
        <v>5</v>
      </c>
      <c r="AA1008" s="124" t="s">
        <v>589</v>
      </c>
      <c r="AB1008" s="124" t="s">
        <v>2717</v>
      </c>
      <c r="AC1008" s="124">
        <v>7</v>
      </c>
      <c r="AD1008" s="124" t="s">
        <v>2718</v>
      </c>
      <c r="AE1008" s="124" t="s">
        <v>2719</v>
      </c>
      <c r="AF1008" s="124" t="s">
        <v>2720</v>
      </c>
      <c r="AG1008" s="124" t="s">
        <v>2721</v>
      </c>
      <c r="AH1008" s="124" t="s">
        <v>2722</v>
      </c>
    </row>
    <row r="1009" spans="1:40" s="124" customFormat="1">
      <c r="A1009" s="124">
        <v>71040</v>
      </c>
      <c r="B1009" s="124" t="s">
        <v>2723</v>
      </c>
      <c r="C1009" s="124">
        <v>7</v>
      </c>
      <c r="E1009" s="124" t="s">
        <v>816</v>
      </c>
      <c r="F1009" s="124">
        <v>1</v>
      </c>
      <c r="G1009" s="124" t="s">
        <v>2724</v>
      </c>
      <c r="H1009" s="124">
        <v>306</v>
      </c>
      <c r="I1009" s="128" t="s">
        <v>2669</v>
      </c>
      <c r="J1009" s="124">
        <v>1</v>
      </c>
      <c r="K1009" s="124">
        <v>10491</v>
      </c>
      <c r="L1009" s="124">
        <v>410494</v>
      </c>
      <c r="M1009" s="124">
        <v>1</v>
      </c>
      <c r="N1009" s="124">
        <v>16</v>
      </c>
      <c r="T1009" s="124" t="s">
        <v>2725</v>
      </c>
      <c r="U1009" s="124" t="s">
        <v>2726</v>
      </c>
      <c r="V1009" s="124">
        <v>0</v>
      </c>
      <c r="W1009" s="124">
        <v>7</v>
      </c>
      <c r="X1009" s="124" t="s">
        <v>539</v>
      </c>
      <c r="Y1009" s="124">
        <v>15</v>
      </c>
      <c r="Z1009" s="124">
        <v>0</v>
      </c>
      <c r="AA1009" s="124" t="s">
        <v>503</v>
      </c>
      <c r="AB1009" s="124" t="s">
        <v>2727</v>
      </c>
      <c r="AC1009" s="124">
        <v>6</v>
      </c>
      <c r="AD1009" s="124" t="s">
        <v>2728</v>
      </c>
      <c r="AE1009" s="124" t="s">
        <v>2729</v>
      </c>
      <c r="AF1009" s="124" t="s">
        <v>2730</v>
      </c>
      <c r="AG1009" s="124" t="s">
        <v>2731</v>
      </c>
      <c r="AH1009" s="124" t="s">
        <v>2732</v>
      </c>
    </row>
    <row r="1010" spans="1:40" s="124" customFormat="1">
      <c r="A1010" s="124">
        <v>73040</v>
      </c>
      <c r="B1010" s="124" t="s">
        <v>2733</v>
      </c>
      <c r="C1010" s="124">
        <v>7</v>
      </c>
      <c r="E1010" s="124" t="s">
        <v>816</v>
      </c>
      <c r="F1010" s="124">
        <v>3</v>
      </c>
      <c r="G1010" s="124" t="s">
        <v>2734</v>
      </c>
      <c r="H1010" s="124">
        <v>303</v>
      </c>
      <c r="I1010" s="128" t="s">
        <v>2669</v>
      </c>
      <c r="J1010" s="124">
        <v>1</v>
      </c>
      <c r="K1010" s="124">
        <v>30491</v>
      </c>
      <c r="L1010" s="124">
        <v>430491</v>
      </c>
      <c r="M1010" s="124">
        <v>19</v>
      </c>
      <c r="N1010" s="124">
        <v>34</v>
      </c>
      <c r="T1010" s="124" t="s">
        <v>2735</v>
      </c>
      <c r="U1010" s="124" t="s">
        <v>2736</v>
      </c>
      <c r="V1010" s="124">
        <v>0</v>
      </c>
      <c r="W1010" s="124">
        <v>7</v>
      </c>
      <c r="X1010" s="124" t="s">
        <v>522</v>
      </c>
      <c r="Y1010" s="124">
        <v>14</v>
      </c>
      <c r="Z1010" s="124">
        <v>0</v>
      </c>
      <c r="AA1010" s="124" t="s">
        <v>575</v>
      </c>
      <c r="AB1010" s="124" t="s">
        <v>2737</v>
      </c>
      <c r="AC1010" s="124">
        <v>7</v>
      </c>
      <c r="AD1010" s="124" t="s">
        <v>2738</v>
      </c>
      <c r="AE1010" s="124" t="s">
        <v>2739</v>
      </c>
      <c r="AF1010" s="124" t="s">
        <v>2740</v>
      </c>
      <c r="AG1010" s="124" t="s">
        <v>2741</v>
      </c>
      <c r="AH1010" s="124" t="s">
        <v>2742</v>
      </c>
    </row>
    <row r="1011" spans="1:40" s="124" customFormat="1">
      <c r="A1011" s="124">
        <v>31550</v>
      </c>
      <c r="B1011" s="124" t="s">
        <v>2743</v>
      </c>
      <c r="C1011" s="124">
        <v>3</v>
      </c>
      <c r="E1011" s="124" t="s">
        <v>2744</v>
      </c>
      <c r="F1011" s="124">
        <v>1</v>
      </c>
      <c r="G1011" s="124" t="s">
        <v>2745</v>
      </c>
      <c r="H1011" s="124">
        <v>302</v>
      </c>
      <c r="I1011" s="128" t="s">
        <v>2746</v>
      </c>
      <c r="J1011" s="124">
        <v>0</v>
      </c>
      <c r="T1011" s="124" t="s">
        <v>2747</v>
      </c>
      <c r="U1011" s="124" t="s">
        <v>2748</v>
      </c>
      <c r="W1011" s="124">
        <v>4</v>
      </c>
      <c r="X1011" s="124" t="s">
        <v>564</v>
      </c>
      <c r="Y1011" s="124">
        <v>7</v>
      </c>
      <c r="Z1011" s="124">
        <v>5</v>
      </c>
      <c r="AA1011" s="124" t="s">
        <v>488</v>
      </c>
    </row>
    <row r="1012" spans="1:40" s="124" customFormat="1">
      <c r="A1012" s="124">
        <v>32540</v>
      </c>
      <c r="B1012" s="124" t="s">
        <v>2749</v>
      </c>
      <c r="C1012" s="124">
        <v>3</v>
      </c>
      <c r="E1012" s="124" t="s">
        <v>2744</v>
      </c>
      <c r="F1012" s="124">
        <v>2</v>
      </c>
      <c r="G1012" s="124" t="s">
        <v>2750</v>
      </c>
      <c r="H1012" s="124">
        <v>302</v>
      </c>
      <c r="I1012" s="128" t="s">
        <v>2746</v>
      </c>
      <c r="J1012" s="124">
        <v>0</v>
      </c>
      <c r="T1012" s="124" t="s">
        <v>2751</v>
      </c>
      <c r="U1012" s="124" t="s">
        <v>2752</v>
      </c>
      <c r="W1012" s="124">
        <v>4</v>
      </c>
      <c r="X1012" s="124" t="s">
        <v>558</v>
      </c>
      <c r="Y1012" s="124">
        <v>6</v>
      </c>
      <c r="Z1012" s="124">
        <v>7</v>
      </c>
      <c r="AA1012" s="124" t="s">
        <v>550</v>
      </c>
    </row>
    <row r="1013" spans="1:40" s="124" customFormat="1">
      <c r="A1013" s="124">
        <v>33570</v>
      </c>
      <c r="B1013" s="124" t="s">
        <v>2753</v>
      </c>
      <c r="C1013" s="124">
        <v>3</v>
      </c>
      <c r="E1013" s="124" t="s">
        <v>2744</v>
      </c>
      <c r="F1013" s="124">
        <v>3</v>
      </c>
      <c r="G1013" s="124" t="s">
        <v>2754</v>
      </c>
      <c r="H1013" s="124">
        <v>302</v>
      </c>
      <c r="I1013" s="128" t="s">
        <v>2746</v>
      </c>
      <c r="J1013" s="124">
        <v>0</v>
      </c>
      <c r="T1013" s="124" t="s">
        <v>2755</v>
      </c>
      <c r="U1013" s="124" t="s">
        <v>2756</v>
      </c>
      <c r="W1013" s="124">
        <v>4</v>
      </c>
      <c r="X1013" s="124" t="s">
        <v>484</v>
      </c>
      <c r="Y1013" s="124">
        <v>5</v>
      </c>
      <c r="Z1013" s="124">
        <v>6</v>
      </c>
      <c r="AA1013" s="124" t="s">
        <v>567</v>
      </c>
    </row>
    <row r="1014" spans="1:40" s="124" customFormat="1">
      <c r="A1014" s="124">
        <v>34600</v>
      </c>
      <c r="B1014" s="124" t="s">
        <v>2757</v>
      </c>
      <c r="C1014" s="124">
        <v>3</v>
      </c>
      <c r="E1014" s="124" t="s">
        <v>2744</v>
      </c>
      <c r="F1014" s="124">
        <v>4</v>
      </c>
      <c r="G1014" s="124" t="s">
        <v>2758</v>
      </c>
      <c r="H1014" s="124">
        <v>302</v>
      </c>
      <c r="I1014" s="128" t="s">
        <v>2746</v>
      </c>
      <c r="J1014" s="124">
        <v>0</v>
      </c>
      <c r="T1014" s="124" t="s">
        <v>2759</v>
      </c>
      <c r="U1014" s="124" t="s">
        <v>2760</v>
      </c>
      <c r="W1014" s="124">
        <v>4</v>
      </c>
      <c r="X1014" s="124" t="s">
        <v>522</v>
      </c>
      <c r="Y1014" s="124">
        <v>4</v>
      </c>
      <c r="Z1014" s="124">
        <v>4</v>
      </c>
      <c r="AA1014" s="124" t="s">
        <v>583</v>
      </c>
    </row>
    <row r="1015" spans="1:40" s="124" customFormat="1">
      <c r="A1015" s="124">
        <v>38070</v>
      </c>
      <c r="B1015" s="124" t="s">
        <v>2761</v>
      </c>
      <c r="C1015" s="124">
        <v>3</v>
      </c>
      <c r="E1015" s="124" t="s">
        <v>2744</v>
      </c>
      <c r="F1015" s="124">
        <v>8</v>
      </c>
      <c r="G1015" s="124" t="s">
        <v>2762</v>
      </c>
      <c r="H1015" s="124">
        <v>302</v>
      </c>
      <c r="I1015" s="128" t="s">
        <v>2746</v>
      </c>
      <c r="J1015" s="124">
        <v>0</v>
      </c>
      <c r="O1015" s="124">
        <v>1</v>
      </c>
      <c r="T1015" s="124" t="s">
        <v>2763</v>
      </c>
      <c r="U1015" s="124" t="s">
        <v>2764</v>
      </c>
      <c r="W1015" s="124">
        <v>4</v>
      </c>
      <c r="X1015" s="124" t="s">
        <v>499</v>
      </c>
      <c r="Y1015" s="124">
        <v>8</v>
      </c>
      <c r="Z1015" s="124">
        <v>8</v>
      </c>
      <c r="AA1015" s="124" t="s">
        <v>588</v>
      </c>
    </row>
    <row r="1016" spans="1:40" s="124" customFormat="1">
      <c r="A1016" s="124">
        <v>71030</v>
      </c>
      <c r="B1016" s="124" t="s">
        <v>2765</v>
      </c>
      <c r="C1016" s="124">
        <v>7</v>
      </c>
      <c r="E1016" s="124" t="s">
        <v>2766</v>
      </c>
      <c r="F1016" s="124">
        <v>1</v>
      </c>
      <c r="G1016" s="124" t="s">
        <v>2767</v>
      </c>
      <c r="H1016" s="124">
        <v>305</v>
      </c>
      <c r="I1016" s="128" t="s">
        <v>2746</v>
      </c>
      <c r="J1016" s="124">
        <v>1</v>
      </c>
      <c r="K1016" s="124">
        <v>10471</v>
      </c>
      <c r="L1016" s="124">
        <v>410472</v>
      </c>
      <c r="M1016" s="124">
        <v>26</v>
      </c>
      <c r="N1016" s="124">
        <v>46</v>
      </c>
      <c r="T1016" s="124" t="s">
        <v>2768</v>
      </c>
      <c r="U1016" s="124" t="s">
        <v>2769</v>
      </c>
      <c r="V1016" s="124">
        <v>0</v>
      </c>
      <c r="W1016" s="124">
        <v>4</v>
      </c>
      <c r="X1016" s="124" t="s">
        <v>542</v>
      </c>
      <c r="Y1016" s="124">
        <v>217</v>
      </c>
      <c r="Z1016" s="124">
        <v>0</v>
      </c>
      <c r="AA1016" s="124" t="s">
        <v>443</v>
      </c>
      <c r="AB1016" s="124" t="s">
        <v>2770</v>
      </c>
      <c r="AC1016" s="124">
        <v>6</v>
      </c>
      <c r="AD1016" s="124" t="s">
        <v>2771</v>
      </c>
      <c r="AE1016" s="124" t="s">
        <v>2772</v>
      </c>
      <c r="AF1016" s="124" t="s">
        <v>2773</v>
      </c>
      <c r="AG1016" s="124" t="s">
        <v>2774</v>
      </c>
      <c r="AH1016" s="124" t="s">
        <v>2775</v>
      </c>
    </row>
    <row r="1017" spans="1:40" s="124" customFormat="1">
      <c r="A1017" s="124">
        <v>72030</v>
      </c>
      <c r="B1017" s="124" t="s">
        <v>2776</v>
      </c>
      <c r="C1017" s="124">
        <v>7</v>
      </c>
      <c r="E1017" s="124" t="s">
        <v>2766</v>
      </c>
      <c r="F1017" s="124">
        <v>2</v>
      </c>
      <c r="G1017" s="124" t="s">
        <v>2777</v>
      </c>
      <c r="H1017" s="124">
        <v>301</v>
      </c>
      <c r="I1017" s="128" t="s">
        <v>2746</v>
      </c>
      <c r="J1017" s="124">
        <v>1</v>
      </c>
      <c r="K1017" s="124">
        <v>20471</v>
      </c>
      <c r="L1017" s="124">
        <v>420472</v>
      </c>
      <c r="M1017" s="124">
        <v>17</v>
      </c>
      <c r="N1017" s="124">
        <v>39</v>
      </c>
      <c r="T1017" s="124" t="s">
        <v>2778</v>
      </c>
      <c r="U1017" s="124" t="s">
        <v>2779</v>
      </c>
      <c r="V1017" s="124">
        <v>0</v>
      </c>
      <c r="W1017" s="124">
        <v>4</v>
      </c>
      <c r="X1017" s="124" t="s">
        <v>547</v>
      </c>
      <c r="Y1017" s="124">
        <v>218</v>
      </c>
      <c r="Z1017" s="124">
        <v>0</v>
      </c>
      <c r="AA1017" s="124" t="s">
        <v>546</v>
      </c>
      <c r="AB1017" s="124" t="s">
        <v>2780</v>
      </c>
      <c r="AC1017" s="124">
        <v>6</v>
      </c>
      <c r="AD1017" s="124" t="s">
        <v>2781</v>
      </c>
      <c r="AE1017" s="124" t="s">
        <v>2782</v>
      </c>
      <c r="AF1017" s="124" t="s">
        <v>2783</v>
      </c>
      <c r="AG1017" s="124" t="s">
        <v>2784</v>
      </c>
      <c r="AH1017" s="124" t="s">
        <v>2785</v>
      </c>
    </row>
    <row r="1018" spans="1:40" s="124" customFormat="1">
      <c r="A1018" s="124">
        <v>73030</v>
      </c>
      <c r="B1018" s="124" t="s">
        <v>2786</v>
      </c>
      <c r="C1018" s="124">
        <v>7</v>
      </c>
      <c r="E1018" s="124" t="s">
        <v>2766</v>
      </c>
      <c r="F1018" s="124">
        <v>3</v>
      </c>
      <c r="G1018" s="124" t="s">
        <v>2787</v>
      </c>
      <c r="H1018" s="124">
        <v>306</v>
      </c>
      <c r="I1018" s="128" t="s">
        <v>2746</v>
      </c>
      <c r="J1018" s="124">
        <v>1</v>
      </c>
      <c r="K1018" s="124">
        <v>30471</v>
      </c>
      <c r="L1018" s="124">
        <v>430472</v>
      </c>
      <c r="M1018" s="124">
        <v>16</v>
      </c>
      <c r="N1018" s="124">
        <v>47</v>
      </c>
      <c r="T1018" s="124" t="s">
        <v>2788</v>
      </c>
      <c r="U1018" s="124" t="s">
        <v>2789</v>
      </c>
      <c r="V1018" s="124">
        <v>0</v>
      </c>
      <c r="W1018" s="124">
        <v>4</v>
      </c>
      <c r="X1018" s="124" t="s">
        <v>539</v>
      </c>
      <c r="Y1018" s="124">
        <v>219</v>
      </c>
      <c r="Z1018" s="124">
        <v>0</v>
      </c>
      <c r="AA1018" s="124" t="s">
        <v>573</v>
      </c>
      <c r="AB1018" s="124" t="s">
        <v>2790</v>
      </c>
      <c r="AC1018" s="124">
        <v>6</v>
      </c>
      <c r="AD1018" s="124" t="s">
        <v>2791</v>
      </c>
      <c r="AE1018" s="124" t="s">
        <v>2792</v>
      </c>
      <c r="AF1018" s="124" t="s">
        <v>2793</v>
      </c>
      <c r="AG1018" s="124" t="s">
        <v>2794</v>
      </c>
      <c r="AH1018" s="124" t="s">
        <v>2795</v>
      </c>
    </row>
    <row r="1019" spans="1:40" s="124" customFormat="1">
      <c r="A1019" s="124">
        <v>74040</v>
      </c>
      <c r="B1019" s="124" t="s">
        <v>172</v>
      </c>
      <c r="C1019" s="124">
        <v>7</v>
      </c>
      <c r="E1019" s="124" t="s">
        <v>2766</v>
      </c>
      <c r="F1019" s="124">
        <v>4</v>
      </c>
      <c r="G1019" s="124" t="s">
        <v>2796</v>
      </c>
      <c r="H1019" s="124">
        <v>307</v>
      </c>
      <c r="I1019" s="128" t="s">
        <v>2746</v>
      </c>
      <c r="J1019" s="124">
        <v>1</v>
      </c>
      <c r="K1019" s="124">
        <v>40521</v>
      </c>
      <c r="L1019" s="124">
        <v>440523</v>
      </c>
      <c r="M1019" s="124">
        <v>1</v>
      </c>
      <c r="N1019" s="124">
        <v>19</v>
      </c>
      <c r="T1019" s="124" t="s">
        <v>2797</v>
      </c>
      <c r="U1019" s="124" t="s">
        <v>2798</v>
      </c>
      <c r="V1019" s="124">
        <v>0</v>
      </c>
      <c r="W1019" s="124">
        <v>4</v>
      </c>
      <c r="X1019" s="124" t="s">
        <v>566</v>
      </c>
      <c r="Y1019" s="124">
        <v>220</v>
      </c>
      <c r="Z1019" s="124">
        <v>0</v>
      </c>
      <c r="AA1019" s="124" t="s">
        <v>580</v>
      </c>
      <c r="AB1019" s="124" t="s">
        <v>2799</v>
      </c>
      <c r="AC1019" s="124">
        <v>6</v>
      </c>
      <c r="AD1019" s="124" t="s">
        <v>2800</v>
      </c>
      <c r="AE1019" s="124" t="s">
        <v>2801</v>
      </c>
      <c r="AF1019" s="124" t="s">
        <v>2802</v>
      </c>
      <c r="AG1019" s="124" t="s">
        <v>2803</v>
      </c>
      <c r="AH1019" s="124" t="s">
        <v>2804</v>
      </c>
    </row>
    <row r="1020" spans="1:40" s="124" customFormat="1">
      <c r="A1020" s="124">
        <v>78030</v>
      </c>
      <c r="B1020" s="124" t="s">
        <v>176</v>
      </c>
      <c r="C1020" s="124">
        <v>7</v>
      </c>
      <c r="E1020" s="124" t="s">
        <v>2766</v>
      </c>
      <c r="F1020" s="124">
        <v>8</v>
      </c>
      <c r="G1020" s="124" t="s">
        <v>2805</v>
      </c>
      <c r="H1020" s="124">
        <v>304</v>
      </c>
      <c r="I1020" s="128" t="s">
        <v>2746</v>
      </c>
      <c r="J1020" s="124">
        <v>1</v>
      </c>
      <c r="K1020" s="124">
        <v>80061</v>
      </c>
      <c r="L1020" s="124">
        <v>480062</v>
      </c>
      <c r="M1020" s="124">
        <v>1</v>
      </c>
      <c r="N1020" s="124">
        <v>31</v>
      </c>
      <c r="O1020" s="124">
        <v>1</v>
      </c>
      <c r="T1020" s="124" t="s">
        <v>2806</v>
      </c>
      <c r="U1020" s="124" t="s">
        <v>2807</v>
      </c>
      <c r="V1020" s="124">
        <v>0</v>
      </c>
      <c r="W1020" s="124">
        <v>4</v>
      </c>
      <c r="X1020" s="124" t="s">
        <v>512</v>
      </c>
      <c r="Y1020" s="124">
        <v>221</v>
      </c>
      <c r="Z1020" s="124">
        <v>0</v>
      </c>
      <c r="AA1020" s="124" t="s">
        <v>588</v>
      </c>
      <c r="AB1020" s="124" t="s">
        <v>2808</v>
      </c>
      <c r="AC1020" s="124">
        <v>6</v>
      </c>
      <c r="AD1020" s="124" t="s">
        <v>2809</v>
      </c>
      <c r="AE1020" s="124" t="s">
        <v>2810</v>
      </c>
      <c r="AF1020" s="124" t="s">
        <v>2811</v>
      </c>
      <c r="AG1020" s="124" t="s">
        <v>2812</v>
      </c>
      <c r="AH1020" s="124" t="s">
        <v>2813</v>
      </c>
    </row>
    <row r="1021" spans="1:40" s="124" customFormat="1">
      <c r="A1021" s="124">
        <v>72040</v>
      </c>
      <c r="B1021" s="124" t="s">
        <v>2814</v>
      </c>
      <c r="C1021" s="124">
        <v>7</v>
      </c>
      <c r="E1021" s="124" t="s">
        <v>706</v>
      </c>
      <c r="F1021" s="124">
        <v>2</v>
      </c>
      <c r="G1021" s="124" t="s">
        <v>2815</v>
      </c>
      <c r="H1021" s="124">
        <v>306</v>
      </c>
      <c r="I1021" s="128" t="s">
        <v>2746</v>
      </c>
      <c r="J1021" s="124">
        <v>1</v>
      </c>
      <c r="K1021" s="124">
        <v>20481</v>
      </c>
      <c r="T1021" s="124" t="s">
        <v>2816</v>
      </c>
      <c r="U1021" s="124" t="s">
        <v>2817</v>
      </c>
      <c r="V1021" s="124">
        <v>0</v>
      </c>
      <c r="W1021" s="124">
        <v>5</v>
      </c>
      <c r="X1021" s="124" t="s">
        <v>570</v>
      </c>
      <c r="Y1021" s="124">
        <v>223</v>
      </c>
      <c r="Z1021" s="124">
        <v>0</v>
      </c>
      <c r="AA1021" s="124" t="s">
        <v>559</v>
      </c>
      <c r="AB1021" s="124" t="s">
        <v>2818</v>
      </c>
      <c r="AC1021" s="124">
        <v>4</v>
      </c>
      <c r="AD1021" s="124" t="s">
        <v>2819</v>
      </c>
      <c r="AE1021" s="124" t="s">
        <v>2820</v>
      </c>
      <c r="AF1021" s="124" t="s">
        <v>2821</v>
      </c>
      <c r="AG1021" s="124" t="s">
        <v>2822</v>
      </c>
      <c r="AH1021" s="124" t="s">
        <v>2823</v>
      </c>
    </row>
    <row r="1022" spans="1:40" s="124" customFormat="1">
      <c r="A1022" s="124">
        <v>810104</v>
      </c>
      <c r="B1022" s="124" t="s">
        <v>2824</v>
      </c>
      <c r="C1022" s="124">
        <v>8</v>
      </c>
      <c r="E1022" s="124" t="s">
        <v>747</v>
      </c>
      <c r="F1022" s="124">
        <v>1</v>
      </c>
      <c r="H1022" s="124">
        <v>304</v>
      </c>
      <c r="I1022" s="128" t="s">
        <v>748</v>
      </c>
      <c r="Q1022" s="124">
        <v>0</v>
      </c>
      <c r="R1022" s="124" t="s">
        <v>2825</v>
      </c>
      <c r="W1022" s="124" t="s">
        <v>2826</v>
      </c>
      <c r="X1022" s="124" t="s">
        <v>542</v>
      </c>
      <c r="Y1022" s="124">
        <v>0</v>
      </c>
      <c r="AA1022" s="124" t="s">
        <v>503</v>
      </c>
      <c r="AN1022" s="124" t="s">
        <v>2827</v>
      </c>
    </row>
    <row r="1023" spans="1:40" s="124" customFormat="1">
      <c r="A1023" s="124">
        <v>810204</v>
      </c>
      <c r="B1023" s="124" t="s">
        <v>2828</v>
      </c>
      <c r="C1023" s="124">
        <v>8</v>
      </c>
      <c r="E1023" s="124" t="s">
        <v>747</v>
      </c>
      <c r="F1023" s="124">
        <v>1</v>
      </c>
      <c r="H1023" s="124">
        <v>307</v>
      </c>
      <c r="I1023" s="128" t="s">
        <v>748</v>
      </c>
      <c r="Q1023" s="124">
        <v>0</v>
      </c>
      <c r="R1023" s="124" t="s">
        <v>2829</v>
      </c>
      <c r="W1023" s="124" t="s">
        <v>2830</v>
      </c>
      <c r="X1023" s="124" t="s">
        <v>558</v>
      </c>
      <c r="Y1023" s="124">
        <v>0</v>
      </c>
      <c r="AA1023" s="124" t="s">
        <v>503</v>
      </c>
      <c r="AN1023" s="124" t="s">
        <v>2831</v>
      </c>
    </row>
    <row r="1024" spans="1:40" s="124" customFormat="1">
      <c r="A1024" s="124">
        <v>810304</v>
      </c>
      <c r="B1024" s="124" t="s">
        <v>2832</v>
      </c>
      <c r="C1024" s="124">
        <v>8</v>
      </c>
      <c r="E1024" s="124" t="s">
        <v>747</v>
      </c>
      <c r="F1024" s="124">
        <v>1</v>
      </c>
      <c r="H1024" s="124">
        <v>305</v>
      </c>
      <c r="I1024" s="128" t="s">
        <v>748</v>
      </c>
      <c r="Q1024" s="124">
        <v>0</v>
      </c>
      <c r="R1024" s="124" t="s">
        <v>2833</v>
      </c>
      <c r="W1024" s="124" t="s">
        <v>2834</v>
      </c>
      <c r="X1024" s="124" t="s">
        <v>545</v>
      </c>
      <c r="Y1024" s="124">
        <v>0</v>
      </c>
      <c r="AA1024" s="124" t="s">
        <v>503</v>
      </c>
      <c r="AN1024" s="124" t="s">
        <v>2835</v>
      </c>
    </row>
    <row r="1025" spans="1:40" s="124" customFormat="1">
      <c r="A1025" s="124">
        <v>830104</v>
      </c>
      <c r="B1025" s="124" t="s">
        <v>2836</v>
      </c>
      <c r="C1025" s="124">
        <v>8</v>
      </c>
      <c r="E1025" s="124" t="s">
        <v>747</v>
      </c>
      <c r="F1025" s="124">
        <v>3</v>
      </c>
      <c r="H1025" s="124">
        <v>304</v>
      </c>
      <c r="I1025" s="128" t="s">
        <v>748</v>
      </c>
      <c r="Q1025" s="124">
        <v>0</v>
      </c>
      <c r="R1025" s="124" t="s">
        <v>2837</v>
      </c>
      <c r="W1025" s="124" t="s">
        <v>2838</v>
      </c>
      <c r="X1025" s="124" t="s">
        <v>539</v>
      </c>
      <c r="Y1025" s="124">
        <v>0</v>
      </c>
      <c r="AA1025" s="124" t="s">
        <v>575</v>
      </c>
      <c r="AN1025" s="124" t="s">
        <v>2839</v>
      </c>
    </row>
    <row r="1026" spans="1:40" s="124" customFormat="1">
      <c r="A1026" s="124">
        <v>830204</v>
      </c>
      <c r="B1026" s="124" t="s">
        <v>2840</v>
      </c>
      <c r="C1026" s="124">
        <v>8</v>
      </c>
      <c r="E1026" s="124" t="s">
        <v>747</v>
      </c>
      <c r="F1026" s="124">
        <v>3</v>
      </c>
      <c r="H1026" s="124">
        <v>302</v>
      </c>
      <c r="I1026" s="128" t="s">
        <v>748</v>
      </c>
      <c r="Q1026" s="124">
        <v>0</v>
      </c>
      <c r="R1026" s="124" t="s">
        <v>2841</v>
      </c>
      <c r="W1026" s="124" t="s">
        <v>2842</v>
      </c>
      <c r="X1026" s="124" t="s">
        <v>468</v>
      </c>
      <c r="Y1026" s="124">
        <v>0</v>
      </c>
      <c r="AA1026" s="124" t="s">
        <v>575</v>
      </c>
      <c r="AN1026" s="124" t="s">
        <v>2843</v>
      </c>
    </row>
    <row r="1027" spans="1:40" s="124" customFormat="1">
      <c r="A1027" s="124">
        <v>830304</v>
      </c>
      <c r="B1027" s="124" t="s">
        <v>2844</v>
      </c>
      <c r="C1027" s="124">
        <v>8</v>
      </c>
      <c r="E1027" s="124" t="s">
        <v>747</v>
      </c>
      <c r="F1027" s="124">
        <v>3</v>
      </c>
      <c r="H1027" s="124">
        <v>306</v>
      </c>
      <c r="I1027" s="128" t="s">
        <v>748</v>
      </c>
      <c r="Q1027" s="124">
        <v>0</v>
      </c>
      <c r="R1027" s="124" t="s">
        <v>2845</v>
      </c>
      <c r="W1027" s="124" t="s">
        <v>2846</v>
      </c>
      <c r="X1027" s="124" t="s">
        <v>536</v>
      </c>
      <c r="Y1027" s="124">
        <v>0</v>
      </c>
      <c r="AA1027" s="124" t="s">
        <v>575</v>
      </c>
      <c r="AN1027" s="124" t="s">
        <v>2847</v>
      </c>
    </row>
    <row r="1028" spans="1:40" s="124" customFormat="1">
      <c r="A1028" s="124">
        <v>810103</v>
      </c>
      <c r="B1028" s="124" t="s">
        <v>2848</v>
      </c>
      <c r="C1028" s="124">
        <v>8</v>
      </c>
      <c r="E1028" s="124" t="s">
        <v>747</v>
      </c>
      <c r="F1028" s="124">
        <v>1</v>
      </c>
      <c r="H1028" s="124">
        <v>304</v>
      </c>
      <c r="I1028" s="128" t="s">
        <v>748</v>
      </c>
      <c r="Q1028" s="124">
        <v>0</v>
      </c>
      <c r="R1028" s="124" t="s">
        <v>2849</v>
      </c>
      <c r="W1028" s="124" t="s">
        <v>2850</v>
      </c>
      <c r="X1028" s="124" t="s">
        <v>560</v>
      </c>
      <c r="Y1028" s="124">
        <v>201</v>
      </c>
      <c r="AA1028" s="124" t="s">
        <v>503</v>
      </c>
      <c r="AN1028" s="124" t="s">
        <v>2851</v>
      </c>
    </row>
    <row r="1029" spans="1:40" s="124" customFormat="1">
      <c r="A1029" s="124">
        <v>810203</v>
      </c>
      <c r="B1029" s="124" t="s">
        <v>2852</v>
      </c>
      <c r="C1029" s="124">
        <v>8</v>
      </c>
      <c r="E1029" s="124" t="s">
        <v>747</v>
      </c>
      <c r="F1029" s="124">
        <v>1</v>
      </c>
      <c r="H1029" s="124">
        <v>307</v>
      </c>
      <c r="I1029" s="128" t="s">
        <v>748</v>
      </c>
      <c r="Q1029" s="124">
        <v>0</v>
      </c>
      <c r="R1029" s="124" t="s">
        <v>2853</v>
      </c>
      <c r="W1029" s="124" t="s">
        <v>2854</v>
      </c>
      <c r="X1029" s="124" t="s">
        <v>560</v>
      </c>
      <c r="Y1029" s="124">
        <v>202</v>
      </c>
      <c r="AA1029" s="124" t="s">
        <v>503</v>
      </c>
      <c r="AN1029" s="124" t="s">
        <v>2855</v>
      </c>
    </row>
    <row r="1030" spans="1:40" s="124" customFormat="1">
      <c r="A1030" s="124">
        <v>820104</v>
      </c>
      <c r="B1030" s="124" t="s">
        <v>2856</v>
      </c>
      <c r="C1030" s="124">
        <v>8</v>
      </c>
      <c r="E1030" s="124" t="s">
        <v>747</v>
      </c>
      <c r="F1030" s="124">
        <v>2</v>
      </c>
      <c r="H1030" s="124">
        <v>305</v>
      </c>
      <c r="I1030" s="128" t="s">
        <v>748</v>
      </c>
      <c r="Q1030" s="124">
        <v>0</v>
      </c>
      <c r="R1030" s="124" t="s">
        <v>2857</v>
      </c>
      <c r="W1030" s="124" t="s">
        <v>2858</v>
      </c>
      <c r="X1030" s="124" t="s">
        <v>536</v>
      </c>
      <c r="Y1030" s="124">
        <v>203</v>
      </c>
      <c r="AA1030" s="124" t="s">
        <v>559</v>
      </c>
      <c r="AN1030" s="124" t="s">
        <v>2859</v>
      </c>
    </row>
    <row r="1031" spans="1:40" s="124" customFormat="1">
      <c r="A1031" s="124">
        <v>820204</v>
      </c>
      <c r="B1031" s="124" t="s">
        <v>2860</v>
      </c>
      <c r="C1031" s="124">
        <v>8</v>
      </c>
      <c r="E1031" s="124" t="s">
        <v>747</v>
      </c>
      <c r="F1031" s="124">
        <v>2</v>
      </c>
      <c r="H1031" s="124">
        <v>303</v>
      </c>
      <c r="I1031" s="128" t="s">
        <v>748</v>
      </c>
      <c r="Q1031" s="124">
        <v>0</v>
      </c>
      <c r="R1031" s="124" t="s">
        <v>2861</v>
      </c>
      <c r="W1031" s="124" t="s">
        <v>2862</v>
      </c>
      <c r="X1031" s="124" t="s">
        <v>564</v>
      </c>
      <c r="Y1031" s="124">
        <v>205</v>
      </c>
      <c r="AA1031" s="124" t="s">
        <v>559</v>
      </c>
      <c r="AN1031" s="124" t="s">
        <v>2863</v>
      </c>
    </row>
    <row r="1032" spans="1:40" s="124" customFormat="1">
      <c r="A1032" s="124">
        <v>820304</v>
      </c>
      <c r="B1032" s="124" t="s">
        <v>2864</v>
      </c>
      <c r="C1032" s="124">
        <v>8</v>
      </c>
      <c r="E1032" s="124" t="s">
        <v>747</v>
      </c>
      <c r="F1032" s="124">
        <v>2</v>
      </c>
      <c r="H1032" s="124">
        <v>306</v>
      </c>
      <c r="I1032" s="128" t="s">
        <v>748</v>
      </c>
      <c r="Q1032" s="124">
        <v>0</v>
      </c>
      <c r="R1032" s="124" t="s">
        <v>2865</v>
      </c>
      <c r="W1032" s="124" t="s">
        <v>2866</v>
      </c>
      <c r="X1032" s="124" t="s">
        <v>556</v>
      </c>
      <c r="Y1032" s="124">
        <v>206</v>
      </c>
      <c r="AA1032" s="124" t="s">
        <v>559</v>
      </c>
      <c r="AN1032" s="124" t="s">
        <v>2867</v>
      </c>
    </row>
    <row r="1033" spans="1:40" s="124" customFormat="1">
      <c r="A1033" s="124">
        <v>820103</v>
      </c>
      <c r="B1033" s="124" t="s">
        <v>2868</v>
      </c>
      <c r="C1033" s="124">
        <v>8</v>
      </c>
      <c r="E1033" s="124" t="s">
        <v>747</v>
      </c>
      <c r="F1033" s="124">
        <v>2</v>
      </c>
      <c r="H1033" s="124">
        <v>305</v>
      </c>
      <c r="I1033" s="128" t="s">
        <v>748</v>
      </c>
      <c r="Q1033" s="124">
        <v>0</v>
      </c>
      <c r="R1033" s="124" t="s">
        <v>2869</v>
      </c>
      <c r="W1033" s="124" t="s">
        <v>2870</v>
      </c>
      <c r="X1033" s="124" t="s">
        <v>439</v>
      </c>
      <c r="Y1033" s="124">
        <v>201</v>
      </c>
      <c r="AA1033" s="124" t="s">
        <v>561</v>
      </c>
      <c r="AN1033" s="124" t="s">
        <v>2871</v>
      </c>
    </row>
    <row r="1034" spans="1:40" s="124" customFormat="1">
      <c r="A1034" s="124">
        <v>820203</v>
      </c>
      <c r="B1034" s="124" t="s">
        <v>2872</v>
      </c>
      <c r="C1034" s="124">
        <v>8</v>
      </c>
      <c r="E1034" s="124" t="s">
        <v>747</v>
      </c>
      <c r="F1034" s="124">
        <v>2</v>
      </c>
      <c r="H1034" s="124">
        <v>303</v>
      </c>
      <c r="I1034" s="128" t="s">
        <v>748</v>
      </c>
      <c r="Q1034" s="124">
        <v>0</v>
      </c>
      <c r="R1034" s="124" t="s">
        <v>2873</v>
      </c>
      <c r="W1034" s="124" t="s">
        <v>2874</v>
      </c>
      <c r="X1034" s="124" t="s">
        <v>439</v>
      </c>
      <c r="Y1034" s="124">
        <v>202</v>
      </c>
      <c r="AA1034" s="124" t="s">
        <v>561</v>
      </c>
      <c r="AN1034" s="124" t="s">
        <v>2875</v>
      </c>
    </row>
    <row r="1035" spans="1:40" s="124" customFormat="1">
      <c r="A1035" s="124">
        <v>830103</v>
      </c>
      <c r="B1035" s="124" t="s">
        <v>2876</v>
      </c>
      <c r="C1035" s="124">
        <v>8</v>
      </c>
      <c r="E1035" s="124" t="s">
        <v>747</v>
      </c>
      <c r="F1035" s="124">
        <v>3</v>
      </c>
      <c r="H1035" s="124">
        <v>304</v>
      </c>
      <c r="I1035" s="128" t="s">
        <v>748</v>
      </c>
      <c r="Q1035" s="124">
        <v>0</v>
      </c>
      <c r="R1035" s="124" t="s">
        <v>2877</v>
      </c>
      <c r="W1035" s="124" t="s">
        <v>2878</v>
      </c>
      <c r="X1035" s="124" t="s">
        <v>558</v>
      </c>
      <c r="Y1035" s="124">
        <v>203</v>
      </c>
      <c r="AA1035" s="124" t="s">
        <v>577</v>
      </c>
      <c r="AN1035" s="124" t="s">
        <v>2879</v>
      </c>
    </row>
    <row r="1036" spans="1:40" s="124" customFormat="1">
      <c r="A1036" s="124">
        <v>830203</v>
      </c>
      <c r="B1036" s="124" t="s">
        <v>2880</v>
      </c>
      <c r="C1036" s="124">
        <v>8</v>
      </c>
      <c r="E1036" s="124" t="s">
        <v>747</v>
      </c>
      <c r="F1036" s="124">
        <v>3</v>
      </c>
      <c r="H1036" s="124">
        <v>302</v>
      </c>
      <c r="I1036" s="128" t="s">
        <v>748</v>
      </c>
      <c r="Q1036" s="124">
        <v>0</v>
      </c>
      <c r="R1036" s="124" t="s">
        <v>2881</v>
      </c>
      <c r="W1036" s="124" t="s">
        <v>2882</v>
      </c>
      <c r="X1036" s="124" t="s">
        <v>558</v>
      </c>
      <c r="Y1036" s="124">
        <v>205</v>
      </c>
      <c r="AA1036" s="124" t="s">
        <v>577</v>
      </c>
      <c r="AN1036" s="124" t="s">
        <v>2883</v>
      </c>
    </row>
    <row r="1037" spans="1:40" s="124" customFormat="1">
      <c r="A1037" s="124">
        <v>840104</v>
      </c>
      <c r="B1037" s="124" t="s">
        <v>2884</v>
      </c>
      <c r="C1037" s="124">
        <v>8</v>
      </c>
      <c r="E1037" s="124" t="s">
        <v>747</v>
      </c>
      <c r="F1037" s="124">
        <v>4</v>
      </c>
      <c r="H1037" s="124">
        <v>303</v>
      </c>
      <c r="I1037" s="128" t="s">
        <v>748</v>
      </c>
      <c r="Q1037" s="124">
        <v>0</v>
      </c>
      <c r="R1037" s="124" t="s">
        <v>2885</v>
      </c>
      <c r="W1037" s="124" t="s">
        <v>2886</v>
      </c>
      <c r="X1037" s="124" t="s">
        <v>570</v>
      </c>
      <c r="Y1037" s="124">
        <v>206</v>
      </c>
      <c r="AA1037" s="124" t="s">
        <v>584</v>
      </c>
      <c r="AN1037" s="124" t="s">
        <v>2887</v>
      </c>
    </row>
    <row r="1038" spans="1:40" s="124" customFormat="1">
      <c r="A1038" s="124">
        <v>840204</v>
      </c>
      <c r="B1038" s="124" t="s">
        <v>2888</v>
      </c>
      <c r="C1038" s="124">
        <v>8</v>
      </c>
      <c r="E1038" s="124" t="s">
        <v>747</v>
      </c>
      <c r="F1038" s="124">
        <v>4</v>
      </c>
      <c r="H1038" s="124">
        <v>302</v>
      </c>
      <c r="I1038" s="128" t="s">
        <v>748</v>
      </c>
      <c r="Q1038" s="124">
        <v>0</v>
      </c>
      <c r="R1038" s="124" t="s">
        <v>2889</v>
      </c>
      <c r="W1038" s="124" t="s">
        <v>2890</v>
      </c>
      <c r="X1038" s="124" t="s">
        <v>539</v>
      </c>
      <c r="Y1038" s="124">
        <v>201</v>
      </c>
      <c r="AA1038" s="124" t="s">
        <v>584</v>
      </c>
      <c r="AN1038" s="124" t="s">
        <v>2891</v>
      </c>
    </row>
    <row r="1039" spans="1:40" s="124" customFormat="1">
      <c r="A1039" s="124">
        <v>840304</v>
      </c>
      <c r="B1039" s="124" t="s">
        <v>2892</v>
      </c>
      <c r="C1039" s="124">
        <v>8</v>
      </c>
      <c r="E1039" s="124" t="s">
        <v>747</v>
      </c>
      <c r="F1039" s="124">
        <v>4</v>
      </c>
      <c r="H1039" s="124">
        <v>305</v>
      </c>
      <c r="I1039" s="128" t="s">
        <v>748</v>
      </c>
      <c r="Q1039" s="124">
        <v>0</v>
      </c>
      <c r="R1039" s="124" t="s">
        <v>2893</v>
      </c>
      <c r="W1039" s="124" t="s">
        <v>2894</v>
      </c>
      <c r="X1039" s="124" t="s">
        <v>539</v>
      </c>
      <c r="Y1039" s="124">
        <v>202</v>
      </c>
      <c r="AA1039" s="124" t="s">
        <v>584</v>
      </c>
      <c r="AN1039" s="124" t="s">
        <v>2895</v>
      </c>
    </row>
    <row r="1040" spans="1:40" s="124" customFormat="1">
      <c r="A1040" s="124">
        <v>880103</v>
      </c>
      <c r="B1040" s="124" t="s">
        <v>2896</v>
      </c>
      <c r="C1040" s="124">
        <v>8</v>
      </c>
      <c r="E1040" s="124" t="s">
        <v>747</v>
      </c>
      <c r="F1040" s="124">
        <v>8</v>
      </c>
      <c r="H1040" s="124">
        <v>308</v>
      </c>
      <c r="I1040" s="128" t="s">
        <v>748</v>
      </c>
      <c r="O1040" s="124">
        <v>1</v>
      </c>
      <c r="Q1040" s="124">
        <v>0</v>
      </c>
      <c r="R1040" s="124" t="s">
        <v>2897</v>
      </c>
      <c r="W1040" s="124" t="s">
        <v>2898</v>
      </c>
      <c r="X1040" s="124" t="s">
        <v>568</v>
      </c>
      <c r="Y1040" s="124">
        <v>203</v>
      </c>
      <c r="AA1040" s="124" t="s">
        <v>589</v>
      </c>
      <c r="AN1040" s="124" t="s">
        <v>2899</v>
      </c>
    </row>
    <row r="1041" spans="1:40" s="124" customFormat="1">
      <c r="A1041" s="124">
        <v>880203</v>
      </c>
      <c r="B1041" s="124" t="s">
        <v>2900</v>
      </c>
      <c r="C1041" s="124">
        <v>8</v>
      </c>
      <c r="E1041" s="124" t="s">
        <v>747</v>
      </c>
      <c r="F1041" s="124">
        <v>8</v>
      </c>
      <c r="H1041" s="124">
        <v>302</v>
      </c>
      <c r="I1041" s="128" t="s">
        <v>748</v>
      </c>
      <c r="O1041" s="124">
        <v>1</v>
      </c>
      <c r="Q1041" s="124">
        <v>0</v>
      </c>
      <c r="R1041" s="124" t="s">
        <v>2901</v>
      </c>
      <c r="W1041" s="124" t="s">
        <v>2902</v>
      </c>
      <c r="X1041" s="124" t="s">
        <v>568</v>
      </c>
      <c r="Y1041" s="124">
        <v>205</v>
      </c>
      <c r="AA1041" s="124" t="s">
        <v>589</v>
      </c>
      <c r="AN1041" s="124" t="s">
        <v>2903</v>
      </c>
    </row>
    <row r="1042" spans="1:40" s="124" customFormat="1">
      <c r="I1042" s="127"/>
    </row>
    <row r="1043" spans="1:40" s="124" customFormat="1">
      <c r="A1043" s="124">
        <v>32530</v>
      </c>
      <c r="B1043" s="124" t="s">
        <v>2904</v>
      </c>
      <c r="C1043" s="124">
        <v>3</v>
      </c>
      <c r="D1043" s="124">
        <v>0</v>
      </c>
      <c r="E1043" s="124" t="s">
        <v>2905</v>
      </c>
      <c r="F1043" s="124">
        <v>2</v>
      </c>
      <c r="G1043" s="124" t="s">
        <v>2906</v>
      </c>
      <c r="H1043" s="124">
        <v>301</v>
      </c>
      <c r="I1043" s="128" t="s">
        <v>2907</v>
      </c>
      <c r="J1043" s="124">
        <v>0</v>
      </c>
      <c r="T1043" s="124" t="s">
        <v>2908</v>
      </c>
      <c r="U1043" s="124" t="s">
        <v>2909</v>
      </c>
      <c r="W1043" s="124">
        <v>3</v>
      </c>
      <c r="X1043" s="124" t="s">
        <v>570</v>
      </c>
      <c r="Y1043" s="124">
        <v>11</v>
      </c>
      <c r="Z1043" s="124">
        <v>7</v>
      </c>
      <c r="AA1043" s="124" t="s">
        <v>546</v>
      </c>
    </row>
    <row r="1044" spans="1:40" s="124" customFormat="1">
      <c r="A1044" s="124">
        <v>34580</v>
      </c>
      <c r="B1044" s="124" t="s">
        <v>2910</v>
      </c>
      <c r="C1044" s="124">
        <v>3</v>
      </c>
      <c r="D1044" s="124">
        <v>4</v>
      </c>
      <c r="E1044" s="124" t="s">
        <v>2911</v>
      </c>
      <c r="F1044" s="124">
        <v>4</v>
      </c>
      <c r="G1044" s="124" t="s">
        <v>2912</v>
      </c>
      <c r="H1044" s="124">
        <v>306</v>
      </c>
      <c r="I1044" s="128" t="s">
        <v>2913</v>
      </c>
      <c r="J1044" s="124">
        <v>1</v>
      </c>
      <c r="K1044" s="124">
        <v>40501</v>
      </c>
      <c r="T1044" s="124" t="s">
        <v>2914</v>
      </c>
      <c r="U1044" s="124" t="s">
        <v>2915</v>
      </c>
      <c r="W1044" s="124">
        <v>6</v>
      </c>
      <c r="X1044" s="124" t="s">
        <v>452</v>
      </c>
      <c r="Y1044" s="124">
        <v>1</v>
      </c>
      <c r="Z1044" s="124">
        <v>1</v>
      </c>
      <c r="AA1044" s="124" t="s">
        <v>581</v>
      </c>
      <c r="AB1044" s="124" t="s">
        <v>2916</v>
      </c>
      <c r="AC1044" s="124">
        <v>4</v>
      </c>
      <c r="AD1044" s="124" t="s">
        <v>2917</v>
      </c>
      <c r="AE1044" s="124" t="s">
        <v>2918</v>
      </c>
      <c r="AF1044" s="124" t="s">
        <v>2919</v>
      </c>
      <c r="AG1044" s="124" t="s">
        <v>2920</v>
      </c>
      <c r="AH1044" s="124" t="s">
        <v>2921</v>
      </c>
    </row>
    <row r="1045" spans="1:40" s="124" customFormat="1">
      <c r="A1045" s="124">
        <v>44330</v>
      </c>
      <c r="B1045" s="124" t="s">
        <v>2922</v>
      </c>
      <c r="C1045" s="124">
        <v>4</v>
      </c>
      <c r="D1045" s="124">
        <v>4</v>
      </c>
      <c r="E1045" s="124" t="s">
        <v>2911</v>
      </c>
      <c r="F1045" s="124">
        <v>4</v>
      </c>
      <c r="G1045" s="124" t="s">
        <v>2923</v>
      </c>
      <c r="H1045" s="124">
        <v>301</v>
      </c>
      <c r="I1045" s="128" t="s">
        <v>2913</v>
      </c>
      <c r="J1045" s="124">
        <v>1</v>
      </c>
      <c r="K1045" s="124">
        <v>40501</v>
      </c>
      <c r="S1045" s="124" t="s">
        <v>2924</v>
      </c>
      <c r="T1045" s="124" t="s">
        <v>2925</v>
      </c>
      <c r="U1045" s="124" t="s">
        <v>2926</v>
      </c>
      <c r="W1045" s="124">
        <v>6</v>
      </c>
      <c r="X1045" s="124" t="s">
        <v>553</v>
      </c>
      <c r="Y1045" s="124">
        <v>3</v>
      </c>
      <c r="Z1045" s="124">
        <v>2</v>
      </c>
      <c r="AA1045" s="124" t="s">
        <v>580</v>
      </c>
      <c r="AB1045" s="124" t="s">
        <v>2916</v>
      </c>
      <c r="AC1045" s="124">
        <v>4</v>
      </c>
      <c r="AD1045" s="124" t="s">
        <v>2917</v>
      </c>
      <c r="AE1045" s="124" t="s">
        <v>2918</v>
      </c>
      <c r="AF1045" s="124" t="s">
        <v>2919</v>
      </c>
      <c r="AG1045" s="124" t="s">
        <v>2920</v>
      </c>
      <c r="AH1045" s="124" t="s">
        <v>2921</v>
      </c>
    </row>
    <row r="1046" spans="1:40" s="124" customFormat="1">
      <c r="I1046" s="127"/>
    </row>
    <row r="1047" spans="1:40" s="124" customFormat="1">
      <c r="A1047" s="124">
        <v>51390</v>
      </c>
      <c r="B1047" s="124" t="s">
        <v>2927</v>
      </c>
      <c r="C1047" s="124">
        <v>5</v>
      </c>
      <c r="E1047" s="124" t="s">
        <v>2928</v>
      </c>
      <c r="F1047" s="124">
        <v>1</v>
      </c>
      <c r="G1047" s="124" t="s">
        <v>2929</v>
      </c>
      <c r="H1047" s="124">
        <v>301</v>
      </c>
      <c r="I1047" s="128" t="s">
        <v>2930</v>
      </c>
      <c r="J1047" s="124">
        <v>2</v>
      </c>
      <c r="K1047" s="124">
        <v>1</v>
      </c>
      <c r="P1047" s="124" t="s">
        <v>2931</v>
      </c>
      <c r="S1047" s="124" t="s">
        <v>2932</v>
      </c>
      <c r="T1047" s="124" t="s">
        <v>2933</v>
      </c>
      <c r="U1047" s="124" t="s">
        <v>2934</v>
      </c>
      <c r="W1047" s="124">
        <v>7</v>
      </c>
      <c r="X1047" s="124" t="s">
        <v>568</v>
      </c>
      <c r="Y1047" s="124">
        <v>14</v>
      </c>
      <c r="Z1047" s="124">
        <v>4</v>
      </c>
      <c r="AA1047" s="124" t="s">
        <v>537</v>
      </c>
    </row>
    <row r="1048" spans="1:40" s="124" customFormat="1">
      <c r="A1048" s="124">
        <v>52390</v>
      </c>
      <c r="B1048" s="124" t="s">
        <v>2935</v>
      </c>
      <c r="C1048" s="124">
        <v>5</v>
      </c>
      <c r="E1048" s="124" t="s">
        <v>2928</v>
      </c>
      <c r="F1048" s="124">
        <v>2</v>
      </c>
      <c r="G1048" s="124" t="s">
        <v>2936</v>
      </c>
      <c r="H1048" s="124">
        <v>301</v>
      </c>
      <c r="I1048" s="128" t="s">
        <v>2930</v>
      </c>
      <c r="J1048" s="124">
        <v>2</v>
      </c>
      <c r="K1048" s="124">
        <v>2</v>
      </c>
      <c r="P1048" s="124" t="s">
        <v>2937</v>
      </c>
      <c r="S1048" s="124" t="s">
        <v>2938</v>
      </c>
      <c r="T1048" s="124" t="s">
        <v>2939</v>
      </c>
      <c r="U1048" s="124" t="s">
        <v>2940</v>
      </c>
      <c r="W1048" s="124">
        <v>7</v>
      </c>
      <c r="X1048" s="124" t="s">
        <v>558</v>
      </c>
      <c r="Y1048" s="124">
        <v>13</v>
      </c>
      <c r="Z1048" s="124">
        <v>4</v>
      </c>
      <c r="AA1048" s="124" t="s">
        <v>552</v>
      </c>
    </row>
    <row r="1049" spans="1:40" s="124" customFormat="1">
      <c r="A1049" s="124">
        <v>53380</v>
      </c>
      <c r="B1049" s="124" t="s">
        <v>2941</v>
      </c>
      <c r="C1049" s="124">
        <v>5</v>
      </c>
      <c r="E1049" s="124" t="s">
        <v>2928</v>
      </c>
      <c r="F1049" s="124">
        <v>3</v>
      </c>
      <c r="G1049" s="124" t="s">
        <v>2942</v>
      </c>
      <c r="H1049" s="124">
        <v>305</v>
      </c>
      <c r="I1049" s="128" t="s">
        <v>2930</v>
      </c>
      <c r="J1049" s="124">
        <v>2</v>
      </c>
      <c r="K1049" s="124">
        <v>3</v>
      </c>
      <c r="P1049" s="124" t="s">
        <v>2943</v>
      </c>
      <c r="S1049" s="124" t="s">
        <v>2944</v>
      </c>
      <c r="T1049" s="124" t="s">
        <v>2945</v>
      </c>
      <c r="U1049" s="124" t="s">
        <v>2946</v>
      </c>
      <c r="W1049" s="124">
        <v>7</v>
      </c>
      <c r="X1049" s="124" t="s">
        <v>468</v>
      </c>
      <c r="Y1049" s="124">
        <v>12</v>
      </c>
      <c r="Z1049" s="124">
        <v>4</v>
      </c>
      <c r="AA1049" s="124" t="s">
        <v>576</v>
      </c>
    </row>
    <row r="1050" spans="1:40" s="124" customFormat="1">
      <c r="A1050" s="124">
        <v>54400</v>
      </c>
      <c r="B1050" s="124" t="s">
        <v>2947</v>
      </c>
      <c r="C1050" s="124">
        <v>5</v>
      </c>
      <c r="E1050" s="124" t="s">
        <v>2928</v>
      </c>
      <c r="F1050" s="124">
        <v>4</v>
      </c>
      <c r="G1050" s="124" t="s">
        <v>2948</v>
      </c>
      <c r="H1050" s="124">
        <v>301</v>
      </c>
      <c r="I1050" s="128" t="s">
        <v>2930</v>
      </c>
      <c r="J1050" s="124">
        <v>2</v>
      </c>
      <c r="K1050" s="124">
        <v>4</v>
      </c>
      <c r="P1050" s="124" t="s">
        <v>2949</v>
      </c>
      <c r="S1050" s="124" t="s">
        <v>2950</v>
      </c>
      <c r="T1050" s="124" t="s">
        <v>2951</v>
      </c>
      <c r="U1050" s="124" t="s">
        <v>2952</v>
      </c>
      <c r="W1050" s="124">
        <v>7</v>
      </c>
      <c r="X1050" s="124" t="s">
        <v>545</v>
      </c>
      <c r="Y1050" s="124">
        <v>11</v>
      </c>
      <c r="Z1050" s="124">
        <v>4</v>
      </c>
      <c r="AA1050" s="124" t="s">
        <v>585</v>
      </c>
    </row>
    <row r="1051" spans="1:40" s="124" customFormat="1">
      <c r="A1051" s="124">
        <v>58040</v>
      </c>
      <c r="B1051" s="124" t="s">
        <v>2953</v>
      </c>
      <c r="C1051" s="124">
        <v>5</v>
      </c>
      <c r="E1051" s="124" t="s">
        <v>2928</v>
      </c>
      <c r="F1051" s="124">
        <v>8</v>
      </c>
      <c r="G1051" s="124" t="s">
        <v>2954</v>
      </c>
      <c r="H1051" s="124">
        <v>305</v>
      </c>
      <c r="I1051" s="128" t="s">
        <v>2930</v>
      </c>
      <c r="J1051" s="124">
        <v>2</v>
      </c>
      <c r="K1051" s="124">
        <v>8</v>
      </c>
      <c r="O1051" s="124">
        <v>1</v>
      </c>
      <c r="P1051" s="124" t="s">
        <v>2955</v>
      </c>
      <c r="S1051" s="124" t="s">
        <v>2956</v>
      </c>
      <c r="T1051" s="124" t="s">
        <v>2957</v>
      </c>
      <c r="U1051" s="124" t="s">
        <v>2958</v>
      </c>
      <c r="W1051" s="124">
        <v>7</v>
      </c>
      <c r="X1051" s="124" t="s">
        <v>452</v>
      </c>
      <c r="Y1051" s="124">
        <v>10</v>
      </c>
      <c r="Z1051" s="124">
        <v>4</v>
      </c>
      <c r="AA1051" s="124" t="s">
        <v>589</v>
      </c>
    </row>
    <row r="1052" spans="1:40" s="124" customFormat="1">
      <c r="A1052" s="124">
        <v>42290</v>
      </c>
      <c r="B1052" s="124" t="s">
        <v>2959</v>
      </c>
      <c r="C1052" s="124">
        <v>4</v>
      </c>
      <c r="E1052" s="124" t="s">
        <v>1157</v>
      </c>
      <c r="F1052" s="124">
        <v>2</v>
      </c>
      <c r="G1052" s="124" t="s">
        <v>2960</v>
      </c>
      <c r="H1052" s="124">
        <v>302</v>
      </c>
      <c r="I1052" s="128" t="s">
        <v>2930</v>
      </c>
      <c r="J1052" s="124">
        <v>1</v>
      </c>
      <c r="K1052" s="124">
        <v>20451</v>
      </c>
      <c r="L1052" s="124">
        <v>420451</v>
      </c>
      <c r="M1052" s="124">
        <v>7</v>
      </c>
      <c r="N1052" s="124">
        <v>20</v>
      </c>
      <c r="S1052" s="124" t="s">
        <v>2961</v>
      </c>
      <c r="T1052" s="124" t="s">
        <v>2962</v>
      </c>
      <c r="U1052" s="124" t="s">
        <v>2963</v>
      </c>
      <c r="W1052" s="124">
        <v>7</v>
      </c>
      <c r="X1052" s="124" t="s">
        <v>512</v>
      </c>
      <c r="Y1052" s="124">
        <v>15</v>
      </c>
      <c r="Z1052" s="124">
        <v>8</v>
      </c>
      <c r="AA1052" s="124" t="s">
        <v>548</v>
      </c>
      <c r="AB1052" s="124" t="s">
        <v>2964</v>
      </c>
      <c r="AC1052" s="124">
        <v>6</v>
      </c>
      <c r="AD1052" s="124" t="s">
        <v>2965</v>
      </c>
      <c r="AE1052" s="124" t="s">
        <v>2966</v>
      </c>
      <c r="AF1052" s="124" t="s">
        <v>2967</v>
      </c>
      <c r="AG1052" s="124" t="s">
        <v>2968</v>
      </c>
      <c r="AH1052" s="124" t="s">
        <v>2969</v>
      </c>
    </row>
    <row r="1053" spans="1:40" s="124" customFormat="1">
      <c r="A1053" s="124">
        <v>53390</v>
      </c>
      <c r="B1053" s="124" t="s">
        <v>2970</v>
      </c>
      <c r="C1053" s="124">
        <v>5</v>
      </c>
      <c r="E1053" s="124" t="s">
        <v>1157</v>
      </c>
      <c r="F1053" s="124">
        <v>3</v>
      </c>
      <c r="G1053" s="124" t="s">
        <v>2971</v>
      </c>
      <c r="H1053" s="124">
        <v>303</v>
      </c>
      <c r="I1053" s="128" t="s">
        <v>2930</v>
      </c>
      <c r="J1053" s="124">
        <v>1</v>
      </c>
      <c r="K1053" s="124">
        <v>30451</v>
      </c>
      <c r="L1053" s="124">
        <v>430454</v>
      </c>
      <c r="M1053" s="124">
        <v>1</v>
      </c>
      <c r="N1053" s="124">
        <v>19</v>
      </c>
      <c r="S1053" s="124" t="s">
        <v>2972</v>
      </c>
      <c r="T1053" s="124" t="s">
        <v>2973</v>
      </c>
      <c r="U1053" s="124" t="s">
        <v>2974</v>
      </c>
      <c r="W1053" s="124">
        <v>6</v>
      </c>
      <c r="X1053" s="124" t="s">
        <v>542</v>
      </c>
      <c r="Y1053" s="124">
        <v>9</v>
      </c>
      <c r="Z1053" s="124">
        <v>8</v>
      </c>
      <c r="AA1053" s="124" t="s">
        <v>575</v>
      </c>
      <c r="AB1053" s="124" t="s">
        <v>2975</v>
      </c>
      <c r="AC1053" s="124">
        <v>8</v>
      </c>
      <c r="AD1053" s="124" t="s">
        <v>2976</v>
      </c>
      <c r="AE1053" s="124" t="s">
        <v>2977</v>
      </c>
      <c r="AF1053" s="124" t="s">
        <v>2978</v>
      </c>
      <c r="AG1053" s="124" t="s">
        <v>2979</v>
      </c>
      <c r="AH1053" s="124" t="s">
        <v>2980</v>
      </c>
    </row>
    <row r="1054" spans="1:40" s="124" customFormat="1">
      <c r="A1054" s="124">
        <v>61030</v>
      </c>
      <c r="B1054" s="124" t="s">
        <v>2981</v>
      </c>
      <c r="C1054" s="124">
        <v>6</v>
      </c>
      <c r="E1054" s="124" t="s">
        <v>2982</v>
      </c>
      <c r="F1054" s="124">
        <v>1</v>
      </c>
      <c r="H1054" s="124">
        <v>305</v>
      </c>
      <c r="I1054" s="128" t="s">
        <v>2930</v>
      </c>
      <c r="J1054" s="124">
        <v>3</v>
      </c>
      <c r="K1054" s="124">
        <v>15031</v>
      </c>
      <c r="L1054" s="124">
        <v>415034</v>
      </c>
      <c r="M1054" s="124">
        <v>16</v>
      </c>
      <c r="N1054" s="124">
        <v>31</v>
      </c>
      <c r="P1054" s="124" t="s">
        <v>2983</v>
      </c>
      <c r="T1054" s="124" t="s">
        <v>2984</v>
      </c>
      <c r="U1054" s="124" t="s">
        <v>2985</v>
      </c>
      <c r="W1054" s="124">
        <v>7</v>
      </c>
      <c r="X1054" s="124" t="s">
        <v>536</v>
      </c>
      <c r="Y1054" s="124">
        <v>22</v>
      </c>
      <c r="Z1054" s="124">
        <v>0</v>
      </c>
      <c r="AA1054" s="124" t="s">
        <v>540</v>
      </c>
      <c r="AB1054" s="124" t="s">
        <v>2986</v>
      </c>
      <c r="AC1054" s="124">
        <v>7</v>
      </c>
      <c r="AD1054" s="124" t="s">
        <v>2987</v>
      </c>
      <c r="AE1054" s="124" t="s">
        <v>2988</v>
      </c>
      <c r="AF1054" s="124" t="s">
        <v>2989</v>
      </c>
      <c r="AG1054" s="124" t="s">
        <v>2990</v>
      </c>
      <c r="AH1054" s="124" t="s">
        <v>2991</v>
      </c>
      <c r="AI1054" s="124" t="s">
        <v>2992</v>
      </c>
      <c r="AJ1054" s="124">
        <v>4</v>
      </c>
      <c r="AL1054" s="124">
        <v>1</v>
      </c>
    </row>
    <row r="1055" spans="1:40" s="124" customFormat="1">
      <c r="A1055" s="124">
        <v>74010</v>
      </c>
      <c r="B1055" s="124" t="s">
        <v>2993</v>
      </c>
      <c r="C1055" s="124">
        <v>7</v>
      </c>
      <c r="E1055" s="124" t="s">
        <v>1157</v>
      </c>
      <c r="F1055" s="124">
        <v>4</v>
      </c>
      <c r="G1055" s="124" t="s">
        <v>2994</v>
      </c>
      <c r="H1055" s="124">
        <v>303</v>
      </c>
      <c r="I1055" s="128" t="s">
        <v>2930</v>
      </c>
      <c r="J1055" s="124">
        <v>1</v>
      </c>
      <c r="K1055" s="124">
        <v>40491</v>
      </c>
      <c r="L1055" s="124">
        <v>440493</v>
      </c>
      <c r="M1055" s="124">
        <v>3</v>
      </c>
      <c r="N1055" s="124">
        <v>18</v>
      </c>
      <c r="P1055" s="124" t="s">
        <v>1614</v>
      </c>
      <c r="T1055" s="124" t="s">
        <v>2995</v>
      </c>
      <c r="U1055" s="124" t="s">
        <v>2996</v>
      </c>
      <c r="V1055" s="124">
        <v>0</v>
      </c>
      <c r="W1055" s="124">
        <v>7</v>
      </c>
      <c r="X1055" s="124" t="s">
        <v>558</v>
      </c>
      <c r="Y1055" s="124">
        <v>16</v>
      </c>
      <c r="Z1055" s="124">
        <v>0</v>
      </c>
      <c r="AA1055" s="124" t="s">
        <v>585</v>
      </c>
      <c r="AB1055" s="124" t="s">
        <v>2997</v>
      </c>
      <c r="AC1055" s="124">
        <v>7</v>
      </c>
      <c r="AD1055" s="124" t="s">
        <v>2998</v>
      </c>
      <c r="AE1055" s="124" t="s">
        <v>2999</v>
      </c>
      <c r="AF1055" s="124" t="s">
        <v>3000</v>
      </c>
      <c r="AG1055" s="124" t="s">
        <v>3001</v>
      </c>
      <c r="AH1055" s="124" t="s">
        <v>3002</v>
      </c>
    </row>
    <row r="1056" spans="1:40" s="124" customFormat="1">
      <c r="A1056" s="124">
        <v>71010</v>
      </c>
      <c r="B1056" s="124" t="s">
        <v>3003</v>
      </c>
      <c r="C1056" s="124">
        <v>7</v>
      </c>
      <c r="E1056" s="124" t="s">
        <v>2928</v>
      </c>
      <c r="F1056" s="124">
        <v>1</v>
      </c>
      <c r="G1056" s="124" t="s">
        <v>3004</v>
      </c>
      <c r="H1056" s="124">
        <v>304</v>
      </c>
      <c r="I1056" s="128" t="s">
        <v>2930</v>
      </c>
      <c r="J1056" s="124">
        <v>2</v>
      </c>
      <c r="K1056" s="124">
        <v>12</v>
      </c>
      <c r="P1056" s="124" t="s">
        <v>3005</v>
      </c>
      <c r="T1056" s="124" t="s">
        <v>3006</v>
      </c>
      <c r="U1056" s="124" t="s">
        <v>3007</v>
      </c>
      <c r="V1056" s="124">
        <v>0</v>
      </c>
      <c r="W1056" s="124">
        <v>6</v>
      </c>
      <c r="X1056" s="124" t="s">
        <v>499</v>
      </c>
      <c r="Y1056" s="124">
        <v>17</v>
      </c>
      <c r="Z1056" s="124">
        <v>0</v>
      </c>
      <c r="AA1056" s="124" t="s">
        <v>537</v>
      </c>
      <c r="AN1056" s="124">
        <v>12011</v>
      </c>
    </row>
    <row r="1057" spans="1:40" s="124" customFormat="1">
      <c r="A1057" s="124">
        <v>72010</v>
      </c>
      <c r="B1057" s="124" t="s">
        <v>3008</v>
      </c>
      <c r="C1057" s="124">
        <v>7</v>
      </c>
      <c r="E1057" s="124" t="s">
        <v>2928</v>
      </c>
      <c r="F1057" s="124">
        <v>2</v>
      </c>
      <c r="G1057" s="124" t="s">
        <v>3009</v>
      </c>
      <c r="H1057" s="124">
        <v>305</v>
      </c>
      <c r="I1057" s="128" t="s">
        <v>2930</v>
      </c>
      <c r="J1057" s="124">
        <v>2</v>
      </c>
      <c r="K1057" s="124">
        <v>22</v>
      </c>
      <c r="P1057" s="124" t="s">
        <v>3010</v>
      </c>
      <c r="T1057" s="124" t="s">
        <v>3011</v>
      </c>
      <c r="U1057" s="124" t="s">
        <v>3012</v>
      </c>
      <c r="V1057" s="124">
        <v>0</v>
      </c>
      <c r="W1057" s="124">
        <v>6</v>
      </c>
      <c r="X1057" s="124" t="s">
        <v>522</v>
      </c>
      <c r="Y1057" s="124">
        <v>18</v>
      </c>
      <c r="Z1057" s="124">
        <v>0</v>
      </c>
      <c r="AA1057" s="124" t="s">
        <v>557</v>
      </c>
      <c r="AN1057" s="124">
        <v>22011</v>
      </c>
    </row>
    <row r="1058" spans="1:40" s="124" customFormat="1">
      <c r="A1058" s="124">
        <v>73010</v>
      </c>
      <c r="B1058" s="124" t="s">
        <v>3013</v>
      </c>
      <c r="C1058" s="124">
        <v>7</v>
      </c>
      <c r="E1058" s="124" t="s">
        <v>2928</v>
      </c>
      <c r="F1058" s="124">
        <v>3</v>
      </c>
      <c r="G1058" s="124" t="s">
        <v>3014</v>
      </c>
      <c r="H1058" s="124">
        <v>304</v>
      </c>
      <c r="I1058" s="128" t="s">
        <v>2930</v>
      </c>
      <c r="J1058" s="124">
        <v>2</v>
      </c>
      <c r="K1058" s="124">
        <v>32</v>
      </c>
      <c r="P1058" s="124" t="s">
        <v>3015</v>
      </c>
      <c r="T1058" s="124" t="s">
        <v>3016</v>
      </c>
      <c r="U1058" s="124" t="s">
        <v>3017</v>
      </c>
      <c r="V1058" s="124">
        <v>0</v>
      </c>
      <c r="W1058" s="124">
        <v>6</v>
      </c>
      <c r="X1058" s="124" t="s">
        <v>570</v>
      </c>
      <c r="Y1058" s="124">
        <v>19</v>
      </c>
      <c r="Z1058" s="124">
        <v>0</v>
      </c>
      <c r="AA1058" s="124" t="s">
        <v>572</v>
      </c>
      <c r="AN1058" s="124">
        <v>32011</v>
      </c>
    </row>
    <row r="1059" spans="1:40" s="124" customFormat="1">
      <c r="A1059" s="124">
        <v>74020</v>
      </c>
      <c r="B1059" s="124" t="s">
        <v>169</v>
      </c>
      <c r="C1059" s="124">
        <v>7</v>
      </c>
      <c r="E1059" s="124" t="s">
        <v>2928</v>
      </c>
      <c r="F1059" s="124">
        <v>4</v>
      </c>
      <c r="G1059" s="124" t="s">
        <v>3018</v>
      </c>
      <c r="H1059" s="124">
        <v>302</v>
      </c>
      <c r="I1059" s="128" t="s">
        <v>2930</v>
      </c>
      <c r="J1059" s="124">
        <v>2</v>
      </c>
      <c r="K1059" s="124">
        <v>42</v>
      </c>
      <c r="P1059" s="124" t="s">
        <v>3019</v>
      </c>
      <c r="T1059" s="124" t="s">
        <v>3020</v>
      </c>
      <c r="U1059" s="124" t="s">
        <v>3021</v>
      </c>
      <c r="V1059" s="124">
        <v>0</v>
      </c>
      <c r="W1059" s="124">
        <v>6</v>
      </c>
      <c r="X1059" s="124" t="s">
        <v>553</v>
      </c>
      <c r="Y1059" s="124">
        <v>20</v>
      </c>
      <c r="Z1059" s="124">
        <v>0</v>
      </c>
      <c r="AA1059" s="124" t="s">
        <v>587</v>
      </c>
      <c r="AN1059" s="124">
        <v>42011</v>
      </c>
    </row>
    <row r="1060" spans="1:40" s="124" customFormat="1">
      <c r="A1060" s="124">
        <v>78020</v>
      </c>
      <c r="B1060" s="124" t="s">
        <v>175</v>
      </c>
      <c r="C1060" s="124">
        <v>7</v>
      </c>
      <c r="E1060" s="124" t="s">
        <v>2928</v>
      </c>
      <c r="F1060" s="124">
        <v>8</v>
      </c>
      <c r="G1060" s="124" t="s">
        <v>3022</v>
      </c>
      <c r="H1060" s="124">
        <v>302</v>
      </c>
      <c r="I1060" s="128" t="s">
        <v>2930</v>
      </c>
      <c r="J1060" s="124">
        <v>2</v>
      </c>
      <c r="K1060" s="124">
        <v>82</v>
      </c>
      <c r="O1060" s="124">
        <v>1</v>
      </c>
      <c r="P1060" s="124" t="s">
        <v>3023</v>
      </c>
      <c r="T1060" s="124" t="s">
        <v>3024</v>
      </c>
      <c r="U1060" s="124" t="s">
        <v>3025</v>
      </c>
      <c r="V1060" s="124">
        <v>0</v>
      </c>
      <c r="W1060" s="124">
        <v>6</v>
      </c>
      <c r="X1060" s="124" t="s">
        <v>556</v>
      </c>
      <c r="Y1060" s="124">
        <v>21</v>
      </c>
      <c r="Z1060" s="124">
        <v>0</v>
      </c>
      <c r="AA1060" s="124" t="s">
        <v>589</v>
      </c>
      <c r="AN1060" s="124">
        <v>82011</v>
      </c>
    </row>
    <row r="1061" spans="1:40" s="124" customFormat="1">
      <c r="A1061" s="124">
        <v>71020</v>
      </c>
      <c r="B1061" s="124" t="s">
        <v>3026</v>
      </c>
      <c r="C1061" s="124">
        <v>7</v>
      </c>
      <c r="E1061" s="124" t="s">
        <v>3027</v>
      </c>
      <c r="F1061" s="124">
        <v>1</v>
      </c>
      <c r="G1061" s="124" t="s">
        <v>3028</v>
      </c>
      <c r="H1061" s="124">
        <v>307</v>
      </c>
      <c r="I1061" s="128" t="s">
        <v>2930</v>
      </c>
      <c r="J1061" s="124">
        <v>1</v>
      </c>
      <c r="K1061" s="124">
        <v>10461</v>
      </c>
      <c r="P1061" s="124" t="s">
        <v>3029</v>
      </c>
      <c r="T1061" s="124" t="s">
        <v>3030</v>
      </c>
      <c r="U1061" s="124" t="s">
        <v>3031</v>
      </c>
      <c r="V1061" s="124">
        <v>0</v>
      </c>
      <c r="W1061" s="124">
        <v>3</v>
      </c>
      <c r="X1061" s="124" t="s">
        <v>562</v>
      </c>
      <c r="Y1061" s="124">
        <v>120</v>
      </c>
      <c r="Z1061" s="124">
        <v>0</v>
      </c>
      <c r="AA1061" s="124" t="s">
        <v>456</v>
      </c>
      <c r="AB1061" s="124" t="s">
        <v>3032</v>
      </c>
      <c r="AC1061" s="124">
        <v>4</v>
      </c>
      <c r="AD1061" s="124" t="s">
        <v>3033</v>
      </c>
      <c r="AE1061" s="124" t="s">
        <v>3034</v>
      </c>
      <c r="AF1061" s="124" t="s">
        <v>3035</v>
      </c>
      <c r="AG1061" s="124" t="s">
        <v>3036</v>
      </c>
      <c r="AH1061" s="124" t="s">
        <v>3037</v>
      </c>
    </row>
    <row r="1062" spans="1:40" s="124" customFormat="1">
      <c r="A1062" s="124">
        <v>72020</v>
      </c>
      <c r="B1062" s="124" t="s">
        <v>3038</v>
      </c>
      <c r="C1062" s="124">
        <v>7</v>
      </c>
      <c r="E1062" s="124" t="s">
        <v>3039</v>
      </c>
      <c r="F1062" s="124">
        <v>2</v>
      </c>
      <c r="G1062" s="124" t="s">
        <v>3040</v>
      </c>
      <c r="H1062" s="124">
        <v>303</v>
      </c>
      <c r="I1062" s="128" t="s">
        <v>2930</v>
      </c>
      <c r="J1062" s="124">
        <v>1</v>
      </c>
      <c r="K1062" s="124">
        <v>20461</v>
      </c>
      <c r="P1062" s="124" t="s">
        <v>3041</v>
      </c>
      <c r="T1062" s="124" t="s">
        <v>3042</v>
      </c>
      <c r="U1062" s="124" t="s">
        <v>3043</v>
      </c>
      <c r="V1062" s="124">
        <v>0</v>
      </c>
      <c r="W1062" s="124">
        <v>3</v>
      </c>
      <c r="X1062" s="124" t="s">
        <v>452</v>
      </c>
      <c r="Y1062" s="124">
        <v>121</v>
      </c>
      <c r="Z1062" s="124">
        <v>0</v>
      </c>
      <c r="AA1062" s="124" t="s">
        <v>554</v>
      </c>
      <c r="AB1062" s="124" t="s">
        <v>3044</v>
      </c>
      <c r="AC1062" s="124">
        <v>4</v>
      </c>
      <c r="AD1062" s="124" t="s">
        <v>3045</v>
      </c>
      <c r="AE1062" s="124" t="s">
        <v>3046</v>
      </c>
      <c r="AF1062" s="124" t="s">
        <v>3047</v>
      </c>
      <c r="AG1062" s="124" t="s">
        <v>3048</v>
      </c>
      <c r="AH1062" s="124" t="s">
        <v>3049</v>
      </c>
    </row>
    <row r="1063" spans="1:40" s="124" customFormat="1">
      <c r="A1063" s="124">
        <v>73020</v>
      </c>
      <c r="B1063" s="124" t="s">
        <v>3050</v>
      </c>
      <c r="C1063" s="124">
        <v>7</v>
      </c>
      <c r="E1063" s="124" t="s">
        <v>3051</v>
      </c>
      <c r="F1063" s="124">
        <v>3</v>
      </c>
      <c r="G1063" s="124" t="s">
        <v>3052</v>
      </c>
      <c r="H1063" s="124">
        <v>302</v>
      </c>
      <c r="I1063" s="128" t="s">
        <v>2930</v>
      </c>
      <c r="J1063" s="124">
        <v>1</v>
      </c>
      <c r="K1063" s="124">
        <v>30461</v>
      </c>
      <c r="P1063" s="124" t="s">
        <v>3053</v>
      </c>
      <c r="T1063" s="124" t="s">
        <v>3054</v>
      </c>
      <c r="U1063" s="124" t="s">
        <v>3055</v>
      </c>
      <c r="V1063" s="124">
        <v>0</v>
      </c>
      <c r="W1063" s="124">
        <v>3</v>
      </c>
      <c r="X1063" s="124" t="s">
        <v>556</v>
      </c>
      <c r="Y1063" s="124">
        <v>122</v>
      </c>
      <c r="Z1063" s="124">
        <v>0</v>
      </c>
      <c r="AA1063" s="124" t="s">
        <v>565</v>
      </c>
      <c r="AB1063" s="124" t="s">
        <v>3056</v>
      </c>
      <c r="AC1063" s="124">
        <v>4</v>
      </c>
      <c r="AD1063" s="124" t="s">
        <v>3057</v>
      </c>
      <c r="AE1063" s="124" t="s">
        <v>3058</v>
      </c>
      <c r="AF1063" s="124" t="s">
        <v>3059</v>
      </c>
      <c r="AG1063" s="124" t="s">
        <v>3060</v>
      </c>
      <c r="AH1063" s="124" t="s">
        <v>3061</v>
      </c>
    </row>
    <row r="1064" spans="1:40" s="124" customFormat="1">
      <c r="A1064" s="124">
        <v>74030</v>
      </c>
      <c r="B1064" s="124" t="s">
        <v>171</v>
      </c>
      <c r="C1064" s="124">
        <v>7</v>
      </c>
      <c r="E1064" s="124" t="s">
        <v>3062</v>
      </c>
      <c r="F1064" s="124">
        <v>4</v>
      </c>
      <c r="G1064" s="124" t="s">
        <v>3063</v>
      </c>
      <c r="H1064" s="124">
        <v>305</v>
      </c>
      <c r="I1064" s="128" t="s">
        <v>2930</v>
      </c>
      <c r="J1064" s="124">
        <v>1</v>
      </c>
      <c r="K1064" s="124">
        <v>40511</v>
      </c>
      <c r="P1064" s="124" t="s">
        <v>3064</v>
      </c>
      <c r="T1064" s="124" t="s">
        <v>3065</v>
      </c>
      <c r="U1064" s="124" t="s">
        <v>3066</v>
      </c>
      <c r="V1064" s="124">
        <v>0</v>
      </c>
      <c r="W1064" s="124">
        <v>3</v>
      </c>
      <c r="X1064" s="124" t="s">
        <v>536</v>
      </c>
      <c r="Y1064" s="124">
        <v>120</v>
      </c>
      <c r="Z1064" s="124">
        <v>0</v>
      </c>
      <c r="AA1064" s="124" t="s">
        <v>583</v>
      </c>
      <c r="AB1064" s="124" t="s">
        <v>3067</v>
      </c>
      <c r="AC1064" s="124">
        <v>4</v>
      </c>
      <c r="AD1064" s="124" t="s">
        <v>3068</v>
      </c>
      <c r="AE1064" s="124" t="s">
        <v>3069</v>
      </c>
      <c r="AF1064" s="124" t="s">
        <v>3070</v>
      </c>
      <c r="AG1064" s="124" t="s">
        <v>3071</v>
      </c>
      <c r="AH1064" s="124" t="s">
        <v>3072</v>
      </c>
    </row>
    <row r="1065" spans="1:40" s="124" customFormat="1">
      <c r="A1065" s="124">
        <v>78010</v>
      </c>
      <c r="B1065" s="124" t="s">
        <v>174</v>
      </c>
      <c r="C1065" s="124">
        <v>7</v>
      </c>
      <c r="E1065" s="124" t="s">
        <v>3073</v>
      </c>
      <c r="F1065" s="124">
        <v>8</v>
      </c>
      <c r="G1065" s="124" t="s">
        <v>3074</v>
      </c>
      <c r="H1065" s="124">
        <v>308</v>
      </c>
      <c r="I1065" s="128" t="s">
        <v>2930</v>
      </c>
      <c r="J1065" s="124">
        <v>1</v>
      </c>
      <c r="K1065" s="124">
        <v>80051</v>
      </c>
      <c r="O1065" s="124">
        <v>1</v>
      </c>
      <c r="P1065" s="124" t="s">
        <v>3075</v>
      </c>
      <c r="T1065" s="124" t="s">
        <v>3076</v>
      </c>
      <c r="U1065" s="124" t="s">
        <v>3077</v>
      </c>
      <c r="V1065" s="124">
        <v>0</v>
      </c>
      <c r="W1065" s="124">
        <v>3</v>
      </c>
      <c r="X1065" s="124" t="s">
        <v>570</v>
      </c>
      <c r="Y1065" s="124">
        <v>121</v>
      </c>
      <c r="Z1065" s="124">
        <v>0</v>
      </c>
      <c r="AA1065" s="124" t="s">
        <v>588</v>
      </c>
      <c r="AB1065" s="124" t="s">
        <v>3078</v>
      </c>
      <c r="AC1065" s="124">
        <v>4</v>
      </c>
      <c r="AD1065" s="124" t="s">
        <v>3079</v>
      </c>
      <c r="AE1065" s="124" t="s">
        <v>3080</v>
      </c>
      <c r="AF1065" s="124" t="s">
        <v>3081</v>
      </c>
      <c r="AG1065" s="124" t="s">
        <v>3082</v>
      </c>
      <c r="AH1065" s="124" t="s">
        <v>3083</v>
      </c>
    </row>
    <row r="1066" spans="1:40" s="124" customFormat="1">
      <c r="A1066" s="124">
        <v>810102</v>
      </c>
      <c r="B1066" s="124" t="s">
        <v>3084</v>
      </c>
      <c r="C1066" s="124">
        <v>8</v>
      </c>
      <c r="E1066" s="124" t="s">
        <v>747</v>
      </c>
      <c r="F1066" s="124">
        <v>1</v>
      </c>
      <c r="H1066" s="124">
        <v>307</v>
      </c>
      <c r="I1066" s="128" t="s">
        <v>748</v>
      </c>
      <c r="P1066" s="124" t="s">
        <v>3085</v>
      </c>
      <c r="Q1066" s="124">
        <v>0</v>
      </c>
      <c r="R1066" s="124" t="s">
        <v>3086</v>
      </c>
      <c r="W1066" s="124" t="s">
        <v>3087</v>
      </c>
      <c r="X1066" s="124" t="s">
        <v>512</v>
      </c>
      <c r="Y1066" s="124">
        <v>101</v>
      </c>
      <c r="Z1066" s="124">
        <v>0</v>
      </c>
      <c r="AA1066" s="124" t="s">
        <v>537</v>
      </c>
      <c r="AN1066" s="124" t="s">
        <v>3088</v>
      </c>
    </row>
    <row r="1067" spans="1:40" s="124" customFormat="1">
      <c r="A1067" s="124">
        <v>820102</v>
      </c>
      <c r="B1067" s="124" t="s">
        <v>3089</v>
      </c>
      <c r="C1067" s="124">
        <v>8</v>
      </c>
      <c r="E1067" s="124" t="s">
        <v>747</v>
      </c>
      <c r="F1067" s="124">
        <v>2</v>
      </c>
      <c r="H1067" s="124">
        <v>303</v>
      </c>
      <c r="I1067" s="128" t="s">
        <v>748</v>
      </c>
      <c r="P1067" s="124" t="s">
        <v>3090</v>
      </c>
      <c r="Q1067" s="124">
        <v>0</v>
      </c>
      <c r="R1067" s="124" t="s">
        <v>3091</v>
      </c>
      <c r="W1067" s="124" t="s">
        <v>3092</v>
      </c>
      <c r="X1067" s="124" t="s">
        <v>531</v>
      </c>
      <c r="Y1067" s="124">
        <v>102</v>
      </c>
      <c r="Z1067" s="124">
        <v>0</v>
      </c>
      <c r="AA1067" s="124" t="s">
        <v>557</v>
      </c>
      <c r="AN1067" s="124" t="s">
        <v>3093</v>
      </c>
    </row>
    <row r="1068" spans="1:40" s="124" customFormat="1">
      <c r="A1068" s="124">
        <v>830102</v>
      </c>
      <c r="B1068" s="124" t="s">
        <v>3094</v>
      </c>
      <c r="C1068" s="124">
        <v>8</v>
      </c>
      <c r="E1068" s="124" t="s">
        <v>747</v>
      </c>
      <c r="F1068" s="124">
        <v>3</v>
      </c>
      <c r="H1068" s="124">
        <v>302</v>
      </c>
      <c r="I1068" s="128" t="s">
        <v>748</v>
      </c>
      <c r="P1068" s="124" t="s">
        <v>3095</v>
      </c>
      <c r="Q1068" s="124">
        <v>0</v>
      </c>
      <c r="R1068" s="124" t="s">
        <v>3096</v>
      </c>
      <c r="W1068" s="124" t="s">
        <v>3097</v>
      </c>
      <c r="X1068" s="124" t="s">
        <v>568</v>
      </c>
      <c r="Y1068" s="124">
        <v>103</v>
      </c>
      <c r="Z1068" s="124">
        <v>0</v>
      </c>
      <c r="AA1068" s="124" t="s">
        <v>572</v>
      </c>
      <c r="AN1068" s="124" t="s">
        <v>3098</v>
      </c>
    </row>
    <row r="1069" spans="1:40" s="124" customFormat="1">
      <c r="A1069" s="124">
        <v>840102</v>
      </c>
      <c r="B1069" s="124" t="s">
        <v>3099</v>
      </c>
      <c r="C1069" s="124">
        <v>8</v>
      </c>
      <c r="E1069" s="124" t="s">
        <v>747</v>
      </c>
      <c r="F1069" s="124">
        <v>4</v>
      </c>
      <c r="H1069" s="124">
        <v>302</v>
      </c>
      <c r="I1069" s="128" t="s">
        <v>748</v>
      </c>
      <c r="P1069" s="124" t="s">
        <v>3100</v>
      </c>
      <c r="Q1069" s="124">
        <v>0</v>
      </c>
      <c r="R1069" s="124" t="s">
        <v>3101</v>
      </c>
      <c r="W1069" s="124" t="s">
        <v>3102</v>
      </c>
      <c r="X1069" s="124" t="s">
        <v>553</v>
      </c>
      <c r="Y1069" s="124">
        <v>101</v>
      </c>
      <c r="Z1069" s="124">
        <v>0</v>
      </c>
      <c r="AA1069" s="124" t="s">
        <v>587</v>
      </c>
      <c r="AN1069" s="124" t="s">
        <v>3103</v>
      </c>
    </row>
    <row r="1070" spans="1:40" s="124" customFormat="1">
      <c r="A1070" s="124">
        <v>840103</v>
      </c>
      <c r="B1070" s="124" t="s">
        <v>3104</v>
      </c>
      <c r="C1070" s="124">
        <v>8</v>
      </c>
      <c r="E1070" s="124" t="s">
        <v>747</v>
      </c>
      <c r="F1070" s="124">
        <v>4</v>
      </c>
      <c r="H1070" s="124">
        <v>305</v>
      </c>
      <c r="I1070" s="128" t="s">
        <v>748</v>
      </c>
      <c r="P1070" s="124" t="s">
        <v>3105</v>
      </c>
      <c r="Q1070" s="124">
        <v>0</v>
      </c>
      <c r="R1070" s="124" t="s">
        <v>3106</v>
      </c>
      <c r="W1070" s="124" t="s">
        <v>3107</v>
      </c>
      <c r="X1070" s="124" t="s">
        <v>553</v>
      </c>
      <c r="Y1070" s="124">
        <v>102</v>
      </c>
      <c r="Z1070" s="124">
        <v>0</v>
      </c>
      <c r="AA1070" s="124" t="s">
        <v>587</v>
      </c>
      <c r="AN1070" s="124" t="s">
        <v>3108</v>
      </c>
    </row>
    <row r="1071" spans="1:40" s="124" customFormat="1">
      <c r="A1071" s="124">
        <v>840203</v>
      </c>
      <c r="B1071" s="124" t="s">
        <v>3109</v>
      </c>
      <c r="C1071" s="124">
        <v>8</v>
      </c>
      <c r="E1071" s="124" t="s">
        <v>747</v>
      </c>
      <c r="F1071" s="124">
        <v>4</v>
      </c>
      <c r="H1071" s="124">
        <v>305</v>
      </c>
      <c r="I1071" s="128" t="s">
        <v>748</v>
      </c>
      <c r="P1071" s="124" t="s">
        <v>3110</v>
      </c>
      <c r="Q1071" s="124">
        <v>0</v>
      </c>
      <c r="R1071" s="124" t="s">
        <v>3111</v>
      </c>
      <c r="W1071" s="124" t="s">
        <v>3112</v>
      </c>
      <c r="X1071" s="124" t="s">
        <v>551</v>
      </c>
      <c r="Y1071" s="124">
        <v>103</v>
      </c>
      <c r="Z1071" s="124">
        <v>0</v>
      </c>
      <c r="AA1071" s="124" t="s">
        <v>587</v>
      </c>
      <c r="AN1071" s="124" t="s">
        <v>3113</v>
      </c>
    </row>
    <row r="1072" spans="1:40" s="124" customFormat="1">
      <c r="A1072" s="124">
        <v>880102</v>
      </c>
      <c r="B1072" s="124" t="s">
        <v>3114</v>
      </c>
      <c r="C1072" s="124">
        <v>8</v>
      </c>
      <c r="E1072" s="124" t="s">
        <v>747</v>
      </c>
      <c r="F1072" s="124">
        <v>8</v>
      </c>
      <c r="H1072" s="124">
        <v>308</v>
      </c>
      <c r="I1072" s="128" t="s">
        <v>748</v>
      </c>
      <c r="O1072" s="124">
        <v>1</v>
      </c>
      <c r="P1072" s="124" t="s">
        <v>3115</v>
      </c>
      <c r="Q1072" s="124">
        <v>0</v>
      </c>
      <c r="R1072" s="124" t="s">
        <v>3116</v>
      </c>
      <c r="W1072" s="124" t="s">
        <v>3117</v>
      </c>
      <c r="X1072" s="124" t="s">
        <v>558</v>
      </c>
      <c r="Y1072" s="124">
        <v>102</v>
      </c>
      <c r="Z1072" s="124">
        <v>0</v>
      </c>
      <c r="AA1072" s="124" t="s">
        <v>589</v>
      </c>
      <c r="AN1072" s="124" t="s">
        <v>3118</v>
      </c>
    </row>
    <row r="1073" spans="1:34" s="124" customFormat="1">
      <c r="A1073" s="124">
        <v>41330</v>
      </c>
      <c r="B1073" s="124" t="s">
        <v>3119</v>
      </c>
      <c r="C1073" s="124">
        <v>4</v>
      </c>
      <c r="D1073" s="124">
        <v>0</v>
      </c>
      <c r="E1073" s="124" t="s">
        <v>3120</v>
      </c>
      <c r="F1073" s="124">
        <v>1</v>
      </c>
      <c r="H1073" s="124">
        <v>304</v>
      </c>
      <c r="I1073" s="128" t="s">
        <v>748</v>
      </c>
      <c r="P1073" s="124" t="s">
        <v>3121</v>
      </c>
    </row>
    <row r="1074" spans="1:34" s="124" customFormat="1">
      <c r="A1074" s="124">
        <v>42300</v>
      </c>
      <c r="B1074" s="124" t="s">
        <v>3122</v>
      </c>
      <c r="C1074" s="124">
        <v>4</v>
      </c>
      <c r="D1074" s="124">
        <v>0</v>
      </c>
      <c r="E1074" s="124" t="s">
        <v>3120</v>
      </c>
      <c r="F1074" s="124">
        <v>2</v>
      </c>
      <c r="H1074" s="124">
        <v>304</v>
      </c>
      <c r="I1074" s="128" t="s">
        <v>748</v>
      </c>
      <c r="P1074" s="124" t="s">
        <v>3123</v>
      </c>
    </row>
    <row r="1075" spans="1:34" s="124" customFormat="1">
      <c r="A1075" s="124">
        <v>43300</v>
      </c>
      <c r="B1075" s="124" t="s">
        <v>3124</v>
      </c>
      <c r="C1075" s="124">
        <v>4</v>
      </c>
      <c r="D1075" s="124">
        <v>0</v>
      </c>
      <c r="E1075" s="124" t="s">
        <v>3120</v>
      </c>
      <c r="F1075" s="124">
        <v>3</v>
      </c>
      <c r="H1075" s="124">
        <v>306</v>
      </c>
      <c r="I1075" s="128" t="s">
        <v>748</v>
      </c>
    </row>
    <row r="1076" spans="1:34" s="124" customFormat="1">
      <c r="A1076" s="124">
        <v>44340</v>
      </c>
      <c r="B1076" s="124" t="s">
        <v>3125</v>
      </c>
      <c r="C1076" s="124">
        <v>4</v>
      </c>
      <c r="D1076" s="124">
        <v>0</v>
      </c>
      <c r="E1076" s="124" t="s">
        <v>3120</v>
      </c>
      <c r="F1076" s="124">
        <v>4</v>
      </c>
      <c r="H1076" s="124">
        <v>307</v>
      </c>
      <c r="I1076" s="128" t="s">
        <v>748</v>
      </c>
    </row>
    <row r="1077" spans="1:34" s="124" customFormat="1">
      <c r="I1077" s="127"/>
    </row>
    <row r="1078" spans="1:34" s="124" customFormat="1">
      <c r="A1078" s="124">
        <v>31540</v>
      </c>
      <c r="B1078" s="124" t="s">
        <v>3126</v>
      </c>
      <c r="C1078" s="124">
        <v>3</v>
      </c>
      <c r="D1078" s="124">
        <v>0</v>
      </c>
      <c r="E1078" s="124" t="s">
        <v>3127</v>
      </c>
      <c r="F1078" s="124">
        <v>1</v>
      </c>
      <c r="G1078" s="124" t="s">
        <v>3128</v>
      </c>
      <c r="H1078" s="124">
        <v>305</v>
      </c>
      <c r="I1078" s="128" t="s">
        <v>3129</v>
      </c>
      <c r="J1078" s="124">
        <v>0</v>
      </c>
      <c r="T1078" s="124" t="s">
        <v>3130</v>
      </c>
      <c r="U1078" s="124" t="s">
        <v>3131</v>
      </c>
      <c r="W1078" s="124">
        <v>6</v>
      </c>
      <c r="X1078" s="124" t="s">
        <v>549</v>
      </c>
      <c r="Y1078" s="124">
        <v>5</v>
      </c>
      <c r="Z1078" s="124">
        <v>3</v>
      </c>
      <c r="AA1078" s="124" t="s">
        <v>488</v>
      </c>
    </row>
    <row r="1079" spans="1:34" s="124" customFormat="1">
      <c r="A1079" s="124">
        <v>32520</v>
      </c>
      <c r="B1079" s="124" t="s">
        <v>3132</v>
      </c>
      <c r="C1079" s="124">
        <v>3</v>
      </c>
      <c r="D1079" s="124">
        <v>0</v>
      </c>
      <c r="E1079" s="124" t="s">
        <v>3127</v>
      </c>
      <c r="F1079" s="124">
        <v>2</v>
      </c>
      <c r="G1079" s="124" t="s">
        <v>3133</v>
      </c>
      <c r="H1079" s="124">
        <v>305</v>
      </c>
      <c r="I1079" s="128" t="s">
        <v>3129</v>
      </c>
      <c r="J1079" s="124">
        <v>0</v>
      </c>
      <c r="T1079" s="124" t="s">
        <v>3134</v>
      </c>
      <c r="U1079" s="124" t="s">
        <v>3135</v>
      </c>
      <c r="W1079" s="124">
        <v>6</v>
      </c>
      <c r="X1079" s="124" t="s">
        <v>439</v>
      </c>
      <c r="Y1079" s="124">
        <v>4</v>
      </c>
      <c r="Z1079" s="124">
        <v>4</v>
      </c>
      <c r="AA1079" s="124" t="s">
        <v>550</v>
      </c>
    </row>
    <row r="1080" spans="1:34" s="124" customFormat="1">
      <c r="A1080" s="124">
        <v>33560</v>
      </c>
      <c r="B1080" s="124" t="s">
        <v>3136</v>
      </c>
      <c r="C1080" s="124">
        <v>3</v>
      </c>
      <c r="D1080" s="124">
        <v>0</v>
      </c>
      <c r="E1080" s="124" t="s">
        <v>3127</v>
      </c>
      <c r="F1080" s="124">
        <v>3</v>
      </c>
      <c r="G1080" s="124" t="s">
        <v>3137</v>
      </c>
      <c r="H1080" s="124">
        <v>305</v>
      </c>
      <c r="I1080" s="128" t="s">
        <v>3129</v>
      </c>
      <c r="J1080" s="124">
        <v>0</v>
      </c>
      <c r="T1080" s="124" t="s">
        <v>3138</v>
      </c>
      <c r="U1080" s="124" t="s">
        <v>3139</v>
      </c>
      <c r="W1080" s="124">
        <v>6</v>
      </c>
      <c r="X1080" s="124" t="s">
        <v>560</v>
      </c>
      <c r="Y1080" s="124">
        <v>6</v>
      </c>
      <c r="Z1080" s="124">
        <v>6</v>
      </c>
      <c r="AA1080" s="124" t="s">
        <v>567</v>
      </c>
    </row>
    <row r="1081" spans="1:34" s="124" customFormat="1">
      <c r="A1081" s="124">
        <v>34570</v>
      </c>
      <c r="B1081" s="124" t="s">
        <v>3140</v>
      </c>
      <c r="C1081" s="124">
        <v>3</v>
      </c>
      <c r="D1081" s="124">
        <v>0</v>
      </c>
      <c r="E1081" s="124" t="s">
        <v>3127</v>
      </c>
      <c r="F1081" s="124">
        <v>4</v>
      </c>
      <c r="G1081" s="124" t="s">
        <v>3141</v>
      </c>
      <c r="H1081" s="124">
        <v>305</v>
      </c>
      <c r="I1081" s="128" t="s">
        <v>3129</v>
      </c>
      <c r="J1081" s="124">
        <v>0</v>
      </c>
      <c r="T1081" s="124" t="s">
        <v>3142</v>
      </c>
      <c r="U1081" s="124" t="s">
        <v>3143</v>
      </c>
      <c r="W1081" s="124">
        <v>6</v>
      </c>
      <c r="X1081" s="124" t="s">
        <v>539</v>
      </c>
      <c r="Y1081" s="124">
        <v>7</v>
      </c>
      <c r="Z1081" s="124">
        <v>5</v>
      </c>
      <c r="AA1081" s="124" t="s">
        <v>583</v>
      </c>
    </row>
    <row r="1082" spans="1:34" s="124" customFormat="1">
      <c r="A1082" s="124">
        <v>38060</v>
      </c>
      <c r="B1082" s="124" t="s">
        <v>3144</v>
      </c>
      <c r="C1082" s="124">
        <v>3</v>
      </c>
      <c r="D1082" s="124">
        <v>0</v>
      </c>
      <c r="E1082" s="124" t="s">
        <v>3127</v>
      </c>
      <c r="F1082" s="124">
        <v>8</v>
      </c>
      <c r="G1082" s="124" t="s">
        <v>3145</v>
      </c>
      <c r="H1082" s="124">
        <v>305</v>
      </c>
      <c r="I1082" s="128" t="s">
        <v>3129</v>
      </c>
      <c r="J1082" s="124">
        <v>0</v>
      </c>
      <c r="O1082" s="124">
        <v>1</v>
      </c>
      <c r="T1082" s="124" t="s">
        <v>3146</v>
      </c>
      <c r="U1082" s="124" t="s">
        <v>3147</v>
      </c>
      <c r="W1082" s="124">
        <v>6</v>
      </c>
      <c r="X1082" s="124" t="s">
        <v>568</v>
      </c>
      <c r="Y1082" s="124">
        <v>8</v>
      </c>
      <c r="Z1082" s="124">
        <v>9</v>
      </c>
      <c r="AA1082" s="124" t="s">
        <v>588</v>
      </c>
    </row>
    <row r="1083" spans="1:34" s="124" customFormat="1">
      <c r="A1083" s="124">
        <v>34590</v>
      </c>
      <c r="B1083" s="124" t="s">
        <v>3148</v>
      </c>
      <c r="C1083" s="124">
        <v>3</v>
      </c>
      <c r="D1083" s="124">
        <v>0</v>
      </c>
      <c r="E1083" s="124" t="s">
        <v>3149</v>
      </c>
      <c r="F1083" s="124">
        <v>4</v>
      </c>
      <c r="G1083" s="124" t="s">
        <v>3150</v>
      </c>
      <c r="H1083" s="124">
        <v>305</v>
      </c>
      <c r="I1083" s="128" t="s">
        <v>3151</v>
      </c>
      <c r="J1083" s="124">
        <v>0</v>
      </c>
      <c r="T1083" s="124" t="s">
        <v>3152</v>
      </c>
      <c r="U1083" s="124" t="s">
        <v>3153</v>
      </c>
      <c r="W1083" s="124">
        <v>3</v>
      </c>
      <c r="X1083" s="124" t="s">
        <v>556</v>
      </c>
      <c r="Y1083" s="124">
        <v>12</v>
      </c>
      <c r="Z1083" s="124">
        <v>7</v>
      </c>
      <c r="AA1083" s="124" t="s">
        <v>579</v>
      </c>
    </row>
    <row r="1084" spans="1:34" s="124" customFormat="1">
      <c r="A1084" s="124">
        <v>41320</v>
      </c>
      <c r="B1084" s="124" t="s">
        <v>3154</v>
      </c>
      <c r="C1084" s="124">
        <v>4</v>
      </c>
      <c r="D1084" s="124">
        <v>0</v>
      </c>
      <c r="E1084" s="124" t="s">
        <v>1804</v>
      </c>
      <c r="F1084" s="124">
        <v>1</v>
      </c>
      <c r="G1084" s="124" t="s">
        <v>3155</v>
      </c>
      <c r="H1084" s="124">
        <v>304</v>
      </c>
      <c r="I1084" s="128" t="s">
        <v>3156</v>
      </c>
      <c r="J1084" s="124">
        <v>1</v>
      </c>
      <c r="K1084" s="124">
        <v>10451</v>
      </c>
      <c r="L1084" s="124">
        <v>410454</v>
      </c>
      <c r="M1084" s="124">
        <v>50</v>
      </c>
      <c r="N1084" s="124">
        <v>64</v>
      </c>
      <c r="S1084" s="124" t="s">
        <v>3157</v>
      </c>
      <c r="T1084" s="124" t="s">
        <v>3158</v>
      </c>
      <c r="U1084" s="124" t="s">
        <v>3159</v>
      </c>
      <c r="W1084" s="124">
        <v>2</v>
      </c>
      <c r="X1084" s="124" t="s">
        <v>560</v>
      </c>
      <c r="Y1084" s="124">
        <v>2</v>
      </c>
      <c r="Z1084" s="124">
        <v>2</v>
      </c>
      <c r="AA1084" s="124" t="s">
        <v>488</v>
      </c>
      <c r="AB1084" s="124" t="s">
        <v>3160</v>
      </c>
      <c r="AC1084" s="124">
        <v>7</v>
      </c>
      <c r="AD1084" s="124" t="s">
        <v>3161</v>
      </c>
      <c r="AE1084" s="124" t="s">
        <v>3162</v>
      </c>
      <c r="AF1084" s="124" t="s">
        <v>3163</v>
      </c>
      <c r="AG1084" s="124" t="s">
        <v>3164</v>
      </c>
      <c r="AH1084" s="124" t="s">
        <v>3165</v>
      </c>
    </row>
    <row r="1085" spans="1:34" s="124" customFormat="1">
      <c r="A1085" s="124">
        <v>54390</v>
      </c>
      <c r="B1085" s="124" t="s">
        <v>3166</v>
      </c>
      <c r="C1085" s="124">
        <v>5</v>
      </c>
      <c r="D1085" s="124">
        <v>0</v>
      </c>
      <c r="E1085" s="124" t="s">
        <v>3167</v>
      </c>
      <c r="F1085" s="124">
        <v>4</v>
      </c>
      <c r="G1085" s="124" t="s">
        <v>3168</v>
      </c>
      <c r="H1085" s="124">
        <v>306</v>
      </c>
      <c r="I1085" s="128" t="s">
        <v>3169</v>
      </c>
      <c r="J1085" s="124">
        <v>1</v>
      </c>
      <c r="K1085" s="124">
        <v>40481</v>
      </c>
      <c r="L1085" s="124">
        <v>440482</v>
      </c>
      <c r="M1085" s="124">
        <v>11</v>
      </c>
      <c r="N1085" s="124">
        <v>23</v>
      </c>
      <c r="S1085" s="124" t="s">
        <v>3170</v>
      </c>
      <c r="T1085" s="124" t="s">
        <v>3171</v>
      </c>
      <c r="U1085" s="124" t="s">
        <v>3172</v>
      </c>
      <c r="W1085" s="124">
        <v>5</v>
      </c>
      <c r="X1085" s="124" t="s">
        <v>536</v>
      </c>
      <c r="Y1085" s="124">
        <v>3</v>
      </c>
      <c r="Z1085" s="124">
        <v>4</v>
      </c>
      <c r="AA1085" s="124" t="s">
        <v>584</v>
      </c>
      <c r="AB1085" s="124" t="s">
        <v>3173</v>
      </c>
      <c r="AC1085" s="124">
        <v>8</v>
      </c>
      <c r="AD1085" s="124" t="s">
        <v>3174</v>
      </c>
      <c r="AE1085" s="124" t="s">
        <v>3175</v>
      </c>
      <c r="AF1085" s="124" t="s">
        <v>3176</v>
      </c>
      <c r="AG1085" s="124" t="s">
        <v>3177</v>
      </c>
      <c r="AH1085" s="124" t="s">
        <v>3178</v>
      </c>
    </row>
    <row r="1086" spans="1:34" s="124" customFormat="1">
      <c r="A1086" s="124">
        <v>41310</v>
      </c>
      <c r="B1086" s="124" t="s">
        <v>3179</v>
      </c>
      <c r="C1086" s="124">
        <v>4</v>
      </c>
      <c r="D1086" s="124">
        <v>0</v>
      </c>
      <c r="E1086" s="124" t="s">
        <v>3180</v>
      </c>
      <c r="F1086" s="124">
        <v>1</v>
      </c>
      <c r="G1086" s="124" t="s">
        <v>3181</v>
      </c>
      <c r="H1086" s="124">
        <v>308</v>
      </c>
      <c r="I1086" s="128" t="s">
        <v>3169</v>
      </c>
      <c r="J1086" s="124">
        <v>1</v>
      </c>
      <c r="K1086" s="124">
        <v>10441</v>
      </c>
      <c r="S1086" s="124" t="s">
        <v>3182</v>
      </c>
      <c r="T1086" s="124" t="s">
        <v>3183</v>
      </c>
      <c r="U1086" s="124" t="s">
        <v>3184</v>
      </c>
      <c r="W1086" s="124">
        <v>1</v>
      </c>
      <c r="X1086" s="124" t="s">
        <v>468</v>
      </c>
      <c r="Y1086" s="124">
        <v>14</v>
      </c>
      <c r="Z1086" s="124">
        <v>1</v>
      </c>
      <c r="AA1086" s="124" t="s">
        <v>456</v>
      </c>
      <c r="AB1086" s="124" t="s">
        <v>3185</v>
      </c>
      <c r="AC1086" s="124">
        <v>2</v>
      </c>
      <c r="AD1086" s="124" t="s">
        <v>3186</v>
      </c>
      <c r="AE1086" s="124" t="s">
        <v>3187</v>
      </c>
      <c r="AF1086" s="124" t="s">
        <v>3188</v>
      </c>
      <c r="AG1086" s="124" t="s">
        <v>3189</v>
      </c>
      <c r="AH1086" s="124" t="s">
        <v>3190</v>
      </c>
    </row>
    <row r="1087" spans="1:34" s="124" customFormat="1">
      <c r="A1087" s="124">
        <v>42280</v>
      </c>
      <c r="B1087" s="124" t="s">
        <v>3191</v>
      </c>
      <c r="C1087" s="124">
        <v>4</v>
      </c>
      <c r="D1087" s="124">
        <v>0</v>
      </c>
      <c r="E1087" s="124" t="s">
        <v>3180</v>
      </c>
      <c r="F1087" s="124">
        <v>2</v>
      </c>
      <c r="G1087" s="124" t="s">
        <v>3192</v>
      </c>
      <c r="H1087" s="124">
        <v>304</v>
      </c>
      <c r="I1087" s="128" t="s">
        <v>3169</v>
      </c>
      <c r="J1087" s="124">
        <v>1</v>
      </c>
      <c r="K1087" s="124">
        <v>20441</v>
      </c>
      <c r="S1087" s="124" t="s">
        <v>3193</v>
      </c>
      <c r="T1087" s="124" t="s">
        <v>3194</v>
      </c>
      <c r="U1087" s="124" t="s">
        <v>3195</v>
      </c>
      <c r="W1087" s="124">
        <v>1</v>
      </c>
      <c r="X1087" s="124" t="s">
        <v>468</v>
      </c>
      <c r="Y1087" s="124">
        <v>14</v>
      </c>
      <c r="Z1087" s="124">
        <v>1</v>
      </c>
      <c r="AA1087" s="124" t="s">
        <v>550</v>
      </c>
      <c r="AB1087" s="124" t="s">
        <v>3196</v>
      </c>
      <c r="AC1087" s="124">
        <v>2</v>
      </c>
      <c r="AD1087" s="124" t="s">
        <v>3197</v>
      </c>
      <c r="AE1087" s="124" t="s">
        <v>3198</v>
      </c>
      <c r="AF1087" s="124" t="s">
        <v>3199</v>
      </c>
      <c r="AG1087" s="124" t="s">
        <v>3200</v>
      </c>
      <c r="AH1087" s="124" t="s">
        <v>3201</v>
      </c>
    </row>
    <row r="1088" spans="1:34" s="124" customFormat="1">
      <c r="A1088" s="124">
        <v>43290</v>
      </c>
      <c r="B1088" s="124" t="s">
        <v>3202</v>
      </c>
      <c r="C1088" s="124">
        <v>4</v>
      </c>
      <c r="D1088" s="124">
        <v>0</v>
      </c>
      <c r="E1088" s="124" t="s">
        <v>3180</v>
      </c>
      <c r="F1088" s="124">
        <v>3</v>
      </c>
      <c r="G1088" s="124" t="s">
        <v>3203</v>
      </c>
      <c r="H1088" s="124">
        <v>306</v>
      </c>
      <c r="I1088" s="128" t="s">
        <v>3169</v>
      </c>
      <c r="J1088" s="124">
        <v>1</v>
      </c>
      <c r="K1088" s="124">
        <v>30441</v>
      </c>
      <c r="S1088" s="124" t="s">
        <v>3204</v>
      </c>
      <c r="T1088" s="124" t="s">
        <v>3205</v>
      </c>
      <c r="U1088" s="124" t="s">
        <v>3206</v>
      </c>
      <c r="W1088" s="124">
        <v>1</v>
      </c>
      <c r="X1088" s="124" t="s">
        <v>468</v>
      </c>
      <c r="Y1088" s="124">
        <v>14</v>
      </c>
      <c r="Z1088" s="124">
        <v>1</v>
      </c>
      <c r="AA1088" s="124" t="s">
        <v>567</v>
      </c>
      <c r="AB1088" s="124" t="s">
        <v>3207</v>
      </c>
      <c r="AC1088" s="124">
        <v>2</v>
      </c>
      <c r="AD1088" s="124" t="s">
        <v>3208</v>
      </c>
      <c r="AE1088" s="124" t="s">
        <v>3209</v>
      </c>
      <c r="AF1088" s="124" t="s">
        <v>3210</v>
      </c>
      <c r="AG1088" s="124" t="s">
        <v>3211</v>
      </c>
      <c r="AH1088" s="124" t="s">
        <v>3212</v>
      </c>
    </row>
    <row r="1089" spans="1:34" s="124" customFormat="1">
      <c r="A1089" s="124">
        <v>44320</v>
      </c>
      <c r="B1089" s="124" t="s">
        <v>3213</v>
      </c>
      <c r="C1089" s="124">
        <v>4</v>
      </c>
      <c r="D1089" s="124">
        <v>0</v>
      </c>
      <c r="E1089" s="124" t="s">
        <v>3180</v>
      </c>
      <c r="F1089" s="124">
        <v>4</v>
      </c>
      <c r="G1089" s="124" t="s">
        <v>3214</v>
      </c>
      <c r="H1089" s="124">
        <v>307</v>
      </c>
      <c r="I1089" s="128" t="s">
        <v>3169</v>
      </c>
      <c r="J1089" s="124">
        <v>1</v>
      </c>
      <c r="K1089" s="124">
        <v>40471</v>
      </c>
      <c r="S1089" s="124" t="s">
        <v>3215</v>
      </c>
      <c r="T1089" s="124" t="s">
        <v>3216</v>
      </c>
      <c r="U1089" s="124" t="s">
        <v>3217</v>
      </c>
      <c r="W1089" s="124">
        <v>1</v>
      </c>
      <c r="X1089" s="124" t="s">
        <v>468</v>
      </c>
      <c r="Y1089" s="124">
        <v>14</v>
      </c>
      <c r="Z1089" s="124">
        <v>1</v>
      </c>
      <c r="AA1089" s="124" t="s">
        <v>578</v>
      </c>
      <c r="AB1089" s="124" t="s">
        <v>3218</v>
      </c>
      <c r="AC1089" s="124">
        <v>2</v>
      </c>
      <c r="AD1089" s="124" t="s">
        <v>3219</v>
      </c>
      <c r="AE1089" s="124" t="s">
        <v>3220</v>
      </c>
      <c r="AF1089" s="124" t="s">
        <v>3221</v>
      </c>
      <c r="AG1089" s="124" t="s">
        <v>3222</v>
      </c>
      <c r="AH1089" s="124" t="s">
        <v>3223</v>
      </c>
    </row>
  </sheetData>
  <autoFilter ref="A1:AT1089" xr:uid="{00000000-0001-0000-1400-000000000000}"/>
  <sortState xmlns:xlrd2="http://schemas.microsoft.com/office/spreadsheetml/2017/richdata2" ref="A914:AT926">
    <sortCondition ref="E914:E926"/>
  </sortState>
  <phoneticPr fontId="71" type="noConversion"/>
  <conditionalFormatting sqref="W439:AA447 W510:AA532 W687:AA693 W368:AA433 W344:AA344 W352:AA366 W347:AA350 W335:AA342 W235:AA251 W255:AA328 W32:AA39 W162:AA164 W46:AA158 W1:AA1 W6:AA10">
    <cfRule type="expression" dxfId="979" priority="2111">
      <formula>(W$1&lt;&gt;"")</formula>
    </cfRule>
  </conditionalFormatting>
  <conditionalFormatting sqref="W573:AA584 W534:AA571">
    <cfRule type="expression" dxfId="978" priority="1527">
      <formula>(W$1&lt;&gt;"")</formula>
    </cfRule>
  </conditionalFormatting>
  <conditionalFormatting sqref="W569:Z571 W574:Z584 W534:X538 Z534:Z538 W540:X568 Z540:Z568 W529:Z532 W418:X418 Z418 W526:X528 Z526:Z528 W408:X415 Z408:Z415 W415:Z415 W368:X377 Z368:Z377 W687:X689 Z687:Z689 W366:Z366 Y339:Z342 Z344 W344:X344 W347:Z350 W336:X342 Z336:Z338 W259:X264 Z259:AA264 W256:AA258 W152:X158 Z152:Z158 Y7:Z10 W150:Z150 W6:X10 Z6:Z10">
    <cfRule type="expression" dxfId="977" priority="1554">
      <formula>(W$1&lt;&gt;"")</formula>
    </cfRule>
    <cfRule type="expression" dxfId="976" priority="1555">
      <formula>(W$1&lt;&gt;"")</formula>
    </cfRule>
    <cfRule type="expression" dxfId="975" priority="1556">
      <formula>(W$1&lt;&gt;"")</formula>
    </cfRule>
  </conditionalFormatting>
  <conditionalFormatting sqref="AA570">
    <cfRule type="expression" dxfId="974" priority="1553">
      <formula>(AA$1&lt;&gt;"")</formula>
    </cfRule>
  </conditionalFormatting>
  <conditionalFormatting sqref="W534:Y534">
    <cfRule type="expression" dxfId="973" priority="1548">
      <formula>(W$1&lt;&gt;"")</formula>
    </cfRule>
  </conditionalFormatting>
  <conditionalFormatting sqref="Z534 X570:X571 X534:Y538 W544:AA556 Y540:Y543 Y557:Y568 W439:AA442 W444:AA447 W418:AA432 W525:AA533 X366:Y366 X408:Y415 X369:Y373 X374:Z377 W379:Z407 W368:Z368 W687:AA689 W338:AA342 X344:Z344 W352:AA365 X348:AA350 X347:Z347 X336:Y337 X259:AA264 X256:Z258 W152:AA158 W150:AA150 W6:AA10">
    <cfRule type="expression" dxfId="972" priority="1545">
      <formula>(W$1&lt;&gt;"")</formula>
    </cfRule>
    <cfRule type="expression" dxfId="971" priority="1546">
      <formula>(W$1&lt;&gt;"")</formula>
    </cfRule>
  </conditionalFormatting>
  <conditionalFormatting sqref="AA534">
    <cfRule type="expression" dxfId="970" priority="1543">
      <formula>(AA$1&lt;&gt;"")</formula>
    </cfRule>
    <cfRule type="expression" dxfId="969" priority="1544">
      <formula>(AA$1&lt;&gt;"")</formula>
    </cfRule>
  </conditionalFormatting>
  <conditionalFormatting sqref="Z535">
    <cfRule type="expression" dxfId="968" priority="1542">
      <formula>(Z$1&lt;&gt;"")</formula>
    </cfRule>
  </conditionalFormatting>
  <conditionalFormatting sqref="AA534:AA538 AA527:AA528 AA531:AA532">
    <cfRule type="expression" dxfId="967" priority="1533">
      <formula>(AA$1&lt;&gt;"")</formula>
    </cfRule>
    <cfRule type="expression" dxfId="966" priority="1534">
      <formula>(AA$1&lt;&gt;"")</formula>
    </cfRule>
    <cfRule type="expression" dxfId="965" priority="1535">
      <formula>(AA$1&lt;&gt;"")</formula>
    </cfRule>
    <cfRule type="expression" dxfId="964" priority="1536">
      <formula>(AA$1&lt;&gt;"")</formula>
    </cfRule>
    <cfRule type="expression" dxfId="963" priority="1537">
      <formula>(AA$1&lt;&gt;"")</formula>
    </cfRule>
    <cfRule type="expression" dxfId="962" priority="1538">
      <formula>(AA$1&lt;&gt;"")</formula>
    </cfRule>
    <cfRule type="expression" dxfId="961" priority="1539">
      <formula>(AA$1&lt;&gt;"")</formula>
    </cfRule>
    <cfRule type="expression" dxfId="960" priority="1540">
      <formula>(AA$1&lt;&gt;"")</formula>
    </cfRule>
    <cfRule type="expression" dxfId="959" priority="1541">
      <formula>(AA$1&lt;&gt;"")</formula>
    </cfRule>
  </conditionalFormatting>
  <conditionalFormatting sqref="AA536">
    <cfRule type="expression" dxfId="958" priority="1530">
      <formula>(AA$1&lt;&gt;"")</formula>
    </cfRule>
    <cfRule type="expression" dxfId="957" priority="1531">
      <formula>(AA$1&lt;&gt;"")</formula>
    </cfRule>
    <cfRule type="expression" dxfId="956" priority="1532">
      <formula>(AA$1&lt;&gt;"")</formula>
    </cfRule>
  </conditionalFormatting>
  <conditionalFormatting sqref="AA537">
    <cfRule type="expression" dxfId="955" priority="1528">
      <formula>(AA$1&lt;&gt;"")</formula>
    </cfRule>
    <cfRule type="expression" dxfId="954" priority="1529">
      <formula>(AA$1&lt;&gt;"")</formula>
    </cfRule>
  </conditionalFormatting>
  <conditionalFormatting sqref="W572:AA584">
    <cfRule type="expression" dxfId="953" priority="1550">
      <formula>(W$1&lt;&gt;"")</formula>
    </cfRule>
  </conditionalFormatting>
  <conditionalFormatting sqref="AA589">
    <cfRule type="expression" dxfId="952" priority="1576">
      <formula>(AA$1&lt;&gt;"")</formula>
    </cfRule>
    <cfRule type="expression" dxfId="951" priority="1577">
      <formula>(AA$1&lt;&gt;"")</formula>
    </cfRule>
    <cfRule type="expression" dxfId="950" priority="1578">
      <formula>(AA$1&lt;&gt;"")</formula>
    </cfRule>
  </conditionalFormatting>
  <conditionalFormatting sqref="AA590">
    <cfRule type="expression" dxfId="949" priority="1573">
      <formula>(AA$1&lt;&gt;"")</formula>
    </cfRule>
    <cfRule type="expression" dxfId="948" priority="1574">
      <formula>(AA$1&lt;&gt;"")</formula>
    </cfRule>
    <cfRule type="expression" dxfId="947" priority="1575">
      <formula>(AA$1&lt;&gt;"")</formula>
    </cfRule>
  </conditionalFormatting>
  <conditionalFormatting sqref="AA591">
    <cfRule type="expression" dxfId="946" priority="1572">
      <formula>(AA$1&lt;&gt;"")</formula>
    </cfRule>
  </conditionalFormatting>
  <conditionalFormatting sqref="AA592">
    <cfRule type="expression" dxfId="945" priority="1569">
      <formula>(AA$1&lt;&gt;"")</formula>
    </cfRule>
    <cfRule type="expression" dxfId="944" priority="1570">
      <formula>(AA$1&lt;&gt;"")</formula>
    </cfRule>
    <cfRule type="expression" dxfId="943" priority="1571">
      <formula>(AA$1&lt;&gt;"")</formula>
    </cfRule>
  </conditionalFormatting>
  <conditionalFormatting sqref="W593:AA593">
    <cfRule type="expression" dxfId="942" priority="1568">
      <formula>(W$1&lt;&gt;"")</formula>
    </cfRule>
  </conditionalFormatting>
  <conditionalFormatting sqref="W593:Z593 W525:Z525 W444:Z447 W418:Z418 W263:Z264">
    <cfRule type="expression" dxfId="941" priority="1564">
      <formula>(W$1&lt;&gt;"")</formula>
    </cfRule>
    <cfRule type="expression" dxfId="940" priority="1565">
      <formula>(W$1&lt;&gt;"")</formula>
    </cfRule>
    <cfRule type="expression" dxfId="939" priority="1566">
      <formula>(W$1&lt;&gt;"")</formula>
    </cfRule>
    <cfRule type="expression" dxfId="938" priority="1567">
      <formula>(W$1&lt;&gt;"")</formula>
    </cfRule>
  </conditionalFormatting>
  <conditionalFormatting sqref="AA593 W569:X569 W574:X584 Z569 Z574:Z584 AA525 AA444:AA447 AA418 W352:Z365 W338:Z342 AA263:AA264 W152:Z158 W150:Z150 W6:Z10">
    <cfRule type="expression" dxfId="937" priority="1558">
      <formula>(W$1&lt;&gt;"")</formula>
    </cfRule>
    <cfRule type="expression" dxfId="936" priority="1559">
      <formula>(W$1&lt;&gt;"")</formula>
    </cfRule>
    <cfRule type="expression" dxfId="935" priority="1560">
      <formula>(W$1&lt;&gt;"")</formula>
    </cfRule>
    <cfRule type="expression" dxfId="934" priority="1561">
      <formula>(W$1&lt;&gt;"")</formula>
    </cfRule>
    <cfRule type="expression" dxfId="933" priority="1562">
      <formula>(W$1&lt;&gt;"")</formula>
    </cfRule>
    <cfRule type="expression" dxfId="932" priority="1563">
      <formula>(W$1&lt;&gt;"")</formula>
    </cfRule>
  </conditionalFormatting>
  <conditionalFormatting sqref="W594:Z594">
    <cfRule type="expression" dxfId="931" priority="1591">
      <formula>(W$1&lt;&gt;"")</formula>
    </cfRule>
    <cfRule type="expression" dxfId="930" priority="1592">
      <formula>(W$1&lt;&gt;"")</formula>
    </cfRule>
  </conditionalFormatting>
  <conditionalFormatting sqref="AA619">
    <cfRule type="expression" dxfId="929" priority="1612">
      <formula>(AA$1&lt;&gt;"")</formula>
    </cfRule>
    <cfRule type="expression" dxfId="928" priority="1613">
      <formula>(AA$1&lt;&gt;"")</formula>
    </cfRule>
  </conditionalFormatting>
  <conditionalFormatting sqref="AA620">
    <cfRule type="expression" dxfId="927" priority="1607">
      <formula>(AA$1&lt;&gt;"")</formula>
    </cfRule>
  </conditionalFormatting>
  <conditionalFormatting sqref="AA621">
    <cfRule type="expression" dxfId="926" priority="1608">
      <formula>(AA$1&lt;&gt;"")</formula>
    </cfRule>
    <cfRule type="expression" dxfId="925" priority="1609">
      <formula>(AA$1&lt;&gt;"")</formula>
    </cfRule>
  </conditionalFormatting>
  <conditionalFormatting sqref="AA622">
    <cfRule type="expression" dxfId="924" priority="1610">
      <formula>(AA$1&lt;&gt;"")</formula>
    </cfRule>
  </conditionalFormatting>
  <conditionalFormatting sqref="AA623">
    <cfRule type="expression" dxfId="923" priority="1605">
      <formula>(AA$1&lt;&gt;"")</formula>
    </cfRule>
    <cfRule type="expression" dxfId="922" priority="1606">
      <formula>(AA$1&lt;&gt;"")</formula>
    </cfRule>
  </conditionalFormatting>
  <conditionalFormatting sqref="AA624">
    <cfRule type="expression" dxfId="921" priority="1604">
      <formula>(AA$1&lt;&gt;"")</formula>
    </cfRule>
  </conditionalFormatting>
  <conditionalFormatting sqref="AA625">
    <cfRule type="expression" dxfId="920" priority="1655">
      <formula>(AA$1&lt;&gt;"")</formula>
    </cfRule>
    <cfRule type="expression" dxfId="919" priority="1656">
      <formula>(AA$1&lt;&gt;"")</formula>
    </cfRule>
  </conditionalFormatting>
  <conditionalFormatting sqref="AA626">
    <cfRule type="expression" dxfId="918" priority="1649">
      <formula>(AA$1&lt;&gt;"")</formula>
    </cfRule>
    <cfRule type="expression" dxfId="917" priority="1650">
      <formula>(AA$1&lt;&gt;"")</formula>
    </cfRule>
    <cfRule type="expression" dxfId="916" priority="1651">
      <formula>(AA$1&lt;&gt;"")</formula>
    </cfRule>
    <cfRule type="expression" dxfId="915" priority="1652">
      <formula>(AA$1&lt;&gt;"")</formula>
    </cfRule>
    <cfRule type="expression" dxfId="914" priority="1653">
      <formula>(AA$1&lt;&gt;"")</formula>
    </cfRule>
    <cfRule type="expression" dxfId="913" priority="1654">
      <formula>(AA$1&lt;&gt;"")</formula>
    </cfRule>
  </conditionalFormatting>
  <conditionalFormatting sqref="AA627">
    <cfRule type="expression" dxfId="912" priority="1647">
      <formula>(AA$1&lt;&gt;"")</formula>
    </cfRule>
    <cfRule type="expression" dxfId="911" priority="1648">
      <formula>(AA$1&lt;&gt;"")</formula>
    </cfRule>
  </conditionalFormatting>
  <conditionalFormatting sqref="AA628">
    <cfRule type="expression" dxfId="910" priority="1646">
      <formula>(AA$1&lt;&gt;"")</formula>
    </cfRule>
  </conditionalFormatting>
  <conditionalFormatting sqref="AA634">
    <cfRule type="expression" dxfId="909" priority="1618">
      <formula>(AA$1&lt;&gt;"")</formula>
    </cfRule>
  </conditionalFormatting>
  <conditionalFormatting sqref="AA635">
    <cfRule type="expression" dxfId="908" priority="1614">
      <formula>(AA$1&lt;&gt;"")</formula>
    </cfRule>
    <cfRule type="expression" dxfId="907" priority="1615">
      <formula>(AA$1&lt;&gt;"")</formula>
    </cfRule>
  </conditionalFormatting>
  <conditionalFormatting sqref="AA637">
    <cfRule type="expression" dxfId="906" priority="1616">
      <formula>(AA$1&lt;&gt;"")</formula>
    </cfRule>
    <cfRule type="expression" dxfId="905" priority="1617">
      <formula>(AA$1&lt;&gt;"")</formula>
    </cfRule>
  </conditionalFormatting>
  <conditionalFormatting sqref="AA687">
    <cfRule type="expression" dxfId="904" priority="1641">
      <formula>(AA$1&lt;&gt;"")</formula>
    </cfRule>
    <cfRule type="expression" dxfId="903" priority="1642">
      <formula>(AA$1&lt;&gt;"")</formula>
    </cfRule>
    <cfRule type="expression" dxfId="902" priority="1643">
      <formula>(AA$1&lt;&gt;"")</formula>
    </cfRule>
  </conditionalFormatting>
  <conditionalFormatting sqref="AA690">
    <cfRule type="expression" dxfId="901" priority="1630">
      <formula>(AA$1&lt;&gt;"")</formula>
    </cfRule>
  </conditionalFormatting>
  <conditionalFormatting sqref="AA691">
    <cfRule type="expression" dxfId="900" priority="1631">
      <formula>(AA$1&lt;&gt;"")</formula>
    </cfRule>
  </conditionalFormatting>
  <conditionalFormatting sqref="AA692">
    <cfRule type="expression" dxfId="899" priority="1625">
      <formula>(AA$1&lt;&gt;"")</formula>
    </cfRule>
    <cfRule type="expression" dxfId="898" priority="1626">
      <formula>(AA$1&lt;&gt;"")</formula>
    </cfRule>
    <cfRule type="expression" dxfId="897" priority="1627">
      <formula>(AA$1&lt;&gt;"")</formula>
    </cfRule>
    <cfRule type="expression" dxfId="896" priority="1628">
      <formula>(AA$1&lt;&gt;"")</formula>
    </cfRule>
    <cfRule type="expression" dxfId="895" priority="1629">
      <formula>(AA$1&lt;&gt;"")</formula>
    </cfRule>
  </conditionalFormatting>
  <conditionalFormatting sqref="W706:AA706">
    <cfRule type="expression" dxfId="894" priority="1660">
      <formula>(W$1&lt;&gt;"")</formula>
    </cfRule>
  </conditionalFormatting>
  <conditionalFormatting sqref="W710:Z710">
    <cfRule type="expression" dxfId="893" priority="1692">
      <formula>(W$1&lt;&gt;"")</formula>
    </cfRule>
  </conditionalFormatting>
  <conditionalFormatting sqref="AA710">
    <cfRule type="expression" dxfId="892" priority="1690">
      <formula>(AA$1&lt;&gt;"")</formula>
    </cfRule>
    <cfRule type="expression" dxfId="891" priority="1691">
      <formula>(AA$1&lt;&gt;"")</formula>
    </cfRule>
  </conditionalFormatting>
  <conditionalFormatting sqref="AA711">
    <cfRule type="expression" dxfId="890" priority="1689">
      <formula>(AA$1&lt;&gt;"")</formula>
    </cfRule>
  </conditionalFormatting>
  <conditionalFormatting sqref="AA712">
    <cfRule type="expression" dxfId="889" priority="1687">
      <formula>(AA$1&lt;&gt;"")</formula>
    </cfRule>
    <cfRule type="expression" dxfId="888" priority="1688">
      <formula>(AA$1&lt;&gt;"")</formula>
    </cfRule>
  </conditionalFormatting>
  <conditionalFormatting sqref="AA713">
    <cfRule type="expression" dxfId="887" priority="1685">
      <formula>(AA$1&lt;&gt;"")</formula>
    </cfRule>
    <cfRule type="expression" dxfId="886" priority="1686">
      <formula>(AA$1&lt;&gt;"")</formula>
    </cfRule>
  </conditionalFormatting>
  <conditionalFormatting sqref="A717">
    <cfRule type="duplicateValues" dxfId="885" priority="1783"/>
  </conditionalFormatting>
  <conditionalFormatting sqref="AA718">
    <cfRule type="expression" dxfId="884" priority="1679">
      <formula>(AA$1&lt;&gt;"")</formula>
    </cfRule>
  </conditionalFormatting>
  <conditionalFormatting sqref="AA719">
    <cfRule type="expression" dxfId="883" priority="1677">
      <formula>(AA$1&lt;&gt;"")</formula>
    </cfRule>
    <cfRule type="expression" dxfId="882" priority="1678">
      <formula>(AA$1&lt;&gt;"")</formula>
    </cfRule>
  </conditionalFormatting>
  <conditionalFormatting sqref="AA720">
    <cfRule type="expression" dxfId="881" priority="1675">
      <formula>(AA$1&lt;&gt;"")</formula>
    </cfRule>
    <cfRule type="expression" dxfId="880" priority="1676">
      <formula>(AA$1&lt;&gt;"")</formula>
    </cfRule>
  </conditionalFormatting>
  <conditionalFormatting sqref="W722:Z722">
    <cfRule type="expression" dxfId="879" priority="1666">
      <formula>(W$1&lt;&gt;"")</formula>
    </cfRule>
    <cfRule type="expression" dxfId="878" priority="1667">
      <formula>(W$1&lt;&gt;"")</formula>
    </cfRule>
  </conditionalFormatting>
  <conditionalFormatting sqref="AA722">
    <cfRule type="expression" dxfId="877" priority="1664">
      <formula>(AA$1&lt;&gt;"")</formula>
    </cfRule>
  </conditionalFormatting>
  <conditionalFormatting sqref="W743:AA743">
    <cfRule type="expression" dxfId="876" priority="1671">
      <formula>(W$1&lt;&gt;"")</formula>
    </cfRule>
  </conditionalFormatting>
  <conditionalFormatting sqref="W744:Z744">
    <cfRule type="expression" dxfId="875" priority="1701">
      <formula>(W$1&lt;&gt;"")</formula>
    </cfRule>
  </conditionalFormatting>
  <conditionalFormatting sqref="AA744">
    <cfRule type="expression" dxfId="874" priority="1699">
      <formula>(AA$1&lt;&gt;"")</formula>
    </cfRule>
    <cfRule type="expression" dxfId="873" priority="1700">
      <formula>(AA$1&lt;&gt;"")</formula>
    </cfRule>
  </conditionalFormatting>
  <conditionalFormatting sqref="AA745">
    <cfRule type="expression" dxfId="872" priority="1697">
      <formula>(AA$1&lt;&gt;"")</formula>
    </cfRule>
    <cfRule type="expression" dxfId="871" priority="1698">
      <formula>(AA$1&lt;&gt;"")</formula>
    </cfRule>
  </conditionalFormatting>
  <conditionalFormatting sqref="AA746">
    <cfRule type="expression" dxfId="870" priority="1696">
      <formula>(AA$1&lt;&gt;"")</formula>
    </cfRule>
  </conditionalFormatting>
  <conditionalFormatting sqref="AA747">
    <cfRule type="expression" dxfId="869" priority="1694">
      <formula>(AA$1&lt;&gt;"")</formula>
    </cfRule>
    <cfRule type="expression" dxfId="868" priority="1695">
      <formula>(AA$1&lt;&gt;"")</formula>
    </cfRule>
  </conditionalFormatting>
  <conditionalFormatting sqref="AA748">
    <cfRule type="expression" dxfId="867" priority="1693">
      <formula>(AA$1&lt;&gt;"")</formula>
    </cfRule>
  </conditionalFormatting>
  <conditionalFormatting sqref="W751:AA751">
    <cfRule type="expression" dxfId="866" priority="1703">
      <formula>(W$1&lt;&gt;"")</formula>
    </cfRule>
  </conditionalFormatting>
  <conditionalFormatting sqref="W763:AA763">
    <cfRule type="expression" dxfId="865" priority="1722">
      <formula>(W$1&lt;&gt;"")</formula>
    </cfRule>
  </conditionalFormatting>
  <conditionalFormatting sqref="AA765">
    <cfRule type="expression" dxfId="864" priority="1717">
      <formula>(AA$1&lt;&gt;"")</formula>
    </cfRule>
    <cfRule type="expression" dxfId="863" priority="1718">
      <formula>(AA$1&lt;&gt;"")</formula>
    </cfRule>
  </conditionalFormatting>
  <conditionalFormatting sqref="AA766">
    <cfRule type="expression" dxfId="862" priority="1716">
      <formula>(AA$1&lt;&gt;"")</formula>
    </cfRule>
  </conditionalFormatting>
  <conditionalFormatting sqref="W776:AA776">
    <cfRule type="expression" dxfId="861" priority="1709">
      <formula>(W$1&lt;&gt;"")</formula>
    </cfRule>
    <cfRule type="expression" dxfId="860" priority="1710">
      <formula>(W$1&lt;&gt;"")</formula>
    </cfRule>
  </conditionalFormatting>
  <conditionalFormatting sqref="W776">
    <cfRule type="expression" dxfId="859" priority="1706">
      <formula>(W$1&lt;&gt;"")</formula>
    </cfRule>
    <cfRule type="expression" dxfId="858" priority="1707">
      <formula>(W$1&lt;&gt;"")</formula>
    </cfRule>
  </conditionalFormatting>
  <conditionalFormatting sqref="X776">
    <cfRule type="expression" dxfId="857" priority="1708">
      <formula>(X$1&lt;&gt;"")</formula>
    </cfRule>
  </conditionalFormatting>
  <conditionalFormatting sqref="W777:AA777">
    <cfRule type="expression" dxfId="856" priority="1705">
      <formula>(W$1&lt;&gt;"")</formula>
    </cfRule>
  </conditionalFormatting>
  <conditionalFormatting sqref="W778:AA778">
    <cfRule type="expression" dxfId="855" priority="1704">
      <formula>(W$1&lt;&gt;"")</formula>
    </cfRule>
  </conditionalFormatting>
  <conditionalFormatting sqref="W827:AA827">
    <cfRule type="expression" dxfId="854" priority="1713">
      <formula>(W$1&lt;&gt;"")</formula>
    </cfRule>
    <cfRule type="expression" dxfId="853" priority="1714">
      <formula>(W$1&lt;&gt;"")</formula>
    </cfRule>
  </conditionalFormatting>
  <conditionalFormatting sqref="W836">
    <cfRule type="expression" dxfId="852" priority="1723">
      <formula>(W$1&lt;&gt;"")</formula>
    </cfRule>
    <cfRule type="expression" dxfId="851" priority="1724">
      <formula>(W$1&lt;&gt;"")</formula>
    </cfRule>
  </conditionalFormatting>
  <conditionalFormatting sqref="X836">
    <cfRule type="expression" dxfId="850" priority="1725">
      <formula>(X$1&lt;&gt;"")</formula>
    </cfRule>
  </conditionalFormatting>
  <conditionalFormatting sqref="AA840">
    <cfRule type="expression" dxfId="849" priority="1727">
      <formula>(AA$1&lt;&gt;"")</formula>
    </cfRule>
  </conditionalFormatting>
  <conditionalFormatting sqref="AA841">
    <cfRule type="expression" dxfId="848" priority="1726">
      <formula>(AA$1&lt;&gt;"")</formula>
    </cfRule>
  </conditionalFormatting>
  <conditionalFormatting sqref="W853:AA853">
    <cfRule type="expression" dxfId="847" priority="1735">
      <formula>(W$1&lt;&gt;"")</formula>
    </cfRule>
    <cfRule type="expression" dxfId="846" priority="1736">
      <formula>(W$1&lt;&gt;"")</formula>
    </cfRule>
  </conditionalFormatting>
  <conditionalFormatting sqref="W864:Z864">
    <cfRule type="expression" dxfId="845" priority="1744">
      <formula>(W$1&lt;&gt;"")</formula>
    </cfRule>
  </conditionalFormatting>
  <conditionalFormatting sqref="AA864">
    <cfRule type="expression" dxfId="844" priority="1743">
      <formula>(AA$1&lt;&gt;"")</formula>
    </cfRule>
  </conditionalFormatting>
  <conditionalFormatting sqref="W866:Z866">
    <cfRule type="expression" dxfId="843" priority="1742">
      <formula>(W$1&lt;&gt;"")</formula>
    </cfRule>
  </conditionalFormatting>
  <conditionalFormatting sqref="AA866">
    <cfRule type="expression" dxfId="842" priority="1740">
      <formula>(AA$1&lt;&gt;"")</formula>
    </cfRule>
    <cfRule type="expression" dxfId="841" priority="1741">
      <formula>(AA$1&lt;&gt;"")</formula>
    </cfRule>
  </conditionalFormatting>
  <conditionalFormatting sqref="W898">
    <cfRule type="expression" dxfId="840" priority="1746">
      <formula>(W$1&lt;&gt;"")</formula>
    </cfRule>
  </conditionalFormatting>
  <conditionalFormatting sqref="X898:AA898">
    <cfRule type="expression" dxfId="839" priority="1747">
      <formula>(X$1&lt;&gt;"")</formula>
    </cfRule>
  </conditionalFormatting>
  <conditionalFormatting sqref="W899">
    <cfRule type="expression" dxfId="838" priority="1748">
      <formula>(W$1&lt;&gt;"")</formula>
    </cfRule>
  </conditionalFormatting>
  <conditionalFormatting sqref="W900">
    <cfRule type="expression" dxfId="837" priority="1749">
      <formula>(W$1&lt;&gt;"")</formula>
    </cfRule>
  </conditionalFormatting>
  <conditionalFormatting sqref="W912:AA912">
    <cfRule type="expression" dxfId="836" priority="1753">
      <formula>(W$1&lt;&gt;"")</formula>
    </cfRule>
  </conditionalFormatting>
  <conditionalFormatting sqref="W912:Z912">
    <cfRule type="expression" dxfId="835" priority="1752">
      <formula>(W$1&lt;&gt;"")</formula>
    </cfRule>
  </conditionalFormatting>
  <conditionalFormatting sqref="AA912">
    <cfRule type="expression" dxfId="834" priority="1750">
      <formula>(AA$1&lt;&gt;"")</formula>
    </cfRule>
    <cfRule type="expression" dxfId="833" priority="1751">
      <formula>(AA$1&lt;&gt;"")</formula>
    </cfRule>
  </conditionalFormatting>
  <conditionalFormatting sqref="X915">
    <cfRule type="expression" dxfId="832" priority="1759">
      <formula>(X$1&lt;&gt;"")</formula>
    </cfRule>
    <cfRule type="expression" dxfId="831" priority="1760">
      <formula>(X$1&lt;&gt;"")</formula>
    </cfRule>
  </conditionalFormatting>
  <conditionalFormatting sqref="W921:AA921">
    <cfRule type="expression" dxfId="830" priority="1767">
      <formula>(W$1&lt;&gt;"")</formula>
    </cfRule>
  </conditionalFormatting>
  <conditionalFormatting sqref="W921:Z921">
    <cfRule type="expression" dxfId="829" priority="1766">
      <formula>(W$1&lt;&gt;"")</formula>
    </cfRule>
  </conditionalFormatting>
  <conditionalFormatting sqref="AA921">
    <cfRule type="expression" dxfId="828" priority="1765">
      <formula>(AA$1&lt;&gt;"")</formula>
    </cfRule>
  </conditionalFormatting>
  <conditionalFormatting sqref="W922:AA922">
    <cfRule type="expression" dxfId="827" priority="1764">
      <formula>(W$1&lt;&gt;"")</formula>
    </cfRule>
  </conditionalFormatting>
  <conditionalFormatting sqref="Y927">
    <cfRule type="expression" dxfId="826" priority="1762">
      <formula>(Y$1&lt;&gt;"")</formula>
    </cfRule>
  </conditionalFormatting>
  <conditionalFormatting sqref="AA927">
    <cfRule type="expression" dxfId="825" priority="1768">
      <formula>(AA$1&lt;&gt;"")</formula>
    </cfRule>
  </conditionalFormatting>
  <conditionalFormatting sqref="AA1000">
    <cfRule type="expression" dxfId="824" priority="1773">
      <formula>(AA$1&lt;&gt;"")</formula>
    </cfRule>
  </conditionalFormatting>
  <conditionalFormatting sqref="W1039:AA1039">
    <cfRule type="expression" dxfId="823" priority="1776">
      <formula>(W$1&lt;&gt;"")</formula>
    </cfRule>
  </conditionalFormatting>
  <conditionalFormatting sqref="W1073:AA1073">
    <cfRule type="expression" dxfId="822" priority="1779">
      <formula>(W$1&lt;&gt;"")</formula>
    </cfRule>
  </conditionalFormatting>
  <conditionalFormatting sqref="W1074:AA1074">
    <cfRule type="expression" dxfId="821" priority="1778">
      <formula>(W$1&lt;&gt;"")</formula>
    </cfRule>
  </conditionalFormatting>
  <conditionalFormatting sqref="S1080">
    <cfRule type="expression" dxfId="820" priority="1780">
      <formula>MOD(MID($B1080,4,1),2)&lt;&gt;0</formula>
    </cfRule>
    <cfRule type="expression" dxfId="819" priority="1781">
      <formula>INT(LEFT($B1080,2))&lt;&gt;INT(LEFT(OFFSET($B1080,1,0,1,1),2))</formula>
    </cfRule>
  </conditionalFormatting>
  <conditionalFormatting sqref="X620:X624">
    <cfRule type="expression" dxfId="818" priority="1601">
      <formula>(X$1&lt;&gt;"")</formula>
    </cfRule>
    <cfRule type="expression" dxfId="817" priority="1602">
      <formula>(X$1&lt;&gt;"")</formula>
    </cfRule>
  </conditionalFormatting>
  <conditionalFormatting sqref="X631:X632">
    <cfRule type="expression" dxfId="816" priority="1594">
      <formula>(X$1&lt;&gt;"")</formula>
    </cfRule>
    <cfRule type="expression" dxfId="815" priority="1595">
      <formula>(X$1&lt;&gt;"")</formula>
    </cfRule>
  </conditionalFormatting>
  <conditionalFormatting sqref="W534:Y535">
    <cfRule type="expression" dxfId="814" priority="1549">
      <formula>(W$1&lt;&gt;"")</formula>
    </cfRule>
  </conditionalFormatting>
  <conditionalFormatting sqref="Y596:Y617">
    <cfRule type="expression" dxfId="813" priority="1584">
      <formula>(Y$1&lt;&gt;"")</formula>
    </cfRule>
  </conditionalFormatting>
  <conditionalFormatting sqref="Y691:Y693">
    <cfRule type="expression" dxfId="812" priority="1636">
      <formula>(Y$1&lt;&gt;"")</formula>
    </cfRule>
    <cfRule type="expression" dxfId="811" priority="1637">
      <formula>(Y$1&lt;&gt;"")</formula>
    </cfRule>
  </conditionalFormatting>
  <conditionalFormatting sqref="Y719:Y721">
    <cfRule type="expression" dxfId="810" priority="1680">
      <formula>(Y$1&lt;&gt;"")</formula>
    </cfRule>
    <cfRule type="expression" dxfId="809" priority="1681">
      <formula>(Y$1&lt;&gt;"")</formula>
    </cfRule>
  </conditionalFormatting>
  <conditionalFormatting sqref="Y924:Y926">
    <cfRule type="expression" dxfId="808" priority="1763">
      <formula>(Y$1&lt;&gt;"")</formula>
    </cfRule>
  </conditionalFormatting>
  <conditionalFormatting sqref="Y930:Y932">
    <cfRule type="expression" dxfId="807" priority="1754">
      <formula>(Y$1&lt;&gt;"")</formula>
    </cfRule>
  </conditionalFormatting>
  <conditionalFormatting sqref="AA595:AA617">
    <cfRule type="expression" dxfId="806" priority="1585">
      <formula>(AA$1&lt;&gt;"")</formula>
    </cfRule>
    <cfRule type="expression" dxfId="805" priority="1586">
      <formula>(AA$1&lt;&gt;"")</formula>
    </cfRule>
  </conditionalFormatting>
  <conditionalFormatting sqref="AA629:AA632">
    <cfRule type="expression" dxfId="804" priority="1645">
      <formula>(AA$1&lt;&gt;"")</formula>
    </cfRule>
  </conditionalFormatting>
  <conditionalFormatting sqref="AA631:AA632">
    <cfRule type="expression" dxfId="803" priority="1597">
      <formula>(AA$1&lt;&gt;"")</formula>
    </cfRule>
  </conditionalFormatting>
  <conditionalFormatting sqref="AA694:AA705">
    <cfRule type="expression" dxfId="802" priority="1659">
      <formula>(AA$1&lt;&gt;"")</formula>
    </cfRule>
  </conditionalFormatting>
  <conditionalFormatting sqref="AA723:AA742">
    <cfRule type="expression" dxfId="801" priority="1663">
      <formula>(AA$1&lt;&gt;"")</formula>
    </cfRule>
  </conditionalFormatting>
  <conditionalFormatting sqref="AA838:AA839">
    <cfRule type="expression" dxfId="800" priority="1730">
      <formula>(AA$1&lt;&gt;"")</formula>
    </cfRule>
    <cfRule type="expression" dxfId="799" priority="1731">
      <formula>(AA$1&lt;&gt;"")</formula>
    </cfRule>
  </conditionalFormatting>
  <conditionalFormatting sqref="AA905:AA912">
    <cfRule type="expression" dxfId="798" priority="1756">
      <formula>(AA$1&lt;&gt;"")</formula>
    </cfRule>
  </conditionalFormatting>
  <conditionalFormatting sqref="W588:AA618 W585:AA585">
    <cfRule type="expression" dxfId="797" priority="1557">
      <formula>(W$1&lt;&gt;"")</formula>
    </cfRule>
  </conditionalFormatting>
  <conditionalFormatting sqref="AA594">
    <cfRule type="expression" dxfId="796" priority="1587">
      <formula>(AA$1&lt;&gt;"")</formula>
    </cfRule>
    <cfRule type="expression" dxfId="795" priority="1588">
      <formula>(AA$1&lt;&gt;"")</formula>
    </cfRule>
    <cfRule type="expression" dxfId="794" priority="1589">
      <formula>(AA$1&lt;&gt;"")</formula>
    </cfRule>
  </conditionalFormatting>
  <conditionalFormatting sqref="W534:Y535 W536:Z537">
    <cfRule type="expression" dxfId="793" priority="1547">
      <formula>(W$1&lt;&gt;"")</formula>
    </cfRule>
  </conditionalFormatting>
  <conditionalFormatting sqref="W586:AA587">
    <cfRule type="expression" dxfId="792" priority="1551">
      <formula>(W$1&lt;&gt;"")</formula>
    </cfRule>
    <cfRule type="expression" dxfId="791" priority="1552">
      <formula>(W$1&lt;&gt;"")</formula>
    </cfRule>
  </conditionalFormatting>
  <conditionalFormatting sqref="W589:AA592">
    <cfRule type="expression" dxfId="790" priority="1582">
      <formula>(W$1&lt;&gt;"")</formula>
    </cfRule>
  </conditionalFormatting>
  <conditionalFormatting sqref="W589:Z592">
    <cfRule type="expression" dxfId="789" priority="1579">
      <formula>(W$1&lt;&gt;"")</formula>
    </cfRule>
    <cfRule type="expression" dxfId="788" priority="1580">
      <formula>(W$1&lt;&gt;"")</formula>
    </cfRule>
    <cfRule type="expression" dxfId="787" priority="1581">
      <formula>(W$1&lt;&gt;"")</formula>
    </cfRule>
  </conditionalFormatting>
  <conditionalFormatting sqref="W589:AA593">
    <cfRule type="expression" dxfId="786" priority="1583">
      <formula>(W$1&lt;&gt;"")</formula>
    </cfRule>
  </conditionalFormatting>
  <conditionalFormatting sqref="W594:AA617">
    <cfRule type="expression" dxfId="785" priority="1599">
      <formula>(W$1&lt;&gt;"")</formula>
    </cfRule>
    <cfRule type="expression" dxfId="784" priority="1600">
      <formula>(W$1&lt;&gt;"")</formula>
    </cfRule>
  </conditionalFormatting>
  <conditionalFormatting sqref="W594:Z595 W596:X617 Z596:Z617">
    <cfRule type="expression" dxfId="783" priority="1593">
      <formula>(W$1&lt;&gt;"")</formula>
    </cfRule>
  </conditionalFormatting>
  <conditionalFormatting sqref="W595:Z595 W596:X617 Z596:Z617">
    <cfRule type="expression" dxfId="782" priority="1590">
      <formula>(W$1&lt;&gt;"")</formula>
    </cfRule>
  </conditionalFormatting>
  <conditionalFormatting sqref="W625:AA632 W619:Z619">
    <cfRule type="expression" dxfId="781" priority="1621">
      <formula>(W$1&lt;&gt;"")</formula>
    </cfRule>
  </conditionalFormatting>
  <conditionalFormatting sqref="X619 X625:X632">
    <cfRule type="expression" dxfId="780" priority="1619">
      <formula>(X$1&lt;&gt;"")</formula>
    </cfRule>
    <cfRule type="expression" dxfId="779" priority="1620">
      <formula>(X$1&lt;&gt;"")</formula>
    </cfRule>
  </conditionalFormatting>
  <conditionalFormatting sqref="W620:Z624">
    <cfRule type="expression" dxfId="778" priority="1611">
      <formula>(W$1&lt;&gt;"")</formula>
    </cfRule>
  </conditionalFormatting>
  <conditionalFormatting sqref="W620:AA624">
    <cfRule type="expression" dxfId="777" priority="1603">
      <formula>(W$1&lt;&gt;"")</formula>
    </cfRule>
  </conditionalFormatting>
  <conditionalFormatting sqref="W625:Z625 W634:AA686">
    <cfRule type="expression" dxfId="776" priority="1657">
      <formula>(W$1&lt;&gt;"")</formula>
    </cfRule>
  </conditionalFormatting>
  <conditionalFormatting sqref="W625:Z632">
    <cfRule type="expression" dxfId="775" priority="1658">
      <formula>(W$1&lt;&gt;"")</formula>
    </cfRule>
  </conditionalFormatting>
  <conditionalFormatting sqref="W631:Z632">
    <cfRule type="expression" dxfId="774" priority="1598">
      <formula>(W$1&lt;&gt;"")</formula>
    </cfRule>
  </conditionalFormatting>
  <conditionalFormatting sqref="W631:AA632">
    <cfRule type="expression" dxfId="773" priority="1596">
      <formula>(W$1&lt;&gt;"")</formula>
    </cfRule>
  </conditionalFormatting>
  <conditionalFormatting sqref="W636:AA636 W637:Z637 W634:Z635">
    <cfRule type="expression" dxfId="772" priority="1622">
      <formula>(W$1&lt;&gt;"")</formula>
    </cfRule>
  </conditionalFormatting>
  <conditionalFormatting sqref="W687:Z687 W694:AA705">
    <cfRule type="expression" dxfId="771" priority="1644">
      <formula>(W$1&lt;&gt;"")</formula>
    </cfRule>
  </conditionalFormatting>
  <conditionalFormatting sqref="W690:Z690">
    <cfRule type="expression" dxfId="770" priority="1632">
      <formula>(W$1&lt;&gt;"")</formula>
    </cfRule>
    <cfRule type="expression" dxfId="769" priority="1633">
      <formula>(W$1&lt;&gt;"")</formula>
    </cfRule>
    <cfRule type="expression" dxfId="768" priority="1634">
      <formula>(W$1&lt;&gt;"")</formula>
    </cfRule>
  </conditionalFormatting>
  <conditionalFormatting sqref="W690:AA693">
    <cfRule type="expression" dxfId="767" priority="1635">
      <formula>(W$1&lt;&gt;"")</formula>
    </cfRule>
  </conditionalFormatting>
  <conditionalFormatting sqref="W691:X693 Z691:Z693">
    <cfRule type="expression" dxfId="766" priority="1638">
      <formula>(W$1&lt;&gt;"")</formula>
    </cfRule>
    <cfRule type="expression" dxfId="765" priority="1639">
      <formula>(W$1&lt;&gt;"")</formula>
    </cfRule>
    <cfRule type="expression" dxfId="764" priority="1640">
      <formula>(W$1&lt;&gt;"")</formula>
    </cfRule>
  </conditionalFormatting>
  <conditionalFormatting sqref="W707:AA721">
    <cfRule type="expression" dxfId="763" priority="1661">
      <formula>(W$1&lt;&gt;"")</formula>
    </cfRule>
  </conditionalFormatting>
  <conditionalFormatting sqref="W707:AA708">
    <cfRule type="expression" dxfId="762" priority="1662">
      <formula>(W$1&lt;&gt;"")</formula>
    </cfRule>
  </conditionalFormatting>
  <conditionalFormatting sqref="AA721 AA715:AA717">
    <cfRule type="expression" dxfId="761" priority="1672">
      <formula>(AA$1&lt;&gt;"")</formula>
    </cfRule>
    <cfRule type="expression" dxfId="760" priority="1673">
      <formula>(AA$1&lt;&gt;"")</formula>
    </cfRule>
    <cfRule type="expression" dxfId="759" priority="1674">
      <formula>(AA$1&lt;&gt;"")</formula>
    </cfRule>
  </conditionalFormatting>
  <conditionalFormatting sqref="W716:Z716 AA717">
    <cfRule type="expression" dxfId="758" priority="1669">
      <formula>(W$1&lt;&gt;"")</formula>
    </cfRule>
    <cfRule type="expression" dxfId="757" priority="1670">
      <formula>(W$1&lt;&gt;"")</formula>
    </cfRule>
  </conditionalFormatting>
  <conditionalFormatting sqref="AA764 AA716:AA717">
    <cfRule type="expression" dxfId="756" priority="1719">
      <formula>(AA$1&lt;&gt;"")</formula>
    </cfRule>
    <cfRule type="expression" dxfId="755" priority="1720">
      <formula>(AA$1&lt;&gt;"")</formula>
    </cfRule>
    <cfRule type="expression" dxfId="754" priority="1721">
      <formula>(AA$1&lt;&gt;"")</formula>
    </cfRule>
  </conditionalFormatting>
  <conditionalFormatting sqref="W718:Z718 W719:X721 Z719:Z721">
    <cfRule type="expression" dxfId="753" priority="1682">
      <formula>(W$1&lt;&gt;"")</formula>
    </cfRule>
    <cfRule type="expression" dxfId="752" priority="1683">
      <formula>(W$1&lt;&gt;"")</formula>
    </cfRule>
    <cfRule type="expression" dxfId="751" priority="1684">
      <formula>(W$1&lt;&gt;"")</formula>
    </cfRule>
  </conditionalFormatting>
  <conditionalFormatting sqref="W722:Z742">
    <cfRule type="expression" dxfId="750" priority="1668">
      <formula>(W$1&lt;&gt;"")</formula>
    </cfRule>
  </conditionalFormatting>
  <conditionalFormatting sqref="W723:Z742">
    <cfRule type="expression" dxfId="749" priority="1665">
      <formula>(W$1&lt;&gt;"")</formula>
    </cfRule>
  </conditionalFormatting>
  <conditionalFormatting sqref="W749:AA749 W744:Z748">
    <cfRule type="expression" dxfId="748" priority="1702">
      <formula>(W$1&lt;&gt;"")</formula>
    </cfRule>
  </conditionalFormatting>
  <conditionalFormatting sqref="W833:AA852 W781:AA826 W828:AA831 W752:AA772 W750:AA750">
    <cfRule type="expression" dxfId="747" priority="1733">
      <formula>(W$1&lt;&gt;"")</formula>
    </cfRule>
  </conditionalFormatting>
  <conditionalFormatting sqref="W768:AA771">
    <cfRule type="expression" dxfId="746" priority="1715">
      <formula>(W$1&lt;&gt;"")</formula>
    </cfRule>
  </conditionalFormatting>
  <conditionalFormatting sqref="W773:AA780">
    <cfRule type="expression" dxfId="745" priority="1712">
      <formula>(W$1&lt;&gt;"")</formula>
    </cfRule>
  </conditionalFormatting>
  <conditionalFormatting sqref="W773:AA777">
    <cfRule type="expression" dxfId="744" priority="1711">
      <formula>(W$1&lt;&gt;"")</formula>
    </cfRule>
  </conditionalFormatting>
  <conditionalFormatting sqref="W834:AA836">
    <cfRule type="expression" dxfId="743" priority="1734">
      <formula>(W$1&lt;&gt;"")</formula>
    </cfRule>
  </conditionalFormatting>
  <conditionalFormatting sqref="W838:AA839">
    <cfRule type="expression" dxfId="742" priority="1728">
      <formula>(W$1&lt;&gt;"")</formula>
    </cfRule>
    <cfRule type="expression" dxfId="741" priority="1729">
      <formula>(W$1&lt;&gt;"")</formula>
    </cfRule>
    <cfRule type="expression" dxfId="740" priority="1732">
      <formula>(W$1&lt;&gt;"")</formula>
    </cfRule>
  </conditionalFormatting>
  <conditionalFormatting sqref="W854:AA857">
    <cfRule type="expression" dxfId="739" priority="1737">
      <formula>(W$1&lt;&gt;"")</formula>
    </cfRule>
    <cfRule type="expression" dxfId="738" priority="1738">
      <formula>(W$1&lt;&gt;"")</formula>
    </cfRule>
  </conditionalFormatting>
  <conditionalFormatting sqref="W933:AA1001 X899:AA900 W1077:AA1089 W1003:AA1072 W901:AA927 W858:AA898">
    <cfRule type="expression" dxfId="737" priority="1782">
      <formula>(W$1&lt;&gt;"")</formula>
    </cfRule>
  </conditionalFormatting>
  <conditionalFormatting sqref="W858:AA865">
    <cfRule type="expression" dxfId="736" priority="1739">
      <formula>(W$1&lt;&gt;"")</formula>
    </cfRule>
  </conditionalFormatting>
  <conditionalFormatting sqref="W860:AA863">
    <cfRule type="expression" dxfId="735" priority="1745">
      <formula>(W$1&lt;&gt;"")</formula>
    </cfRule>
  </conditionalFormatting>
  <conditionalFormatting sqref="W901:AA904 W905:Z912">
    <cfRule type="expression" dxfId="734" priority="1757">
      <formula>(W$1&lt;&gt;"")</formula>
    </cfRule>
    <cfRule type="expression" dxfId="733" priority="1758">
      <formula>(W$1&lt;&gt;"")</formula>
    </cfRule>
  </conditionalFormatting>
  <conditionalFormatting sqref="W915 Y915:AA915">
    <cfRule type="expression" dxfId="732" priority="1761">
      <formula>(W$1&lt;&gt;"")</formula>
    </cfRule>
  </conditionalFormatting>
  <conditionalFormatting sqref="W916:W920 Y920:Z920 Y916:AA919 W924:X926 Z924:Z926">
    <cfRule type="expression" dxfId="731" priority="1771">
      <formula>(W$1&lt;&gt;"")</formula>
    </cfRule>
  </conditionalFormatting>
  <conditionalFormatting sqref="W924:X926 Z924:AA926">
    <cfRule type="expression" dxfId="730" priority="1772">
      <formula>(W$1&lt;&gt;"")</formula>
    </cfRule>
  </conditionalFormatting>
  <conditionalFormatting sqref="W927:X927 Z927">
    <cfRule type="expression" dxfId="729" priority="1769">
      <formula>(W$1&lt;&gt;"")</formula>
    </cfRule>
  </conditionalFormatting>
  <conditionalFormatting sqref="W927:X927 Z927:AA927">
    <cfRule type="expression" dxfId="728" priority="1770">
      <formula>(W$1&lt;&gt;"")</formula>
    </cfRule>
  </conditionalFormatting>
  <conditionalFormatting sqref="W928:AA932">
    <cfRule type="expression" dxfId="727" priority="1755">
      <formula>(W$1&lt;&gt;"")</formula>
    </cfRule>
  </conditionalFormatting>
  <conditionalFormatting sqref="W996:AA999 W1000:Z1000">
    <cfRule type="expression" dxfId="726" priority="1774">
      <formula>(W$1&lt;&gt;"")</formula>
    </cfRule>
  </conditionalFormatting>
  <conditionalFormatting sqref="W1002:AA1003">
    <cfRule type="expression" dxfId="725" priority="1775">
      <formula>(W$1&lt;&gt;"")</formula>
    </cfRule>
  </conditionalFormatting>
  <conditionalFormatting sqref="W1075:AA1076">
    <cfRule type="expression" dxfId="724" priority="1777">
      <formula>(W$1&lt;&gt;"")</formula>
    </cfRule>
  </conditionalFormatting>
  <conditionalFormatting sqref="W526:Y526">
    <cfRule type="expression" dxfId="723" priority="1523">
      <formula>(W$1&lt;&gt;"")</formula>
    </cfRule>
  </conditionalFormatting>
  <conditionalFormatting sqref="W544:Z544">
    <cfRule type="expression" dxfId="722" priority="1525">
      <formula>(W$1&lt;&gt;"")</formula>
    </cfRule>
    <cfRule type="expression" dxfId="721" priority="1526">
      <formula>(W$1&lt;&gt;"")</formula>
    </cfRule>
  </conditionalFormatting>
  <conditionalFormatting sqref="AA544">
    <cfRule type="expression" dxfId="720" priority="1524">
      <formula>(AA$1&lt;&gt;"")</formula>
    </cfRule>
  </conditionalFormatting>
  <conditionalFormatting sqref="Z526">
    <cfRule type="expression" dxfId="719" priority="1521">
      <formula>(Z$1&lt;&gt;"")</formula>
    </cfRule>
    <cfRule type="expression" dxfId="718" priority="1522">
      <formula>(Z$1&lt;&gt;"")</formula>
    </cfRule>
  </conditionalFormatting>
  <conditionalFormatting sqref="AA526">
    <cfRule type="expression" dxfId="717" priority="1519">
      <formula>(AA$1&lt;&gt;"")</formula>
    </cfRule>
    <cfRule type="expression" dxfId="716" priority="1520">
      <formula>(AA$1&lt;&gt;"")</formula>
    </cfRule>
  </conditionalFormatting>
  <conditionalFormatting sqref="W528:AA528">
    <cfRule type="expression" dxfId="715" priority="1518">
      <formula>(W$1&lt;&gt;"")</formula>
    </cfRule>
  </conditionalFormatting>
  <conditionalFormatting sqref="W528:AA528">
    <cfRule type="expression" dxfId="714" priority="1517">
      <formula>(W$1&lt;&gt;"")</formula>
    </cfRule>
  </conditionalFormatting>
  <conditionalFormatting sqref="W573:Z573">
    <cfRule type="expression" dxfId="713" priority="1510">
      <formula>(W$1&lt;&gt;"")</formula>
    </cfRule>
    <cfRule type="expression" dxfId="712" priority="1511">
      <formula>(W$1&lt;&gt;"")</formula>
    </cfRule>
    <cfRule type="expression" dxfId="711" priority="1512">
      <formula>(W$1&lt;&gt;"")</formula>
    </cfRule>
    <cfRule type="expression" dxfId="710" priority="1514">
      <formula>(W$1&lt;&gt;"")</formula>
    </cfRule>
    <cfRule type="expression" dxfId="709" priority="1515">
      <formula>(W$1&lt;&gt;"")</formula>
    </cfRule>
    <cfRule type="expression" dxfId="708" priority="1516">
      <formula>(W$1&lt;&gt;"")</formula>
    </cfRule>
  </conditionalFormatting>
  <conditionalFormatting sqref="W573:AA573">
    <cfRule type="expression" dxfId="707" priority="1509">
      <formula>(W$1&lt;&gt;"")</formula>
    </cfRule>
    <cfRule type="expression" dxfId="706" priority="1513">
      <formula>(W$1&lt;&gt;"")</formula>
    </cfRule>
  </conditionalFormatting>
  <conditionalFormatting sqref="AA573">
    <cfRule type="expression" dxfId="705" priority="1508">
      <formula>(AA$1&lt;&gt;"")</formula>
    </cfRule>
  </conditionalFormatting>
  <conditionalFormatting sqref="AA539">
    <cfRule type="expression" dxfId="704" priority="1503">
      <formula>(AA$1&lt;&gt;"")</formula>
    </cfRule>
  </conditionalFormatting>
  <conditionalFormatting sqref="AA540">
    <cfRule type="expression" dxfId="703" priority="1504">
      <formula>(AA$1&lt;&gt;"")</formula>
    </cfRule>
  </conditionalFormatting>
  <conditionalFormatting sqref="AA541">
    <cfRule type="expression" dxfId="702" priority="1498">
      <formula>(AA$1&lt;&gt;"")</formula>
    </cfRule>
    <cfRule type="expression" dxfId="701" priority="1499">
      <formula>(AA$1&lt;&gt;"")</formula>
    </cfRule>
    <cfRule type="expression" dxfId="700" priority="1500">
      <formula>(AA$1&lt;&gt;"")</formula>
    </cfRule>
    <cfRule type="expression" dxfId="699" priority="1501">
      <formula>(AA$1&lt;&gt;"")</formula>
    </cfRule>
    <cfRule type="expression" dxfId="698" priority="1502">
      <formula>(AA$1&lt;&gt;"")</formula>
    </cfRule>
  </conditionalFormatting>
  <conditionalFormatting sqref="W539:Z539">
    <cfRule type="expression" dxfId="697" priority="1505">
      <formula>(W$1&lt;&gt;"")</formula>
    </cfRule>
    <cfRule type="expression" dxfId="696" priority="1506">
      <formula>(W$1&lt;&gt;"")</formula>
    </cfRule>
    <cfRule type="expression" dxfId="695" priority="1507">
      <formula>(W$1&lt;&gt;"")</formula>
    </cfRule>
  </conditionalFormatting>
  <conditionalFormatting sqref="W439:AA442">
    <cfRule type="expression" dxfId="694" priority="1495">
      <formula>(W$1&lt;&gt;"")</formula>
    </cfRule>
    <cfRule type="expression" dxfId="693" priority="1496">
      <formula>(W$1&lt;&gt;"")</formula>
    </cfRule>
  </conditionalFormatting>
  <conditionalFormatting sqref="W439:W442">
    <cfRule type="expression" dxfId="692" priority="1492">
      <formula>(W$1&lt;&gt;"")</formula>
    </cfRule>
    <cfRule type="expression" dxfId="691" priority="1493">
      <formula>(W$1&lt;&gt;"")</formula>
    </cfRule>
  </conditionalFormatting>
  <conditionalFormatting sqref="X439:X442">
    <cfRule type="expression" dxfId="690" priority="1494">
      <formula>(X$1&lt;&gt;"")</formula>
    </cfRule>
  </conditionalFormatting>
  <conditionalFormatting sqref="W447:AA447">
    <cfRule type="expression" dxfId="689" priority="1497">
      <formula>(W$1&lt;&gt;"")</formula>
    </cfRule>
  </conditionalFormatting>
  <conditionalFormatting sqref="W530:AA530">
    <cfRule type="expression" dxfId="688" priority="1482">
      <formula>(W$1&lt;&gt;"")</formula>
    </cfRule>
  </conditionalFormatting>
  <conditionalFormatting sqref="W530:X530 Z530">
    <cfRule type="expression" dxfId="687" priority="1485">
      <formula>(W$1&lt;&gt;"")</formula>
    </cfRule>
    <cfRule type="expression" dxfId="686" priority="1486">
      <formula>(W$1&lt;&gt;"")</formula>
    </cfRule>
    <cfRule type="expression" dxfId="685" priority="1487">
      <formula>(W$1&lt;&gt;"")</formula>
    </cfRule>
  </conditionalFormatting>
  <conditionalFormatting sqref="W530:AA530">
    <cfRule type="expression" dxfId="684" priority="1483">
      <formula>(W$1&lt;&gt;"")</formula>
    </cfRule>
    <cfRule type="expression" dxfId="683" priority="1484">
      <formula>(W$1&lt;&gt;"")</formula>
    </cfRule>
  </conditionalFormatting>
  <conditionalFormatting sqref="W530:Z530">
    <cfRule type="expression" dxfId="682" priority="1481">
      <formula>(W$1&lt;&gt;"")</formula>
    </cfRule>
  </conditionalFormatting>
  <conditionalFormatting sqref="AA530">
    <cfRule type="expression" dxfId="681" priority="1478">
      <formula>(AA$1&lt;&gt;"")</formula>
    </cfRule>
    <cfRule type="expression" dxfId="680" priority="1479">
      <formula>(AA$1&lt;&gt;"")</formula>
    </cfRule>
    <cfRule type="expression" dxfId="679" priority="1480">
      <formula>(AA$1&lt;&gt;"")</formula>
    </cfRule>
  </conditionalFormatting>
  <conditionalFormatting sqref="AA530">
    <cfRule type="expression" dxfId="678" priority="1477">
      <formula>(AA$1&lt;&gt;"")</formula>
    </cfRule>
  </conditionalFormatting>
  <conditionalFormatting sqref="W417:AA418">
    <cfRule type="expression" dxfId="677" priority="1461">
      <formula>(W$1&lt;&gt;"")</formula>
    </cfRule>
  </conditionalFormatting>
  <conditionalFormatting sqref="W417:X418 Z417:Z418">
    <cfRule type="expression" dxfId="676" priority="1464">
      <formula>(W$1&lt;&gt;"")</formula>
    </cfRule>
    <cfRule type="expression" dxfId="675" priority="1465">
      <formula>(W$1&lt;&gt;"")</formula>
    </cfRule>
    <cfRule type="expression" dxfId="674" priority="1466">
      <formula>(W$1&lt;&gt;"")</formula>
    </cfRule>
  </conditionalFormatting>
  <conditionalFormatting sqref="W417:AA418">
    <cfRule type="expression" dxfId="673" priority="1462">
      <formula>(W$1&lt;&gt;"")</formula>
    </cfRule>
    <cfRule type="expression" dxfId="672" priority="1463">
      <formula>(W$1&lt;&gt;"")</formula>
    </cfRule>
  </conditionalFormatting>
  <conditionalFormatting sqref="W417:Z418">
    <cfRule type="expression" dxfId="671" priority="1473">
      <formula>(W$1&lt;&gt;"")</formula>
    </cfRule>
    <cfRule type="expression" dxfId="670" priority="1474">
      <formula>(W$1&lt;&gt;"")</formula>
    </cfRule>
    <cfRule type="expression" dxfId="669" priority="1475">
      <formula>(W$1&lt;&gt;"")</formula>
    </cfRule>
    <cfRule type="expression" dxfId="668" priority="1476">
      <formula>(W$1&lt;&gt;"")</formula>
    </cfRule>
  </conditionalFormatting>
  <conditionalFormatting sqref="AA417:AA418">
    <cfRule type="expression" dxfId="667" priority="1467">
      <formula>(AA$1&lt;&gt;"")</formula>
    </cfRule>
    <cfRule type="expression" dxfId="666" priority="1468">
      <formula>(AA$1&lt;&gt;"")</formula>
    </cfRule>
    <cfRule type="expression" dxfId="665" priority="1469">
      <formula>(AA$1&lt;&gt;"")</formula>
    </cfRule>
    <cfRule type="expression" dxfId="664" priority="1470">
      <formula>(AA$1&lt;&gt;"")</formula>
    </cfRule>
    <cfRule type="expression" dxfId="663" priority="1471">
      <formula>(AA$1&lt;&gt;"")</formula>
    </cfRule>
    <cfRule type="expression" dxfId="662" priority="1472">
      <formula>(AA$1&lt;&gt;"")</formula>
    </cfRule>
  </conditionalFormatting>
  <conditionalFormatting sqref="W448:AA451">
    <cfRule type="expression" dxfId="661" priority="1459">
      <formula>(W$1&lt;&gt;"")</formula>
    </cfRule>
  </conditionalFormatting>
  <conditionalFormatting sqref="AA448">
    <cfRule type="expression" dxfId="660" priority="1457">
      <formula>(AA$1&lt;&gt;"")</formula>
    </cfRule>
  </conditionalFormatting>
  <conditionalFormatting sqref="AA449">
    <cfRule type="expression" dxfId="659" priority="1453">
      <formula>(AA$1&lt;&gt;"")</formula>
    </cfRule>
    <cfRule type="expression" dxfId="658" priority="1454">
      <formula>(AA$1&lt;&gt;"")</formula>
    </cfRule>
  </conditionalFormatting>
  <conditionalFormatting sqref="AA451">
    <cfRule type="expression" dxfId="657" priority="1455">
      <formula>(AA$1&lt;&gt;"")</formula>
    </cfRule>
    <cfRule type="expression" dxfId="656" priority="1456">
      <formula>(AA$1&lt;&gt;"")</formula>
    </cfRule>
  </conditionalFormatting>
  <conditionalFormatting sqref="W450:AA450 W451:Z451 W448:Z449">
    <cfRule type="expression" dxfId="655" priority="1458">
      <formula>(W$1&lt;&gt;"")</formula>
    </cfRule>
  </conditionalFormatting>
  <conditionalFormatting sqref="W452:AA509">
    <cfRule type="expression" dxfId="654" priority="1452">
      <formula>(W$1&lt;&gt;"")</formula>
    </cfRule>
  </conditionalFormatting>
  <conditionalFormatting sqref="W434:AA438">
    <cfRule type="expression" dxfId="653" priority="1441">
      <formula>(W$1&lt;&gt;"")</formula>
    </cfRule>
  </conditionalFormatting>
  <conditionalFormatting sqref="W438:Z438">
    <cfRule type="expression" dxfId="652" priority="1448">
      <formula>(W$1&lt;&gt;"")</formula>
    </cfRule>
    <cfRule type="expression" dxfId="651" priority="1449">
      <formula>(W$1&lt;&gt;"")</formula>
    </cfRule>
    <cfRule type="expression" dxfId="650" priority="1450">
      <formula>(W$1&lt;&gt;"")</formula>
    </cfRule>
    <cfRule type="expression" dxfId="649" priority="1451">
      <formula>(W$1&lt;&gt;"")</formula>
    </cfRule>
  </conditionalFormatting>
  <conditionalFormatting sqref="AA438">
    <cfRule type="expression" dxfId="648" priority="1442">
      <formula>(AA$1&lt;&gt;"")</formula>
    </cfRule>
    <cfRule type="expression" dxfId="647" priority="1443">
      <formula>(AA$1&lt;&gt;"")</formula>
    </cfRule>
    <cfRule type="expression" dxfId="646" priority="1444">
      <formula>(AA$1&lt;&gt;"")</formula>
    </cfRule>
    <cfRule type="expression" dxfId="645" priority="1445">
      <formula>(AA$1&lt;&gt;"")</formula>
    </cfRule>
    <cfRule type="expression" dxfId="644" priority="1446">
      <formula>(AA$1&lt;&gt;"")</formula>
    </cfRule>
    <cfRule type="expression" dxfId="643" priority="1447">
      <formula>(AA$1&lt;&gt;"")</formula>
    </cfRule>
  </conditionalFormatting>
  <conditionalFormatting sqref="AA435">
    <cfRule type="expression" dxfId="642" priority="1433">
      <formula>(AA$1&lt;&gt;"")</formula>
    </cfRule>
    <cfRule type="expression" dxfId="641" priority="1434">
      <formula>(AA$1&lt;&gt;"")</formula>
    </cfRule>
    <cfRule type="expression" dxfId="640" priority="1435">
      <formula>(AA$1&lt;&gt;"")</formula>
    </cfRule>
  </conditionalFormatting>
  <conditionalFormatting sqref="AA436">
    <cfRule type="expression" dxfId="639" priority="1432">
      <formula>(AA$1&lt;&gt;"")</formula>
    </cfRule>
  </conditionalFormatting>
  <conditionalFormatting sqref="AA437">
    <cfRule type="expression" dxfId="638" priority="1429">
      <formula>(AA$1&lt;&gt;"")</formula>
    </cfRule>
    <cfRule type="expression" dxfId="637" priority="1430">
      <formula>(AA$1&lt;&gt;"")</formula>
    </cfRule>
    <cfRule type="expression" dxfId="636" priority="1431">
      <formula>(AA$1&lt;&gt;"")</formula>
    </cfRule>
  </conditionalFormatting>
  <conditionalFormatting sqref="W434:Z434">
    <cfRule type="expression" dxfId="635" priority="1428">
      <formula>(W$1&lt;&gt;"")</formula>
    </cfRule>
  </conditionalFormatting>
  <conditionalFormatting sqref="W435:AA437 W434:Z434">
    <cfRule type="expression" dxfId="634" priority="1439">
      <formula>(W$1&lt;&gt;"")</formula>
    </cfRule>
  </conditionalFormatting>
  <conditionalFormatting sqref="W434:Z437">
    <cfRule type="expression" dxfId="633" priority="1436">
      <formula>(W$1&lt;&gt;"")</formula>
    </cfRule>
    <cfRule type="expression" dxfId="632" priority="1437">
      <formula>(W$1&lt;&gt;"")</formula>
    </cfRule>
    <cfRule type="expression" dxfId="631" priority="1438">
      <formula>(W$1&lt;&gt;"")</formula>
    </cfRule>
  </conditionalFormatting>
  <conditionalFormatting sqref="W434:Z434">
    <cfRule type="expression" dxfId="630" priority="1440">
      <formula>(W$1&lt;&gt;"")</formula>
    </cfRule>
  </conditionalFormatting>
  <conditionalFormatting sqref="AA434">
    <cfRule type="expression" dxfId="629" priority="1427">
      <formula>(AA$1&lt;&gt;"")</formula>
    </cfRule>
  </conditionalFormatting>
  <conditionalFormatting sqref="AA434">
    <cfRule type="expression" dxfId="628" priority="1426">
      <formula>(AA$1&lt;&gt;"")</formula>
    </cfRule>
  </conditionalFormatting>
  <conditionalFormatting sqref="W410:Y410">
    <cfRule type="expression" dxfId="627" priority="1375">
      <formula>(W$1&lt;&gt;"")</formula>
    </cfRule>
  </conditionalFormatting>
  <conditionalFormatting sqref="Z410">
    <cfRule type="expression" dxfId="626" priority="1372">
      <formula>(Z$1&lt;&gt;"")</formula>
    </cfRule>
    <cfRule type="expression" dxfId="625" priority="1373">
      <formula>(Z$1&lt;&gt;"")</formula>
    </cfRule>
  </conditionalFormatting>
  <conditionalFormatting sqref="Z411">
    <cfRule type="expression" dxfId="624" priority="1371">
      <formula>(Z$1&lt;&gt;"")</formula>
    </cfRule>
  </conditionalFormatting>
  <conditionalFormatting sqref="W410:Y411">
    <cfRule type="expression" dxfId="623" priority="1376">
      <formula>(W$1&lt;&gt;"")</formula>
    </cfRule>
  </conditionalFormatting>
  <conditionalFormatting sqref="W410:Y411 W412:Z413">
    <cfRule type="expression" dxfId="622" priority="1374">
      <formula>(W$1&lt;&gt;"")</formula>
    </cfRule>
  </conditionalFormatting>
  <conditionalFormatting sqref="AA412">
    <cfRule type="expression" dxfId="621" priority="1363">
      <formula>(AA$1&lt;&gt;"")</formula>
    </cfRule>
  </conditionalFormatting>
  <conditionalFormatting sqref="AA413">
    <cfRule type="expression" dxfId="620" priority="1362">
      <formula>(AA$1&lt;&gt;"")</formula>
    </cfRule>
  </conditionalFormatting>
  <conditionalFormatting sqref="AA411">
    <cfRule type="expression" dxfId="619" priority="1366">
      <formula>(AA$1&lt;&gt;"")</formula>
    </cfRule>
    <cfRule type="expression" dxfId="618" priority="1367">
      <formula>(AA$1&lt;&gt;"")</formula>
    </cfRule>
  </conditionalFormatting>
  <conditionalFormatting sqref="AA411">
    <cfRule type="expression" dxfId="617" priority="1364">
      <formula>(AA$1&lt;&gt;"")</formula>
    </cfRule>
    <cfRule type="expression" dxfId="616" priority="1365">
      <formula>(AA$1&lt;&gt;"")</formula>
    </cfRule>
    <cfRule type="expression" dxfId="615" priority="1368">
      <formula>(AA$1&lt;&gt;"")</formula>
    </cfRule>
  </conditionalFormatting>
  <conditionalFormatting sqref="AA410">
    <cfRule type="expression" dxfId="614" priority="1360">
      <formula>(AA$1&lt;&gt;"")</formula>
    </cfRule>
    <cfRule type="expression" dxfId="613" priority="1361">
      <formula>(AA$1&lt;&gt;"")</formula>
    </cfRule>
  </conditionalFormatting>
  <conditionalFormatting sqref="AA410">
    <cfRule type="expression" dxfId="612" priority="1359">
      <formula>(AA$1&lt;&gt;"")</formula>
    </cfRule>
  </conditionalFormatting>
  <conditionalFormatting sqref="W378:Z378">
    <cfRule type="expression" dxfId="611" priority="1332">
      <formula>(W$1&lt;&gt;"")</formula>
    </cfRule>
  </conditionalFormatting>
  <conditionalFormatting sqref="W378:Z378">
    <cfRule type="expression" dxfId="610" priority="1331">
      <formula>(W$1&lt;&gt;"")</formula>
    </cfRule>
  </conditionalFormatting>
  <conditionalFormatting sqref="AA378">
    <cfRule type="expression" dxfId="609" priority="1328">
      <formula>(AA$1&lt;&gt;"")</formula>
    </cfRule>
  </conditionalFormatting>
  <conditionalFormatting sqref="W369:Z372">
    <cfRule type="expression" dxfId="608" priority="1326">
      <formula>(W$1&lt;&gt;"")</formula>
    </cfRule>
  </conditionalFormatting>
  <conditionalFormatting sqref="W369:Y369">
    <cfRule type="expression" dxfId="607" priority="1321">
      <formula>(W$1&lt;&gt;"")</formula>
    </cfRule>
  </conditionalFormatting>
  <conditionalFormatting sqref="Z369">
    <cfRule type="expression" dxfId="606" priority="1318">
      <formula>(Z$1&lt;&gt;"")</formula>
    </cfRule>
    <cfRule type="expression" dxfId="605" priority="1319">
      <formula>(Z$1&lt;&gt;"")</formula>
    </cfRule>
  </conditionalFormatting>
  <conditionalFormatting sqref="Z370">
    <cfRule type="expression" dxfId="604" priority="1317">
      <formula>(Z$1&lt;&gt;"")</formula>
    </cfRule>
  </conditionalFormatting>
  <conditionalFormatting sqref="W369:Y370">
    <cfRule type="expression" dxfId="603" priority="1322">
      <formula>(W$1&lt;&gt;"")</formula>
    </cfRule>
  </conditionalFormatting>
  <conditionalFormatting sqref="W369:Y370 W371:Z372">
    <cfRule type="expression" dxfId="602" priority="1320">
      <formula>(W$1&lt;&gt;"")</formula>
    </cfRule>
  </conditionalFormatting>
  <conditionalFormatting sqref="AA369">
    <cfRule type="expression" dxfId="601" priority="1303">
      <formula>(AA$1&lt;&gt;"")</formula>
    </cfRule>
    <cfRule type="expression" dxfId="600" priority="1304">
      <formula>(AA$1&lt;&gt;"")</formula>
    </cfRule>
  </conditionalFormatting>
  <conditionalFormatting sqref="AA369">
    <cfRule type="expression" dxfId="599" priority="1302">
      <formula>(AA$1&lt;&gt;"")</formula>
    </cfRule>
  </conditionalFormatting>
  <conditionalFormatting sqref="AA370">
    <cfRule type="expression" dxfId="598" priority="1301">
      <formula>(AA$1&lt;&gt;"")</formula>
    </cfRule>
  </conditionalFormatting>
  <conditionalFormatting sqref="AA370">
    <cfRule type="expression" dxfId="597" priority="1300">
      <formula>(AA$1&lt;&gt;"")</formula>
    </cfRule>
  </conditionalFormatting>
  <conditionalFormatting sqref="AA371">
    <cfRule type="expression" dxfId="596" priority="1299">
      <formula>(AA$1&lt;&gt;"")</formula>
    </cfRule>
  </conditionalFormatting>
  <conditionalFormatting sqref="AA371">
    <cfRule type="expression" dxfId="595" priority="1298">
      <formula>(AA$1&lt;&gt;"")</formula>
    </cfRule>
  </conditionalFormatting>
  <conditionalFormatting sqref="AA372">
    <cfRule type="expression" dxfId="594" priority="1296">
      <formula>(AA$1&lt;&gt;"")</formula>
    </cfRule>
    <cfRule type="expression" dxfId="593" priority="1297">
      <formula>(AA$1&lt;&gt;"")</formula>
    </cfRule>
  </conditionalFormatting>
  <conditionalFormatting sqref="AA372">
    <cfRule type="expression" dxfId="592" priority="1295">
      <formula>(AA$1&lt;&gt;"")</formula>
    </cfRule>
  </conditionalFormatting>
  <conditionalFormatting sqref="W374:AA377">
    <cfRule type="expression" dxfId="591" priority="1206">
      <formula>(W$1&lt;&gt;"")</formula>
    </cfRule>
  </conditionalFormatting>
  <conditionalFormatting sqref="W374:Z377">
    <cfRule type="expression" dxfId="590" priority="1205">
      <formula>(W$1&lt;&gt;"")</formula>
    </cfRule>
  </conditionalFormatting>
  <conditionalFormatting sqref="W374:Z374">
    <cfRule type="expression" dxfId="589" priority="1199">
      <formula>(W$1&lt;&gt;"")</formula>
    </cfRule>
  </conditionalFormatting>
  <conditionalFormatting sqref="W374:Z377">
    <cfRule type="expression" dxfId="588" priority="1203">
      <formula>(W$1&lt;&gt;"")</formula>
    </cfRule>
  </conditionalFormatting>
  <conditionalFormatting sqref="W374:Z377">
    <cfRule type="expression" dxfId="587" priority="1200">
      <formula>(W$1&lt;&gt;"")</formula>
    </cfRule>
    <cfRule type="expression" dxfId="586" priority="1201">
      <formula>(W$1&lt;&gt;"")</formula>
    </cfRule>
    <cfRule type="expression" dxfId="585" priority="1202">
      <formula>(W$1&lt;&gt;"")</formula>
    </cfRule>
  </conditionalFormatting>
  <conditionalFormatting sqref="W374:Z374">
    <cfRule type="expression" dxfId="584" priority="1204">
      <formula>(W$1&lt;&gt;"")</formula>
    </cfRule>
  </conditionalFormatting>
  <conditionalFormatting sqref="AA374">
    <cfRule type="expression" dxfId="583" priority="1197">
      <formula>(AA$1&lt;&gt;"")</formula>
    </cfRule>
    <cfRule type="expression" dxfId="582" priority="1198">
      <formula>(AA$1&lt;&gt;"")</formula>
    </cfRule>
  </conditionalFormatting>
  <conditionalFormatting sqref="AA374">
    <cfRule type="expression" dxfId="581" priority="1196">
      <formula>(AA$1&lt;&gt;"")</formula>
    </cfRule>
  </conditionalFormatting>
  <conditionalFormatting sqref="AA374">
    <cfRule type="expression" dxfId="580" priority="1194">
      <formula>(AA$1&lt;&gt;"")</formula>
    </cfRule>
    <cfRule type="expression" dxfId="579" priority="1195">
      <formula>(AA$1&lt;&gt;"")</formula>
    </cfRule>
  </conditionalFormatting>
  <conditionalFormatting sqref="AA375">
    <cfRule type="expression" dxfId="578" priority="1192">
      <formula>(AA$1&lt;&gt;"")</formula>
    </cfRule>
  </conditionalFormatting>
  <conditionalFormatting sqref="AA375">
    <cfRule type="expression" dxfId="577" priority="1193">
      <formula>(AA$1&lt;&gt;"")</formula>
    </cfRule>
  </conditionalFormatting>
  <conditionalFormatting sqref="AA376">
    <cfRule type="expression" dxfId="576" priority="1191">
      <formula>(AA$1&lt;&gt;"")</formula>
    </cfRule>
  </conditionalFormatting>
  <conditionalFormatting sqref="AA377">
    <cfRule type="expression" dxfId="575" priority="1190">
      <formula>(AA$1&lt;&gt;"")</formula>
    </cfRule>
  </conditionalFormatting>
  <conditionalFormatting sqref="W368:AA377">
    <cfRule type="expression" dxfId="574" priority="1189">
      <formula>(W$1&lt;&gt;"")</formula>
    </cfRule>
  </conditionalFormatting>
  <conditionalFormatting sqref="W368:X377 Z368:Z377">
    <cfRule type="expression" dxfId="573" priority="1186">
      <formula>(W$1&lt;&gt;"")</formula>
    </cfRule>
    <cfRule type="expression" dxfId="572" priority="1187">
      <formula>(W$1&lt;&gt;"")</formula>
    </cfRule>
    <cfRule type="expression" dxfId="571" priority="1188">
      <formula>(W$1&lt;&gt;"")</formula>
    </cfRule>
  </conditionalFormatting>
  <conditionalFormatting sqref="Y368:Y377">
    <cfRule type="expression" dxfId="570" priority="1184">
      <formula>(Y$1&lt;&gt;"")</formula>
    </cfRule>
    <cfRule type="expression" dxfId="569" priority="1185">
      <formula>(Y$1&lt;&gt;"")</formula>
    </cfRule>
  </conditionalFormatting>
  <conditionalFormatting sqref="W368:Z377">
    <cfRule type="expression" dxfId="568" priority="1183">
      <formula>(W$1&lt;&gt;"")</formula>
    </cfRule>
  </conditionalFormatting>
  <conditionalFormatting sqref="AA368:AA377">
    <cfRule type="expression" dxfId="567" priority="1181">
      <formula>(AA$1&lt;&gt;"")</formula>
    </cfRule>
    <cfRule type="expression" dxfId="566" priority="1182">
      <formula>(AA$1&lt;&gt;"")</formula>
    </cfRule>
  </conditionalFormatting>
  <conditionalFormatting sqref="AA368:AA377">
    <cfRule type="expression" dxfId="565" priority="1180">
      <formula>(AA$1&lt;&gt;"")</formula>
    </cfRule>
  </conditionalFormatting>
  <conditionalFormatting sqref="W347:Z347">
    <cfRule type="expression" dxfId="564" priority="1052">
      <formula>(W$1&lt;&gt;"")</formula>
    </cfRule>
  </conditionalFormatting>
  <conditionalFormatting sqref="W347:Z347">
    <cfRule type="expression" dxfId="563" priority="1046">
      <formula>(W$1&lt;&gt;"")</formula>
    </cfRule>
  </conditionalFormatting>
  <conditionalFormatting sqref="W347:Z347">
    <cfRule type="expression" dxfId="562" priority="1039">
      <formula>(W$1&lt;&gt;"")</formula>
    </cfRule>
  </conditionalFormatting>
  <conditionalFormatting sqref="W347:Z347">
    <cfRule type="expression" dxfId="561" priority="1044">
      <formula>(W$1&lt;&gt;"")</formula>
    </cfRule>
  </conditionalFormatting>
  <conditionalFormatting sqref="AA349">
    <cfRule type="expression" dxfId="560" priority="1036">
      <formula>(AA$1&lt;&gt;"")</formula>
    </cfRule>
  </conditionalFormatting>
  <conditionalFormatting sqref="W347:Z347">
    <cfRule type="expression" dxfId="559" priority="1035">
      <formula>(W$1&lt;&gt;"")</formula>
    </cfRule>
  </conditionalFormatting>
  <conditionalFormatting sqref="AA347">
    <cfRule type="expression" dxfId="558" priority="1025">
      <formula>(AA$1&lt;&gt;"")</formula>
    </cfRule>
  </conditionalFormatting>
  <conditionalFormatting sqref="W367:AA367">
    <cfRule type="expression" dxfId="557" priority="1023">
      <formula>(W$1&lt;&gt;"")</formula>
    </cfRule>
  </conditionalFormatting>
  <conditionalFormatting sqref="W367:AA367">
    <cfRule type="expression" dxfId="556" priority="1022">
      <formula>(W$1&lt;&gt;"")</formula>
    </cfRule>
  </conditionalFormatting>
  <conditionalFormatting sqref="W367:X367 Z367">
    <cfRule type="expression" dxfId="555" priority="1019">
      <formula>(W$1&lt;&gt;"")</formula>
    </cfRule>
    <cfRule type="expression" dxfId="554" priority="1020">
      <formula>(W$1&lt;&gt;"")</formula>
    </cfRule>
    <cfRule type="expression" dxfId="553" priority="1021">
      <formula>(W$1&lt;&gt;"")</formula>
    </cfRule>
  </conditionalFormatting>
  <conditionalFormatting sqref="Y367">
    <cfRule type="expression" dxfId="552" priority="1017">
      <formula>(Y$1&lt;&gt;"")</formula>
    </cfRule>
    <cfRule type="expression" dxfId="551" priority="1018">
      <formula>(Y$1&lt;&gt;"")</formula>
    </cfRule>
  </conditionalFormatting>
  <conditionalFormatting sqref="W367:Z367">
    <cfRule type="expression" dxfId="550" priority="1016">
      <formula>(W$1&lt;&gt;"")</formula>
    </cfRule>
  </conditionalFormatting>
  <conditionalFormatting sqref="AA367">
    <cfRule type="expression" dxfId="549" priority="1014">
      <formula>(AA$1&lt;&gt;"")</formula>
    </cfRule>
    <cfRule type="expression" dxfId="548" priority="1015">
      <formula>(AA$1&lt;&gt;"")</formula>
    </cfRule>
  </conditionalFormatting>
  <conditionalFormatting sqref="AA367">
    <cfRule type="expression" dxfId="547" priority="1013">
      <formula>(AA$1&lt;&gt;"")</formula>
    </cfRule>
  </conditionalFormatting>
  <conditionalFormatting sqref="W341:Z341 W338:AA340">
    <cfRule type="expression" dxfId="546" priority="1006">
      <formula>(W$1&lt;&gt;"")</formula>
    </cfRule>
  </conditionalFormatting>
  <conditionalFormatting sqref="Z338">
    <cfRule type="expression" dxfId="545" priority="1003">
      <formula>(Z$1&lt;&gt;"")</formula>
    </cfRule>
    <cfRule type="expression" dxfId="544" priority="1004">
      <formula>(Z$1&lt;&gt;"")</formula>
    </cfRule>
    <cfRule type="expression" dxfId="543" priority="1005">
      <formula>(Z$1&lt;&gt;"")</formula>
    </cfRule>
  </conditionalFormatting>
  <conditionalFormatting sqref="W341:Z341 W338:AA340">
    <cfRule type="expression" dxfId="542" priority="1001">
      <formula>(W$1&lt;&gt;"")</formula>
    </cfRule>
    <cfRule type="expression" dxfId="541" priority="1002">
      <formula>(W$1&lt;&gt;"")</formula>
    </cfRule>
  </conditionalFormatting>
  <conditionalFormatting sqref="W338:AA338">
    <cfRule type="expression" dxfId="540" priority="1000">
      <formula>(W$1&lt;&gt;"")</formula>
    </cfRule>
  </conditionalFormatting>
  <conditionalFormatting sqref="Z338">
    <cfRule type="expression" dxfId="539" priority="997">
      <formula>(Z$1&lt;&gt;"")</formula>
    </cfRule>
    <cfRule type="expression" dxfId="538" priority="998">
      <formula>(Z$1&lt;&gt;"")</formula>
    </cfRule>
    <cfRule type="expression" dxfId="537" priority="999">
      <formula>(Z$1&lt;&gt;"")</formula>
    </cfRule>
  </conditionalFormatting>
  <conditionalFormatting sqref="X338:Y338">
    <cfRule type="expression" dxfId="536" priority="995">
      <formula>(X$1&lt;&gt;"")</formula>
    </cfRule>
    <cfRule type="expression" dxfId="535" priority="996">
      <formula>(X$1&lt;&gt;"")</formula>
    </cfRule>
  </conditionalFormatting>
  <conditionalFormatting sqref="W338:Z338">
    <cfRule type="expression" dxfId="534" priority="994">
      <formula>(W$1&lt;&gt;"")</formula>
    </cfRule>
  </conditionalFormatting>
  <conditionalFormatting sqref="Z338">
    <cfRule type="expression" dxfId="533" priority="991">
      <formula>(Z$1&lt;&gt;"")</formula>
    </cfRule>
    <cfRule type="expression" dxfId="532" priority="992">
      <formula>(Z$1&lt;&gt;"")</formula>
    </cfRule>
    <cfRule type="expression" dxfId="531" priority="993">
      <formula>(Z$1&lt;&gt;"")</formula>
    </cfRule>
  </conditionalFormatting>
  <conditionalFormatting sqref="X338:Y338">
    <cfRule type="expression" dxfId="530" priority="989">
      <formula>(X$1&lt;&gt;"")</formula>
    </cfRule>
    <cfRule type="expression" dxfId="529" priority="990">
      <formula>(X$1&lt;&gt;"")</formula>
    </cfRule>
  </conditionalFormatting>
  <conditionalFormatting sqref="W338:Y338">
    <cfRule type="expression" dxfId="528" priority="987">
      <formula>(W$1&lt;&gt;"")</formula>
    </cfRule>
  </conditionalFormatting>
  <conditionalFormatting sqref="Z338">
    <cfRule type="expression" dxfId="527" priority="984">
      <formula>(Z$1&lt;&gt;"")</formula>
    </cfRule>
    <cfRule type="expression" dxfId="526" priority="985">
      <formula>(Z$1&lt;&gt;"")</formula>
    </cfRule>
  </conditionalFormatting>
  <conditionalFormatting sqref="W338:Y338">
    <cfRule type="expression" dxfId="525" priority="988">
      <formula>(W$1&lt;&gt;"")</formula>
    </cfRule>
  </conditionalFormatting>
  <conditionalFormatting sqref="W338:Y338">
    <cfRule type="expression" dxfId="524" priority="986">
      <formula>(W$1&lt;&gt;"")</formula>
    </cfRule>
  </conditionalFormatting>
  <conditionalFormatting sqref="AA338">
    <cfRule type="expression" dxfId="523" priority="982">
      <formula>(AA$1&lt;&gt;"")</formula>
    </cfRule>
  </conditionalFormatting>
  <conditionalFormatting sqref="AA338">
    <cfRule type="expression" dxfId="522" priority="983">
      <formula>(AA$1&lt;&gt;"")</formula>
    </cfRule>
  </conditionalFormatting>
  <conditionalFormatting sqref="Y339:Z341">
    <cfRule type="expression" dxfId="521" priority="981">
      <formula>(Y$1&lt;&gt;"")</formula>
    </cfRule>
  </conditionalFormatting>
  <conditionalFormatting sqref="Z339">
    <cfRule type="expression" dxfId="520" priority="978">
      <formula>(Z$1&lt;&gt;"")</formula>
    </cfRule>
  </conditionalFormatting>
  <conditionalFormatting sqref="Y339">
    <cfRule type="expression" dxfId="519" priority="980">
      <formula>(Y$1&lt;&gt;"")</formula>
    </cfRule>
  </conditionalFormatting>
  <conditionalFormatting sqref="Y339 Y340:Z341">
    <cfRule type="expression" dxfId="518" priority="979">
      <formula>(Y$1&lt;&gt;"")</formula>
    </cfRule>
  </conditionalFormatting>
  <conditionalFormatting sqref="AA339">
    <cfRule type="expression" dxfId="517" priority="977">
      <formula>(AA$1&lt;&gt;"")</formula>
    </cfRule>
  </conditionalFormatting>
  <conditionalFormatting sqref="AA339">
    <cfRule type="expression" dxfId="516" priority="976">
      <formula>(AA$1&lt;&gt;"")</formula>
    </cfRule>
  </conditionalFormatting>
  <conditionalFormatting sqref="AA340">
    <cfRule type="expression" dxfId="515" priority="975">
      <formula>(AA$1&lt;&gt;"")</formula>
    </cfRule>
  </conditionalFormatting>
  <conditionalFormatting sqref="AA340">
    <cfRule type="expression" dxfId="514" priority="974">
      <formula>(AA$1&lt;&gt;"")</formula>
    </cfRule>
  </conditionalFormatting>
  <conditionalFormatting sqref="AA340">
    <cfRule type="expression" dxfId="513" priority="965">
      <formula>(AA$1&lt;&gt;"")</formula>
    </cfRule>
  </conditionalFormatting>
  <conditionalFormatting sqref="AA340">
    <cfRule type="expression" dxfId="512" priority="966">
      <formula>(AA$1&lt;&gt;"")</formula>
    </cfRule>
    <cfRule type="expression" dxfId="511" priority="967">
      <formula>(AA$1&lt;&gt;"")</formula>
    </cfRule>
  </conditionalFormatting>
  <conditionalFormatting sqref="AA340">
    <cfRule type="expression" dxfId="510" priority="968">
      <formula>(AA$1&lt;&gt;"")</formula>
    </cfRule>
    <cfRule type="expression" dxfId="509" priority="969">
      <formula>(AA$1&lt;&gt;"")</formula>
    </cfRule>
    <cfRule type="expression" dxfId="508" priority="970">
      <formula>(AA$1&lt;&gt;"")</formula>
    </cfRule>
    <cfRule type="expression" dxfId="507" priority="971">
      <formula>(AA$1&lt;&gt;"")</formula>
    </cfRule>
    <cfRule type="expression" dxfId="506" priority="972">
      <formula>(AA$1&lt;&gt;"")</formula>
    </cfRule>
    <cfRule type="expression" dxfId="505" priority="973">
      <formula>(AA$1&lt;&gt;"")</formula>
    </cfRule>
  </conditionalFormatting>
  <conditionalFormatting sqref="AA341">
    <cfRule type="expression" dxfId="504" priority="953">
      <formula>(AA$1&lt;&gt;"")</formula>
    </cfRule>
  </conditionalFormatting>
  <conditionalFormatting sqref="AA341">
    <cfRule type="expression" dxfId="503" priority="956">
      <formula>(AA$1&lt;&gt;"")</formula>
    </cfRule>
    <cfRule type="expression" dxfId="502" priority="957">
      <formula>(AA$1&lt;&gt;"")</formula>
    </cfRule>
    <cfRule type="expression" dxfId="501" priority="958">
      <formula>(AA$1&lt;&gt;"")</formula>
    </cfRule>
    <cfRule type="expression" dxfId="500" priority="959">
      <formula>(AA$1&lt;&gt;"")</formula>
    </cfRule>
    <cfRule type="expression" dxfId="499" priority="960">
      <formula>(AA$1&lt;&gt;"")</formula>
    </cfRule>
    <cfRule type="expression" dxfId="498" priority="961">
      <formula>(AA$1&lt;&gt;"")</formula>
    </cfRule>
    <cfRule type="expression" dxfId="497" priority="962">
      <formula>(AA$1&lt;&gt;"")</formula>
    </cfRule>
    <cfRule type="expression" dxfId="496" priority="963">
      <formula>(AA$1&lt;&gt;"")</formula>
    </cfRule>
    <cfRule type="expression" dxfId="495" priority="964">
      <formula>(AA$1&lt;&gt;"")</formula>
    </cfRule>
  </conditionalFormatting>
  <conditionalFormatting sqref="AA341">
    <cfRule type="expression" dxfId="494" priority="954">
      <formula>(AA$1&lt;&gt;"")</formula>
    </cfRule>
    <cfRule type="expression" dxfId="493" priority="955">
      <formula>(AA$1&lt;&gt;"")</formula>
    </cfRule>
  </conditionalFormatting>
  <conditionalFormatting sqref="W336">
    <cfRule type="expression" dxfId="492" priority="950">
      <formula>(W$1&lt;&gt;"")</formula>
    </cfRule>
  </conditionalFormatting>
  <conditionalFormatting sqref="W345:AA350">
    <cfRule type="expression" dxfId="491" priority="949">
      <formula>(W$1&lt;&gt;"")</formula>
    </cfRule>
  </conditionalFormatting>
  <conditionalFormatting sqref="W345:Z350">
    <cfRule type="expression" dxfId="490" priority="940">
      <formula>(W$1&lt;&gt;"")</formula>
    </cfRule>
    <cfRule type="expression" dxfId="489" priority="941">
      <formula>(W$1&lt;&gt;"")</formula>
    </cfRule>
    <cfRule type="expression" dxfId="488" priority="942">
      <formula>(W$1&lt;&gt;"")</formula>
    </cfRule>
  </conditionalFormatting>
  <conditionalFormatting sqref="W345:AA350">
    <cfRule type="expression" dxfId="487" priority="938">
      <formula>(W$1&lt;&gt;"")</formula>
    </cfRule>
    <cfRule type="expression" dxfId="486" priority="939">
      <formula>(W$1&lt;&gt;"")</formula>
    </cfRule>
  </conditionalFormatting>
  <conditionalFormatting sqref="W345:Z350">
    <cfRule type="expression" dxfId="485" priority="943">
      <formula>(W$1&lt;&gt;"")</formula>
    </cfRule>
    <cfRule type="expression" dxfId="484" priority="944">
      <formula>(W$1&lt;&gt;"")</formula>
    </cfRule>
    <cfRule type="expression" dxfId="483" priority="945">
      <formula>(W$1&lt;&gt;"")</formula>
    </cfRule>
    <cfRule type="expression" dxfId="482" priority="946">
      <formula>(W$1&lt;&gt;"")</formula>
    </cfRule>
    <cfRule type="expression" dxfId="481" priority="947">
      <formula>(W$1&lt;&gt;"")</formula>
    </cfRule>
    <cfRule type="expression" dxfId="480" priority="948">
      <formula>(W$1&lt;&gt;"")</formula>
    </cfRule>
  </conditionalFormatting>
  <conditionalFormatting sqref="W351:AA351">
    <cfRule type="expression" dxfId="479" priority="931">
      <formula>(W$1&lt;&gt;"")</formula>
    </cfRule>
  </conditionalFormatting>
  <conditionalFormatting sqref="W351:AA351">
    <cfRule type="expression" dxfId="478" priority="923">
      <formula>(W$1&lt;&gt;"")</formula>
    </cfRule>
    <cfRule type="expression" dxfId="477" priority="924">
      <formula>(W$1&lt;&gt;"")</formula>
    </cfRule>
  </conditionalFormatting>
  <conditionalFormatting sqref="W351:Z351">
    <cfRule type="expression" dxfId="476" priority="925">
      <formula>(W$1&lt;&gt;"")</formula>
    </cfRule>
    <cfRule type="expression" dxfId="475" priority="926">
      <formula>(W$1&lt;&gt;"")</formula>
    </cfRule>
    <cfRule type="expression" dxfId="474" priority="927">
      <formula>(W$1&lt;&gt;"")</formula>
    </cfRule>
    <cfRule type="expression" dxfId="473" priority="928">
      <formula>(W$1&lt;&gt;"")</formula>
    </cfRule>
    <cfRule type="expression" dxfId="472" priority="929">
      <formula>(W$1&lt;&gt;"")</formula>
    </cfRule>
    <cfRule type="expression" dxfId="471" priority="930">
      <formula>(W$1&lt;&gt;"")</formula>
    </cfRule>
  </conditionalFormatting>
  <conditionalFormatting sqref="W259:Z260">
    <cfRule type="expression" dxfId="470" priority="912">
      <formula>(W$1&lt;&gt;"")</formula>
    </cfRule>
  </conditionalFormatting>
  <conditionalFormatting sqref="AA261">
    <cfRule type="expression" dxfId="469" priority="903">
      <formula>(AA$1&lt;&gt;"")</formula>
    </cfRule>
  </conditionalFormatting>
  <conditionalFormatting sqref="AA262">
    <cfRule type="expression" dxfId="468" priority="900">
      <formula>(AA$1&lt;&gt;"")</formula>
    </cfRule>
    <cfRule type="expression" dxfId="467" priority="901">
      <formula>(AA$1&lt;&gt;"")</formula>
    </cfRule>
    <cfRule type="expression" dxfId="466" priority="902">
      <formula>(AA$1&lt;&gt;"")</formula>
    </cfRule>
  </conditionalFormatting>
  <conditionalFormatting sqref="W259:Z259">
    <cfRule type="expression" dxfId="465" priority="899">
      <formula>(W$1&lt;&gt;"")</formula>
    </cfRule>
  </conditionalFormatting>
  <conditionalFormatting sqref="W261:AA262 W259:Z260">
    <cfRule type="expression" dxfId="464" priority="910">
      <formula>(W$1&lt;&gt;"")</formula>
    </cfRule>
  </conditionalFormatting>
  <conditionalFormatting sqref="W259:Z262">
    <cfRule type="expression" dxfId="463" priority="907">
      <formula>(W$1&lt;&gt;"")</formula>
    </cfRule>
    <cfRule type="expression" dxfId="462" priority="908">
      <formula>(W$1&lt;&gt;"")</formula>
    </cfRule>
    <cfRule type="expression" dxfId="461" priority="909">
      <formula>(W$1&lt;&gt;"")</formula>
    </cfRule>
  </conditionalFormatting>
  <conditionalFormatting sqref="W259:Z259">
    <cfRule type="expression" dxfId="460" priority="911">
      <formula>(W$1&lt;&gt;"")</formula>
    </cfRule>
  </conditionalFormatting>
  <conditionalFormatting sqref="AA259">
    <cfRule type="expression" dxfId="459" priority="892">
      <formula>(AA$1&lt;&gt;"")</formula>
    </cfRule>
    <cfRule type="expression" dxfId="458" priority="893">
      <formula>(AA$1&lt;&gt;"")</formula>
    </cfRule>
    <cfRule type="expression" dxfId="457" priority="894">
      <formula>(AA$1&lt;&gt;"")</formula>
    </cfRule>
  </conditionalFormatting>
  <conditionalFormatting sqref="AA259">
    <cfRule type="expression" dxfId="456" priority="891">
      <formula>(AA$1&lt;&gt;"")</formula>
    </cfRule>
  </conditionalFormatting>
  <conditionalFormatting sqref="AA259">
    <cfRule type="expression" dxfId="455" priority="895">
      <formula>(AA$1&lt;&gt;"")</formula>
    </cfRule>
  </conditionalFormatting>
  <conditionalFormatting sqref="AA259">
    <cfRule type="expression" dxfId="454" priority="896">
      <formula>(AA$1&lt;&gt;"")</formula>
    </cfRule>
  </conditionalFormatting>
  <conditionalFormatting sqref="AA260">
    <cfRule type="expression" dxfId="453" priority="890">
      <formula>(AA$1&lt;&gt;"")</formula>
    </cfRule>
  </conditionalFormatting>
  <conditionalFormatting sqref="W330:Z330">
    <cfRule type="expression" dxfId="452" priority="858">
      <formula>(W$1&lt;&gt;"")</formula>
    </cfRule>
    <cfRule type="expression" dxfId="451" priority="859">
      <formula>(W$1&lt;&gt;"")</formula>
    </cfRule>
  </conditionalFormatting>
  <conditionalFormatting sqref="W331:AA331 W334:AA334 W333:Z333 W332 Y332:AA332">
    <cfRule type="expression" dxfId="450" priority="860">
      <formula>(W$1&lt;&gt;"")</formula>
    </cfRule>
    <cfRule type="expression" dxfId="449" priority="861">
      <formula>(W$1&lt;&gt;"")</formula>
    </cfRule>
  </conditionalFormatting>
  <conditionalFormatting sqref="AA330">
    <cfRule type="expression" dxfId="448" priority="856">
      <formula>(AA$1&lt;&gt;"")</formula>
    </cfRule>
    <cfRule type="expression" dxfId="447" priority="857">
      <formula>(AA$1&lt;&gt;"")</formula>
    </cfRule>
  </conditionalFormatting>
  <conditionalFormatting sqref="AA333">
    <cfRule type="expression" dxfId="446" priority="854">
      <formula>(AA$1&lt;&gt;"")</formula>
    </cfRule>
    <cfRule type="expression" dxfId="445" priority="855">
      <formula>(AA$1&lt;&gt;"")</formula>
    </cfRule>
  </conditionalFormatting>
  <conditionalFormatting sqref="AA333">
    <cfRule type="expression" dxfId="444" priority="853">
      <formula>(AA$1&lt;&gt;"")</formula>
    </cfRule>
  </conditionalFormatting>
  <conditionalFormatting sqref="X332">
    <cfRule type="expression" dxfId="443" priority="852">
      <formula>(X$1&lt;&gt;"")</formula>
    </cfRule>
  </conditionalFormatting>
  <conditionalFormatting sqref="X332">
    <cfRule type="expression" dxfId="442" priority="849">
      <formula>(X$1&lt;&gt;"")</formula>
    </cfRule>
    <cfRule type="expression" dxfId="441" priority="850">
      <formula>(X$1&lt;&gt;"")</formula>
    </cfRule>
    <cfRule type="expression" dxfId="440" priority="851">
      <formula>(X$1&lt;&gt;"")</formula>
    </cfRule>
  </conditionalFormatting>
  <conditionalFormatting sqref="X332">
    <cfRule type="expression" dxfId="439" priority="847">
      <formula>(X$1&lt;&gt;"")</formula>
    </cfRule>
    <cfRule type="expression" dxfId="438" priority="848">
      <formula>(X$1&lt;&gt;"")</formula>
    </cfRule>
  </conditionalFormatting>
  <conditionalFormatting sqref="X332">
    <cfRule type="expression" dxfId="437" priority="846">
      <formula>(X$1&lt;&gt;"")</formula>
    </cfRule>
  </conditionalFormatting>
  <conditionalFormatting sqref="X332">
    <cfRule type="expression" dxfId="436" priority="845">
      <formula>(X$1&lt;&gt;"")</formula>
    </cfRule>
  </conditionalFormatting>
  <conditionalFormatting sqref="X332">
    <cfRule type="expression" dxfId="435" priority="844">
      <formula>(X$1&lt;&gt;"")</formula>
    </cfRule>
  </conditionalFormatting>
  <conditionalFormatting sqref="X332">
    <cfRule type="expression" dxfId="434" priority="841">
      <formula>(X$1&lt;&gt;"")</formula>
    </cfRule>
    <cfRule type="expression" dxfId="433" priority="842">
      <formula>(X$1&lt;&gt;"")</formula>
    </cfRule>
    <cfRule type="expression" dxfId="432" priority="843">
      <formula>(X$1&lt;&gt;"")</formula>
    </cfRule>
  </conditionalFormatting>
  <conditionalFormatting sqref="X332">
    <cfRule type="expression" dxfId="431" priority="840">
      <formula>(X$1&lt;&gt;"")</formula>
    </cfRule>
  </conditionalFormatting>
  <conditionalFormatting sqref="AA257">
    <cfRule type="expression" dxfId="430" priority="837">
      <formula>(AA$1&lt;&gt;"")</formula>
    </cfRule>
  </conditionalFormatting>
  <conditionalFormatting sqref="W329:AA329">
    <cfRule type="expression" dxfId="429" priority="832">
      <formula>(W$1&lt;&gt;"")</formula>
    </cfRule>
  </conditionalFormatting>
  <conditionalFormatting sqref="W329:AA329">
    <cfRule type="expression" dxfId="428" priority="831">
      <formula>(W$1&lt;&gt;"")</formula>
    </cfRule>
  </conditionalFormatting>
  <conditionalFormatting sqref="Z329 W329:X329">
    <cfRule type="expression" dxfId="427" priority="828">
      <formula>(W$1&lt;&gt;"")</formula>
    </cfRule>
    <cfRule type="expression" dxfId="426" priority="829">
      <formula>(W$1&lt;&gt;"")</formula>
    </cfRule>
    <cfRule type="expression" dxfId="425" priority="830">
      <formula>(W$1&lt;&gt;"")</formula>
    </cfRule>
  </conditionalFormatting>
  <conditionalFormatting sqref="X329:Z329">
    <cfRule type="expression" dxfId="424" priority="826">
      <formula>(X$1&lt;&gt;"")</formula>
    </cfRule>
    <cfRule type="expression" dxfId="423" priority="827">
      <formula>(X$1&lt;&gt;"")</formula>
    </cfRule>
  </conditionalFormatting>
  <conditionalFormatting sqref="W329:X329 Z329">
    <cfRule type="expression" dxfId="422" priority="823">
      <formula>(W$1&lt;&gt;"")</formula>
    </cfRule>
    <cfRule type="expression" dxfId="421" priority="824">
      <formula>(W$1&lt;&gt;"")</formula>
    </cfRule>
    <cfRule type="expression" dxfId="420" priority="825">
      <formula>(W$1&lt;&gt;"")</formula>
    </cfRule>
  </conditionalFormatting>
  <conditionalFormatting sqref="X329:Y329">
    <cfRule type="expression" dxfId="419" priority="821">
      <formula>(X$1&lt;&gt;"")</formula>
    </cfRule>
    <cfRule type="expression" dxfId="418" priority="822">
      <formula>(X$1&lt;&gt;"")</formula>
    </cfRule>
  </conditionalFormatting>
  <conditionalFormatting sqref="Z329">
    <cfRule type="expression" dxfId="417" priority="818">
      <formula>(Z$1&lt;&gt;"")</formula>
    </cfRule>
  </conditionalFormatting>
  <conditionalFormatting sqref="W329:Y329">
    <cfRule type="expression" dxfId="416" priority="820">
      <formula>(W$1&lt;&gt;"")</formula>
    </cfRule>
  </conditionalFormatting>
  <conditionalFormatting sqref="W329:Y329">
    <cfRule type="expression" dxfId="415" priority="819">
      <formula>(W$1&lt;&gt;"")</formula>
    </cfRule>
  </conditionalFormatting>
  <conditionalFormatting sqref="AA329">
    <cfRule type="expression" dxfId="414" priority="815">
      <formula>(AA$1&lt;&gt;"")</formula>
    </cfRule>
    <cfRule type="expression" dxfId="413" priority="816">
      <formula>(AA$1&lt;&gt;"")</formula>
    </cfRule>
  </conditionalFormatting>
  <conditionalFormatting sqref="AA329">
    <cfRule type="expression" dxfId="412" priority="813">
      <formula>(AA$1&lt;&gt;"")</formula>
    </cfRule>
    <cfRule type="expression" dxfId="411" priority="814">
      <formula>(AA$1&lt;&gt;"")</formula>
    </cfRule>
    <cfRule type="expression" dxfId="410" priority="817">
      <formula>(AA$1&lt;&gt;"")</formula>
    </cfRule>
  </conditionalFormatting>
  <conditionalFormatting sqref="W234:AA251">
    <cfRule type="expression" dxfId="409" priority="799">
      <formula>(W$1&lt;&gt;"")</formula>
    </cfRule>
  </conditionalFormatting>
  <conditionalFormatting sqref="W255:AA255">
    <cfRule type="expression" dxfId="408" priority="779">
      <formula>(W$1&lt;&gt;"")</formula>
    </cfRule>
  </conditionalFormatting>
  <conditionalFormatting sqref="W165:AA233">
    <cfRule type="expression" dxfId="407" priority="770">
      <formula>(W$1&lt;&gt;"")</formula>
    </cfRule>
  </conditionalFormatting>
  <conditionalFormatting sqref="W165:X165 Z165">
    <cfRule type="expression" dxfId="406" priority="763">
      <formula>(W$1&lt;&gt;"")</formula>
    </cfRule>
    <cfRule type="expression" dxfId="405" priority="764">
      <formula>(W$1&lt;&gt;"")</formula>
    </cfRule>
    <cfRule type="expression" dxfId="404" priority="765">
      <formula>(W$1&lt;&gt;"")</formula>
    </cfRule>
  </conditionalFormatting>
  <conditionalFormatting sqref="W165:Z165">
    <cfRule type="expression" dxfId="403" priority="761">
      <formula>(W$1&lt;&gt;"")</formula>
    </cfRule>
    <cfRule type="expression" dxfId="402" priority="762">
      <formula>(W$1&lt;&gt;"")</formula>
    </cfRule>
  </conditionalFormatting>
  <conditionalFormatting sqref="W165:Z165">
    <cfRule type="expression" dxfId="401" priority="766">
      <formula>(W$1&lt;&gt;"")</formula>
    </cfRule>
    <cfRule type="expression" dxfId="400" priority="767">
      <formula>(W$1&lt;&gt;"")</formula>
    </cfRule>
    <cfRule type="expression" dxfId="399" priority="768">
      <formula>(W$1&lt;&gt;"")</formula>
    </cfRule>
    <cfRule type="expression" dxfId="398" priority="769">
      <formula>(W$1&lt;&gt;"")</formula>
    </cfRule>
  </conditionalFormatting>
  <conditionalFormatting sqref="A165:A251 A1 A255:A1048576">
    <cfRule type="duplicateValues" dxfId="397" priority="760"/>
  </conditionalFormatting>
  <conditionalFormatting sqref="A255:A1048576 A1 A163:A251">
    <cfRule type="duplicateValues" dxfId="396" priority="749"/>
  </conditionalFormatting>
  <conditionalFormatting sqref="A163:A164">
    <cfRule type="duplicateValues" dxfId="395" priority="2115"/>
  </conditionalFormatting>
  <conditionalFormatting sqref="A34">
    <cfRule type="duplicateValues" dxfId="394" priority="742"/>
  </conditionalFormatting>
  <conditionalFormatting sqref="X35:Z37">
    <cfRule type="expression" dxfId="393" priority="734">
      <formula>(X$1&lt;&gt;"")</formula>
    </cfRule>
  </conditionalFormatting>
  <conditionalFormatting sqref="X35:Z37">
    <cfRule type="expression" dxfId="392" priority="733">
      <formula>(X$1&lt;&gt;"")</formula>
    </cfRule>
  </conditionalFormatting>
  <conditionalFormatting sqref="A35:A37">
    <cfRule type="duplicateValues" dxfId="391" priority="732"/>
  </conditionalFormatting>
  <conditionalFormatting sqref="A35:A37">
    <cfRule type="duplicateValues" dxfId="390" priority="735"/>
  </conditionalFormatting>
  <conditionalFormatting sqref="AA35:AA37">
    <cfRule type="expression" dxfId="389" priority="731">
      <formula>(AA$1&lt;&gt;"")</formula>
    </cfRule>
  </conditionalFormatting>
  <conditionalFormatting sqref="W252:AA253">
    <cfRule type="expression" dxfId="388" priority="730">
      <formula>(W$1&lt;&gt;"")</formula>
    </cfRule>
  </conditionalFormatting>
  <conditionalFormatting sqref="W254:AA254">
    <cfRule type="expression" dxfId="387" priority="723">
      <formula>(W$1&lt;&gt;"")</formula>
    </cfRule>
  </conditionalFormatting>
  <conditionalFormatting sqref="W254:Z254">
    <cfRule type="expression" dxfId="386" priority="727">
      <formula>(W$1&lt;&gt;"")</formula>
    </cfRule>
    <cfRule type="expression" dxfId="385" priority="728">
      <formula>(W$1&lt;&gt;"")</formula>
    </cfRule>
    <cfRule type="expression" dxfId="384" priority="729">
      <formula>(W$1&lt;&gt;"")</formula>
    </cfRule>
  </conditionalFormatting>
  <conditionalFormatting sqref="AA254">
    <cfRule type="expression" dxfId="383" priority="726">
      <formula>(AA$1&lt;&gt;"")</formula>
    </cfRule>
  </conditionalFormatting>
  <conditionalFormatting sqref="X254">
    <cfRule type="expression" dxfId="382" priority="724">
      <formula>(X$1&lt;&gt;"")</formula>
    </cfRule>
    <cfRule type="expression" dxfId="381" priority="725">
      <formula>(X$1&lt;&gt;"")</formula>
    </cfRule>
  </conditionalFormatting>
  <conditionalFormatting sqref="W156:Z156 W153:AA155 W154:W158">
    <cfRule type="expression" dxfId="380" priority="642">
      <formula>(W$1&lt;&gt;"")</formula>
    </cfRule>
  </conditionalFormatting>
  <conditionalFormatting sqref="Z153">
    <cfRule type="expression" dxfId="379" priority="639">
      <formula>(Z$1&lt;&gt;"")</formula>
    </cfRule>
    <cfRule type="expression" dxfId="378" priority="640">
      <formula>(Z$1&lt;&gt;"")</formula>
    </cfRule>
    <cfRule type="expression" dxfId="377" priority="641">
      <formula>(Z$1&lt;&gt;"")</formula>
    </cfRule>
  </conditionalFormatting>
  <conditionalFormatting sqref="W156:Z156 W153:AA155 W154:W158">
    <cfRule type="expression" dxfId="376" priority="637">
      <formula>(W$1&lt;&gt;"")</formula>
    </cfRule>
    <cfRule type="expression" dxfId="375" priority="638">
      <formula>(W$1&lt;&gt;"")</formula>
    </cfRule>
  </conditionalFormatting>
  <conditionalFormatting sqref="W153:AA153 W154:W158">
    <cfRule type="expression" dxfId="374" priority="636">
      <formula>(W$1&lt;&gt;"")</formula>
    </cfRule>
  </conditionalFormatting>
  <conditionalFormatting sqref="Z153">
    <cfRule type="expression" dxfId="373" priority="633">
      <formula>(Z$1&lt;&gt;"")</formula>
    </cfRule>
    <cfRule type="expression" dxfId="372" priority="634">
      <formula>(Z$1&lt;&gt;"")</formula>
    </cfRule>
    <cfRule type="expression" dxfId="371" priority="635">
      <formula>(Z$1&lt;&gt;"")</formula>
    </cfRule>
  </conditionalFormatting>
  <conditionalFormatting sqref="X153:Y153">
    <cfRule type="expression" dxfId="370" priority="631">
      <formula>(X$1&lt;&gt;"")</formula>
    </cfRule>
    <cfRule type="expression" dxfId="369" priority="632">
      <formula>(X$1&lt;&gt;"")</formula>
    </cfRule>
  </conditionalFormatting>
  <conditionalFormatting sqref="W153:Z153 W154:W158">
    <cfRule type="expression" dxfId="368" priority="630">
      <formula>(W$1&lt;&gt;"")</formula>
    </cfRule>
  </conditionalFormatting>
  <conditionalFormatting sqref="Z153">
    <cfRule type="expression" dxfId="367" priority="627">
      <formula>(Z$1&lt;&gt;"")</formula>
    </cfRule>
    <cfRule type="expression" dxfId="366" priority="628">
      <formula>(Z$1&lt;&gt;"")</formula>
    </cfRule>
    <cfRule type="expression" dxfId="365" priority="629">
      <formula>(Z$1&lt;&gt;"")</formula>
    </cfRule>
  </conditionalFormatting>
  <conditionalFormatting sqref="X153:Y153">
    <cfRule type="expression" dxfId="364" priority="625">
      <formula>(X$1&lt;&gt;"")</formula>
    </cfRule>
    <cfRule type="expression" dxfId="363" priority="626">
      <formula>(X$1&lt;&gt;"")</formula>
    </cfRule>
  </conditionalFormatting>
  <conditionalFormatting sqref="W153:Y153 W154:W158">
    <cfRule type="expression" dxfId="362" priority="623">
      <formula>(W$1&lt;&gt;"")</formula>
    </cfRule>
  </conditionalFormatting>
  <conditionalFormatting sqref="Z153">
    <cfRule type="expression" dxfId="361" priority="620">
      <formula>(Z$1&lt;&gt;"")</formula>
    </cfRule>
    <cfRule type="expression" dxfId="360" priority="621">
      <formula>(Z$1&lt;&gt;"")</formula>
    </cfRule>
  </conditionalFormatting>
  <conditionalFormatting sqref="W153:Y153 W154:W158">
    <cfRule type="expression" dxfId="359" priority="624">
      <formula>(W$1&lt;&gt;"")</formula>
    </cfRule>
  </conditionalFormatting>
  <conditionalFormatting sqref="W153:Y153 W154:W158">
    <cfRule type="expression" dxfId="358" priority="622">
      <formula>(W$1&lt;&gt;"")</formula>
    </cfRule>
  </conditionalFormatting>
  <conditionalFormatting sqref="AA153">
    <cfRule type="expression" dxfId="357" priority="618">
      <formula>(AA$1&lt;&gt;"")</formula>
    </cfRule>
  </conditionalFormatting>
  <conditionalFormatting sqref="AA153">
    <cfRule type="expression" dxfId="356" priority="619">
      <formula>(AA$1&lt;&gt;"")</formula>
    </cfRule>
  </conditionalFormatting>
  <conditionalFormatting sqref="Y154:Z156">
    <cfRule type="expression" dxfId="355" priority="617">
      <formula>(Y$1&lt;&gt;"")</formula>
    </cfRule>
  </conditionalFormatting>
  <conditionalFormatting sqref="Z154">
    <cfRule type="expression" dxfId="354" priority="614">
      <formula>(Z$1&lt;&gt;"")</formula>
    </cfRule>
  </conditionalFormatting>
  <conditionalFormatting sqref="Y154">
    <cfRule type="expression" dxfId="353" priority="616">
      <formula>(Y$1&lt;&gt;"")</formula>
    </cfRule>
  </conditionalFormatting>
  <conditionalFormatting sqref="Y154 Y155:Z156">
    <cfRule type="expression" dxfId="352" priority="615">
      <formula>(Y$1&lt;&gt;"")</formula>
    </cfRule>
  </conditionalFormatting>
  <conditionalFormatting sqref="AA154">
    <cfRule type="expression" dxfId="351" priority="613">
      <formula>(AA$1&lt;&gt;"")</formula>
    </cfRule>
  </conditionalFormatting>
  <conditionalFormatting sqref="AA154">
    <cfRule type="expression" dxfId="350" priority="612">
      <formula>(AA$1&lt;&gt;"")</formula>
    </cfRule>
  </conditionalFormatting>
  <conditionalFormatting sqref="AA155">
    <cfRule type="expression" dxfId="349" priority="611">
      <formula>(AA$1&lt;&gt;"")</formula>
    </cfRule>
  </conditionalFormatting>
  <conditionalFormatting sqref="AA155">
    <cfRule type="expression" dxfId="348" priority="610">
      <formula>(AA$1&lt;&gt;"")</formula>
    </cfRule>
  </conditionalFormatting>
  <conditionalFormatting sqref="AA155">
    <cfRule type="expression" dxfId="347" priority="601">
      <formula>(AA$1&lt;&gt;"")</formula>
    </cfRule>
  </conditionalFormatting>
  <conditionalFormatting sqref="AA155">
    <cfRule type="expression" dxfId="346" priority="602">
      <formula>(AA$1&lt;&gt;"")</formula>
    </cfRule>
    <cfRule type="expression" dxfId="345" priority="603">
      <formula>(AA$1&lt;&gt;"")</formula>
    </cfRule>
  </conditionalFormatting>
  <conditionalFormatting sqref="AA155">
    <cfRule type="expression" dxfId="344" priority="604">
      <formula>(AA$1&lt;&gt;"")</formula>
    </cfRule>
    <cfRule type="expression" dxfId="343" priority="605">
      <formula>(AA$1&lt;&gt;"")</formula>
    </cfRule>
    <cfRule type="expression" dxfId="342" priority="606">
      <formula>(AA$1&lt;&gt;"")</formula>
    </cfRule>
    <cfRule type="expression" dxfId="341" priority="607">
      <formula>(AA$1&lt;&gt;"")</formula>
    </cfRule>
    <cfRule type="expression" dxfId="340" priority="608">
      <formula>(AA$1&lt;&gt;"")</formula>
    </cfRule>
    <cfRule type="expression" dxfId="339" priority="609">
      <formula>(AA$1&lt;&gt;"")</formula>
    </cfRule>
  </conditionalFormatting>
  <conditionalFormatting sqref="AA156">
    <cfRule type="expression" dxfId="338" priority="589">
      <formula>(AA$1&lt;&gt;"")</formula>
    </cfRule>
  </conditionalFormatting>
  <conditionalFormatting sqref="AA156">
    <cfRule type="expression" dxfId="337" priority="592">
      <formula>(AA$1&lt;&gt;"")</formula>
    </cfRule>
    <cfRule type="expression" dxfId="336" priority="593">
      <formula>(AA$1&lt;&gt;"")</formula>
    </cfRule>
    <cfRule type="expression" dxfId="335" priority="594">
      <formula>(AA$1&lt;&gt;"")</formula>
    </cfRule>
    <cfRule type="expression" dxfId="334" priority="595">
      <formula>(AA$1&lt;&gt;"")</formula>
    </cfRule>
    <cfRule type="expression" dxfId="333" priority="596">
      <formula>(AA$1&lt;&gt;"")</formula>
    </cfRule>
    <cfRule type="expression" dxfId="332" priority="597">
      <formula>(AA$1&lt;&gt;"")</formula>
    </cfRule>
    <cfRule type="expression" dxfId="331" priority="598">
      <formula>(AA$1&lt;&gt;"")</formula>
    </cfRule>
    <cfRule type="expression" dxfId="330" priority="599">
      <formula>(AA$1&lt;&gt;"")</formula>
    </cfRule>
    <cfRule type="expression" dxfId="329" priority="600">
      <formula>(AA$1&lt;&gt;"")</formula>
    </cfRule>
  </conditionalFormatting>
  <conditionalFormatting sqref="AA156">
    <cfRule type="expression" dxfId="328" priority="590">
      <formula>(AA$1&lt;&gt;"")</formula>
    </cfRule>
    <cfRule type="expression" dxfId="327" priority="591">
      <formula>(AA$1&lt;&gt;"")</formula>
    </cfRule>
  </conditionalFormatting>
  <conditionalFormatting sqref="W153:AA158">
    <cfRule type="expression" dxfId="326" priority="654">
      <formula>(W$1&lt;&gt;"")</formula>
    </cfRule>
  </conditionalFormatting>
  <conditionalFormatting sqref="Y154:Z158 Z153 W153:X158">
    <cfRule type="expression" dxfId="325" priority="645">
      <formula>(W$1&lt;&gt;"")</formula>
    </cfRule>
    <cfRule type="expression" dxfId="324" priority="646">
      <formula>(W$1&lt;&gt;"")</formula>
    </cfRule>
    <cfRule type="expression" dxfId="323" priority="647">
      <formula>(W$1&lt;&gt;"")</formula>
    </cfRule>
  </conditionalFormatting>
  <conditionalFormatting sqref="W153:AA158">
    <cfRule type="expression" dxfId="322" priority="643">
      <formula>(W$1&lt;&gt;"")</formula>
    </cfRule>
    <cfRule type="expression" dxfId="321" priority="644">
      <formula>(W$1&lt;&gt;"")</formula>
    </cfRule>
  </conditionalFormatting>
  <conditionalFormatting sqref="W153:Z158">
    <cfRule type="expression" dxfId="320" priority="648">
      <formula>(W$1&lt;&gt;"")</formula>
    </cfRule>
    <cfRule type="expression" dxfId="319" priority="649">
      <formula>(W$1&lt;&gt;"")</formula>
    </cfRule>
    <cfRule type="expression" dxfId="318" priority="650">
      <formula>(W$1&lt;&gt;"")</formula>
    </cfRule>
    <cfRule type="expression" dxfId="317" priority="651">
      <formula>(W$1&lt;&gt;"")</formula>
    </cfRule>
    <cfRule type="expression" dxfId="316" priority="652">
      <formula>(W$1&lt;&gt;"")</formula>
    </cfRule>
    <cfRule type="expression" dxfId="315" priority="653">
      <formula>(W$1&lt;&gt;"")</formula>
    </cfRule>
  </conditionalFormatting>
  <conditionalFormatting sqref="A153:A158">
    <cfRule type="duplicateValues" dxfId="314" priority="588"/>
  </conditionalFormatting>
  <conditionalFormatting sqref="A153:A158">
    <cfRule type="duplicateValues" dxfId="313" priority="587"/>
  </conditionalFormatting>
  <conditionalFormatting sqref="AA38:AA39">
    <cfRule type="expression" dxfId="312" priority="502">
      <formula>(AA$1&lt;&gt;"")</formula>
    </cfRule>
  </conditionalFormatting>
  <conditionalFormatting sqref="AA38:AA39">
    <cfRule type="expression" dxfId="311" priority="493">
      <formula>(AA$1&lt;&gt;"")</formula>
    </cfRule>
    <cfRule type="expression" dxfId="310" priority="494">
      <formula>(AA$1&lt;&gt;"")</formula>
    </cfRule>
    <cfRule type="expression" dxfId="309" priority="495">
      <formula>(AA$1&lt;&gt;"")</formula>
    </cfRule>
  </conditionalFormatting>
  <conditionalFormatting sqref="AA38:AA39">
    <cfRule type="expression" dxfId="308" priority="491">
      <formula>(AA$1&lt;&gt;"")</formula>
    </cfRule>
    <cfRule type="expression" dxfId="307" priority="492">
      <formula>(AA$1&lt;&gt;"")</formula>
    </cfRule>
  </conditionalFormatting>
  <conditionalFormatting sqref="AA38:AA39">
    <cfRule type="expression" dxfId="306" priority="496">
      <formula>(AA$1&lt;&gt;"")</formula>
    </cfRule>
    <cfRule type="expression" dxfId="305" priority="497">
      <formula>(AA$1&lt;&gt;"")</formula>
    </cfRule>
    <cfRule type="expression" dxfId="304" priority="498">
      <formula>(AA$1&lt;&gt;"")</formula>
    </cfRule>
    <cfRule type="expression" dxfId="303" priority="499">
      <formula>(AA$1&lt;&gt;"")</formula>
    </cfRule>
    <cfRule type="expression" dxfId="302" priority="500">
      <formula>(AA$1&lt;&gt;"")</formula>
    </cfRule>
    <cfRule type="expression" dxfId="301" priority="501">
      <formula>(AA$1&lt;&gt;"")</formula>
    </cfRule>
  </conditionalFormatting>
  <conditionalFormatting sqref="A38:A39">
    <cfRule type="duplicateValues" dxfId="300" priority="2120"/>
  </conditionalFormatting>
  <conditionalFormatting sqref="W32:Z33">
    <cfRule type="expression" dxfId="299" priority="487">
      <formula>(W$1&lt;&gt;"")</formula>
    </cfRule>
    <cfRule type="expression" dxfId="298" priority="488">
      <formula>(W$1&lt;&gt;"")</formula>
    </cfRule>
  </conditionalFormatting>
  <conditionalFormatting sqref="W32:W33">
    <cfRule type="expression" dxfId="297" priority="484">
      <formula>(W$1&lt;&gt;"")</formula>
    </cfRule>
    <cfRule type="expression" dxfId="296" priority="485">
      <formula>(W$1&lt;&gt;"")</formula>
    </cfRule>
  </conditionalFormatting>
  <conditionalFormatting sqref="X32:X33">
    <cfRule type="expression" dxfId="295" priority="486">
      <formula>(X$1&lt;&gt;"")</formula>
    </cfRule>
  </conditionalFormatting>
  <conditionalFormatting sqref="W146:Z146">
    <cfRule type="expression" dxfId="294" priority="483">
      <formula>(W$1&lt;&gt;"")</formula>
    </cfRule>
  </conditionalFormatting>
  <conditionalFormatting sqref="W147:Z147">
    <cfRule type="expression" dxfId="293" priority="482">
      <formula>(W$1&lt;&gt;"")</formula>
    </cfRule>
  </conditionalFormatting>
  <conditionalFormatting sqref="AA32:AA33">
    <cfRule type="expression" dxfId="292" priority="468">
      <formula>(AA$1&lt;&gt;"")</formula>
    </cfRule>
  </conditionalFormatting>
  <conditionalFormatting sqref="AA32:AA33">
    <cfRule type="expression" dxfId="291" priority="465">
      <formula>(AA$1&lt;&gt;"")</formula>
    </cfRule>
    <cfRule type="expression" dxfId="290" priority="466">
      <formula>(AA$1&lt;&gt;"")</formula>
    </cfRule>
    <cfRule type="expression" dxfId="289" priority="467">
      <formula>(AA$1&lt;&gt;"")</formula>
    </cfRule>
  </conditionalFormatting>
  <conditionalFormatting sqref="AA32:AA33">
    <cfRule type="expression" dxfId="288" priority="463">
      <formula>(AA$1&lt;&gt;"")</formula>
    </cfRule>
    <cfRule type="expression" dxfId="287" priority="464">
      <formula>(AA$1&lt;&gt;"")</formula>
    </cfRule>
  </conditionalFormatting>
  <conditionalFormatting sqref="AA32:AA33">
    <cfRule type="expression" dxfId="286" priority="458">
      <formula>(AA$1&lt;&gt;"")</formula>
    </cfRule>
    <cfRule type="expression" dxfId="285" priority="459">
      <formula>(AA$1&lt;&gt;"")</formula>
    </cfRule>
    <cfRule type="expression" dxfId="284" priority="460">
      <formula>(AA$1&lt;&gt;"")</formula>
    </cfRule>
  </conditionalFormatting>
  <conditionalFormatting sqref="AA32:AA33">
    <cfRule type="expression" dxfId="283" priority="457">
      <formula>(AA$1&lt;&gt;"")</formula>
    </cfRule>
  </conditionalFormatting>
  <conditionalFormatting sqref="AA32:AA33">
    <cfRule type="expression" dxfId="282" priority="461">
      <formula>(AA$1&lt;&gt;"")</formula>
    </cfRule>
  </conditionalFormatting>
  <conditionalFormatting sqref="AA32:AA33">
    <cfRule type="expression" dxfId="281" priority="462">
      <formula>(AA$1&lt;&gt;"")</formula>
    </cfRule>
  </conditionalFormatting>
  <conditionalFormatting sqref="AA146">
    <cfRule type="expression" dxfId="280" priority="448">
      <formula>(AA$1&lt;&gt;"")</formula>
    </cfRule>
  </conditionalFormatting>
  <conditionalFormatting sqref="AA146">
    <cfRule type="expression" dxfId="279" priority="445">
      <formula>(AA$1&lt;&gt;"")</formula>
    </cfRule>
    <cfRule type="expression" dxfId="278" priority="446">
      <formula>(AA$1&lt;&gt;"")</formula>
    </cfRule>
    <cfRule type="expression" dxfId="277" priority="447">
      <formula>(AA$1&lt;&gt;"")</formula>
    </cfRule>
  </conditionalFormatting>
  <conditionalFormatting sqref="AA146">
    <cfRule type="expression" dxfId="276" priority="443">
      <formula>(AA$1&lt;&gt;"")</formula>
    </cfRule>
    <cfRule type="expression" dxfId="275" priority="444">
      <formula>(AA$1&lt;&gt;"")</formula>
    </cfRule>
  </conditionalFormatting>
  <conditionalFormatting sqref="AA146">
    <cfRule type="expression" dxfId="274" priority="442">
      <formula>(AA$1&lt;&gt;"")</formula>
    </cfRule>
  </conditionalFormatting>
  <conditionalFormatting sqref="AA147">
    <cfRule type="expression" dxfId="273" priority="434">
      <formula>(AA$1&lt;&gt;"")</formula>
    </cfRule>
  </conditionalFormatting>
  <conditionalFormatting sqref="AA147">
    <cfRule type="expression" dxfId="272" priority="432">
      <formula>(AA$1&lt;&gt;"")</formula>
    </cfRule>
    <cfRule type="expression" dxfId="271" priority="433">
      <formula>(AA$1&lt;&gt;"")</formula>
    </cfRule>
  </conditionalFormatting>
  <conditionalFormatting sqref="AA148:AA149">
    <cfRule type="expression" dxfId="270" priority="431">
      <formula>(AA$1&lt;&gt;"")</formula>
    </cfRule>
  </conditionalFormatting>
  <conditionalFormatting sqref="AA148:AA149">
    <cfRule type="expression" dxfId="269" priority="428">
      <formula>(AA$1&lt;&gt;"")</formula>
    </cfRule>
    <cfRule type="expression" dxfId="268" priority="429">
      <formula>(AA$1&lt;&gt;"")</formula>
    </cfRule>
    <cfRule type="expression" dxfId="267" priority="430">
      <formula>(AA$1&lt;&gt;"")</formula>
    </cfRule>
  </conditionalFormatting>
  <conditionalFormatting sqref="AA148:AA149">
    <cfRule type="expression" dxfId="266" priority="426">
      <formula>(AA$1&lt;&gt;"")</formula>
    </cfRule>
    <cfRule type="expression" dxfId="265" priority="427">
      <formula>(AA$1&lt;&gt;"")</formula>
    </cfRule>
  </conditionalFormatting>
  <conditionalFormatting sqref="AA148:AA149">
    <cfRule type="expression" dxfId="264" priority="422">
      <formula>(AA$1&lt;&gt;"")</formula>
    </cfRule>
    <cfRule type="expression" dxfId="263" priority="423">
      <formula>(AA$1&lt;&gt;"")</formula>
    </cfRule>
    <cfRule type="expression" dxfId="262" priority="424">
      <formula>(AA$1&lt;&gt;"")</formula>
    </cfRule>
  </conditionalFormatting>
  <conditionalFormatting sqref="AA148:AA149">
    <cfRule type="expression" dxfId="261" priority="425">
      <formula>(AA$1&lt;&gt;"")</formula>
    </cfRule>
  </conditionalFormatting>
  <conditionalFormatting sqref="W162:AA162">
    <cfRule type="expression" dxfId="260" priority="411">
      <formula>(W$1&lt;&gt;"")</formula>
    </cfRule>
  </conditionalFormatting>
  <conditionalFormatting sqref="AA162">
    <cfRule type="expression" dxfId="259" priority="398">
      <formula>(AA$1&lt;&gt;"")</formula>
    </cfRule>
  </conditionalFormatting>
  <conditionalFormatting sqref="AA162">
    <cfRule type="expression" dxfId="258" priority="396">
      <formula>(AA$1&lt;&gt;"")</formula>
    </cfRule>
    <cfRule type="expression" dxfId="257" priority="397">
      <formula>(AA$1&lt;&gt;"")</formula>
    </cfRule>
  </conditionalFormatting>
  <conditionalFormatting sqref="AA162">
    <cfRule type="expression" dxfId="256" priority="395">
      <formula>(AA$1&lt;&gt;"")</formula>
    </cfRule>
  </conditionalFormatting>
  <conditionalFormatting sqref="AA162">
    <cfRule type="expression" dxfId="255" priority="393">
      <formula>(AA$1&lt;&gt;"")</formula>
    </cfRule>
    <cfRule type="expression" dxfId="254" priority="394">
      <formula>(AA$1&lt;&gt;"")</formula>
    </cfRule>
  </conditionalFormatting>
  <conditionalFormatting sqref="AA162">
    <cfRule type="expression" dxfId="253" priority="392">
      <formula>(AA$1&lt;&gt;"")</formula>
    </cfRule>
  </conditionalFormatting>
  <conditionalFormatting sqref="AA162">
    <cfRule type="expression" dxfId="252" priority="391">
      <formula>(AA$1&lt;&gt;"")</formula>
    </cfRule>
  </conditionalFormatting>
  <conditionalFormatting sqref="A162">
    <cfRule type="duplicateValues" dxfId="251" priority="412"/>
  </conditionalFormatting>
  <conditionalFormatting sqref="A162">
    <cfRule type="duplicateValues" dxfId="250" priority="413"/>
  </conditionalFormatting>
  <conditionalFormatting sqref="Z6">
    <cfRule type="expression" dxfId="249" priority="366">
      <formula>(Z$1&lt;&gt;"")</formula>
    </cfRule>
    <cfRule type="expression" dxfId="248" priority="367">
      <formula>(Z$1&lt;&gt;"")</formula>
    </cfRule>
    <cfRule type="expression" dxfId="247" priority="368">
      <formula>(Z$1&lt;&gt;"")</formula>
    </cfRule>
  </conditionalFormatting>
  <conditionalFormatting sqref="W9:Z9 W6:AA8">
    <cfRule type="expression" dxfId="246" priority="363">
      <formula>(W$1&lt;&gt;"")</formula>
    </cfRule>
  </conditionalFormatting>
  <conditionalFormatting sqref="Z6">
    <cfRule type="expression" dxfId="245" priority="360">
      <formula>(Z$1&lt;&gt;"")</formula>
    </cfRule>
    <cfRule type="expression" dxfId="244" priority="361">
      <formula>(Z$1&lt;&gt;"")</formula>
    </cfRule>
    <cfRule type="expression" dxfId="243" priority="362">
      <formula>(Z$1&lt;&gt;"")</formula>
    </cfRule>
  </conditionalFormatting>
  <conditionalFormatting sqref="W9:Z9 W6:AA8">
    <cfRule type="expression" dxfId="242" priority="358">
      <formula>(W$1&lt;&gt;"")</formula>
    </cfRule>
    <cfRule type="expression" dxfId="241" priority="359">
      <formula>(W$1&lt;&gt;"")</formula>
    </cfRule>
  </conditionalFormatting>
  <conditionalFormatting sqref="W6:AA6">
    <cfRule type="expression" dxfId="240" priority="357">
      <formula>(W$1&lt;&gt;"")</formula>
    </cfRule>
  </conditionalFormatting>
  <conditionalFormatting sqref="Z6">
    <cfRule type="expression" dxfId="239" priority="354">
      <formula>(Z$1&lt;&gt;"")</formula>
    </cfRule>
    <cfRule type="expression" dxfId="238" priority="355">
      <formula>(Z$1&lt;&gt;"")</formula>
    </cfRule>
    <cfRule type="expression" dxfId="237" priority="356">
      <formula>(Z$1&lt;&gt;"")</formula>
    </cfRule>
  </conditionalFormatting>
  <conditionalFormatting sqref="X6:Y6">
    <cfRule type="expression" dxfId="236" priority="352">
      <formula>(X$1&lt;&gt;"")</formula>
    </cfRule>
    <cfRule type="expression" dxfId="235" priority="353">
      <formula>(X$1&lt;&gt;"")</formula>
    </cfRule>
  </conditionalFormatting>
  <conditionalFormatting sqref="W6:Z6">
    <cfRule type="expression" dxfId="234" priority="351">
      <formula>(W$1&lt;&gt;"")</formula>
    </cfRule>
  </conditionalFormatting>
  <conditionalFormatting sqref="Z6">
    <cfRule type="expression" dxfId="233" priority="348">
      <formula>(Z$1&lt;&gt;"")</formula>
    </cfRule>
    <cfRule type="expression" dxfId="232" priority="349">
      <formula>(Z$1&lt;&gt;"")</formula>
    </cfRule>
    <cfRule type="expression" dxfId="231" priority="350">
      <formula>(Z$1&lt;&gt;"")</formula>
    </cfRule>
  </conditionalFormatting>
  <conditionalFormatting sqref="X6:Y6">
    <cfRule type="expression" dxfId="230" priority="346">
      <formula>(X$1&lt;&gt;"")</formula>
    </cfRule>
    <cfRule type="expression" dxfId="229" priority="347">
      <formula>(X$1&lt;&gt;"")</formula>
    </cfRule>
  </conditionalFormatting>
  <conditionalFormatting sqref="W6:Y6">
    <cfRule type="expression" dxfId="228" priority="344">
      <formula>(W$1&lt;&gt;"")</formula>
    </cfRule>
  </conditionalFormatting>
  <conditionalFormatting sqref="Z6">
    <cfRule type="expression" dxfId="227" priority="341">
      <formula>(Z$1&lt;&gt;"")</formula>
    </cfRule>
    <cfRule type="expression" dxfId="226" priority="342">
      <formula>(Z$1&lt;&gt;"")</formula>
    </cfRule>
  </conditionalFormatting>
  <conditionalFormatting sqref="W6:Y6">
    <cfRule type="expression" dxfId="225" priority="345">
      <formula>(W$1&lt;&gt;"")</formula>
    </cfRule>
  </conditionalFormatting>
  <conditionalFormatting sqref="W6:Y6">
    <cfRule type="expression" dxfId="224" priority="343">
      <formula>(W$1&lt;&gt;"")</formula>
    </cfRule>
  </conditionalFormatting>
  <conditionalFormatting sqref="AA6">
    <cfRule type="expression" dxfId="223" priority="339">
      <formula>(AA$1&lt;&gt;"")</formula>
    </cfRule>
  </conditionalFormatting>
  <conditionalFormatting sqref="AA6">
    <cfRule type="expression" dxfId="222" priority="340">
      <formula>(AA$1&lt;&gt;"")</formula>
    </cfRule>
  </conditionalFormatting>
  <conditionalFormatting sqref="Y7:Z9">
    <cfRule type="expression" dxfId="221" priority="338">
      <formula>(Y$1&lt;&gt;"")</formula>
    </cfRule>
  </conditionalFormatting>
  <conditionalFormatting sqref="Z7">
    <cfRule type="expression" dxfId="220" priority="335">
      <formula>(Z$1&lt;&gt;"")</formula>
    </cfRule>
  </conditionalFormatting>
  <conditionalFormatting sqref="Y7">
    <cfRule type="expression" dxfId="219" priority="337">
      <formula>(Y$1&lt;&gt;"")</formula>
    </cfRule>
  </conditionalFormatting>
  <conditionalFormatting sqref="Y7 Y8:Z9">
    <cfRule type="expression" dxfId="218" priority="336">
      <formula>(Y$1&lt;&gt;"")</formula>
    </cfRule>
  </conditionalFormatting>
  <conditionalFormatting sqref="AA7">
    <cfRule type="expression" dxfId="217" priority="334">
      <formula>(AA$1&lt;&gt;"")</formula>
    </cfRule>
  </conditionalFormatting>
  <conditionalFormatting sqref="AA7">
    <cfRule type="expression" dxfId="216" priority="333">
      <formula>(AA$1&lt;&gt;"")</formula>
    </cfRule>
  </conditionalFormatting>
  <conditionalFormatting sqref="AA8">
    <cfRule type="expression" dxfId="215" priority="332">
      <formula>(AA$1&lt;&gt;"")</formula>
    </cfRule>
  </conditionalFormatting>
  <conditionalFormatting sqref="AA8">
    <cfRule type="expression" dxfId="214" priority="331">
      <formula>(AA$1&lt;&gt;"")</formula>
    </cfRule>
  </conditionalFormatting>
  <conditionalFormatting sqref="AA8">
    <cfRule type="expression" dxfId="213" priority="322">
      <formula>(AA$1&lt;&gt;"")</formula>
    </cfRule>
  </conditionalFormatting>
  <conditionalFormatting sqref="AA8">
    <cfRule type="expression" dxfId="212" priority="323">
      <formula>(AA$1&lt;&gt;"")</formula>
    </cfRule>
    <cfRule type="expression" dxfId="211" priority="324">
      <formula>(AA$1&lt;&gt;"")</formula>
    </cfRule>
  </conditionalFormatting>
  <conditionalFormatting sqref="AA8">
    <cfRule type="expression" dxfId="210" priority="325">
      <formula>(AA$1&lt;&gt;"")</formula>
    </cfRule>
    <cfRule type="expression" dxfId="209" priority="326">
      <formula>(AA$1&lt;&gt;"")</formula>
    </cfRule>
    <cfRule type="expression" dxfId="208" priority="327">
      <formula>(AA$1&lt;&gt;"")</formula>
    </cfRule>
    <cfRule type="expression" dxfId="207" priority="328">
      <formula>(AA$1&lt;&gt;"")</formula>
    </cfRule>
    <cfRule type="expression" dxfId="206" priority="329">
      <formula>(AA$1&lt;&gt;"")</formula>
    </cfRule>
    <cfRule type="expression" dxfId="205" priority="330">
      <formula>(AA$1&lt;&gt;"")</formula>
    </cfRule>
  </conditionalFormatting>
  <conditionalFormatting sqref="AA9">
    <cfRule type="expression" dxfId="204" priority="310">
      <formula>(AA$1&lt;&gt;"")</formula>
    </cfRule>
  </conditionalFormatting>
  <conditionalFormatting sqref="AA9">
    <cfRule type="expression" dxfId="203" priority="313">
      <formula>(AA$1&lt;&gt;"")</formula>
    </cfRule>
    <cfRule type="expression" dxfId="202" priority="314">
      <formula>(AA$1&lt;&gt;"")</formula>
    </cfRule>
    <cfRule type="expression" dxfId="201" priority="315">
      <formula>(AA$1&lt;&gt;"")</formula>
    </cfRule>
    <cfRule type="expression" dxfId="200" priority="316">
      <formula>(AA$1&lt;&gt;"")</formula>
    </cfRule>
    <cfRule type="expression" dxfId="199" priority="317">
      <formula>(AA$1&lt;&gt;"")</formula>
    </cfRule>
    <cfRule type="expression" dxfId="198" priority="318">
      <formula>(AA$1&lt;&gt;"")</formula>
    </cfRule>
    <cfRule type="expression" dxfId="197" priority="319">
      <formula>(AA$1&lt;&gt;"")</formula>
    </cfRule>
    <cfRule type="expression" dxfId="196" priority="320">
      <formula>(AA$1&lt;&gt;"")</formula>
    </cfRule>
    <cfRule type="expression" dxfId="195" priority="321">
      <formula>(AA$1&lt;&gt;"")</formula>
    </cfRule>
  </conditionalFormatting>
  <conditionalFormatting sqref="AA9">
    <cfRule type="expression" dxfId="194" priority="311">
      <formula>(AA$1&lt;&gt;"")</formula>
    </cfRule>
    <cfRule type="expression" dxfId="193" priority="312">
      <formula>(AA$1&lt;&gt;"")</formula>
    </cfRule>
  </conditionalFormatting>
  <conditionalFormatting sqref="W159:AA161">
    <cfRule type="expression" dxfId="192" priority="307">
      <formula>(W$1&lt;&gt;"")</formula>
    </cfRule>
  </conditionalFormatting>
  <conditionalFormatting sqref="W159:AA161">
    <cfRule type="expression" dxfId="191" priority="306">
      <formula>(W$1&lt;&gt;"")</formula>
    </cfRule>
  </conditionalFormatting>
  <conditionalFormatting sqref="W161:AA161 W159:Z160">
    <cfRule type="expression" dxfId="190" priority="305">
      <formula>(W$1&lt;&gt;"")</formula>
    </cfRule>
  </conditionalFormatting>
  <conditionalFormatting sqref="AA160">
    <cfRule type="expression" dxfId="189" priority="304">
      <formula>(AA$1&lt;&gt;"")</formula>
    </cfRule>
  </conditionalFormatting>
  <conditionalFormatting sqref="AA160">
    <cfRule type="expression" dxfId="188" priority="303">
      <formula>(AA$1&lt;&gt;"")</formula>
    </cfRule>
  </conditionalFormatting>
  <conditionalFormatting sqref="AA160">
    <cfRule type="expression" dxfId="187" priority="301">
      <formula>(AA$1&lt;&gt;"")</formula>
    </cfRule>
  </conditionalFormatting>
  <conditionalFormatting sqref="AA160">
    <cfRule type="expression" dxfId="186" priority="300">
      <formula>(AA$1&lt;&gt;"")</formula>
    </cfRule>
  </conditionalFormatting>
  <conditionalFormatting sqref="AA160">
    <cfRule type="expression" dxfId="185" priority="298">
      <formula>(AA$1&lt;&gt;"")</formula>
    </cfRule>
  </conditionalFormatting>
  <conditionalFormatting sqref="AA160">
    <cfRule type="expression" dxfId="184" priority="297">
      <formula>(AA$1&lt;&gt;"")</formula>
    </cfRule>
  </conditionalFormatting>
  <conditionalFormatting sqref="AA160">
    <cfRule type="expression" dxfId="183" priority="295">
      <formula>(AA$1&lt;&gt;"")</formula>
    </cfRule>
  </conditionalFormatting>
  <conditionalFormatting sqref="AA160">
    <cfRule type="expression" dxfId="182" priority="294">
      <formula>(AA$1&lt;&gt;"")</formula>
    </cfRule>
  </conditionalFormatting>
  <conditionalFormatting sqref="AA161">
    <cfRule type="expression" dxfId="181" priority="283">
      <formula>(AA$1&lt;&gt;"")</formula>
    </cfRule>
  </conditionalFormatting>
  <conditionalFormatting sqref="AA161">
    <cfRule type="expression" dxfId="180" priority="281">
      <formula>(AA$1&lt;&gt;"")</formula>
    </cfRule>
  </conditionalFormatting>
  <conditionalFormatting sqref="AA161">
    <cfRule type="expression" dxfId="179" priority="280">
      <formula>(AA$1&lt;&gt;"")</formula>
    </cfRule>
  </conditionalFormatting>
  <conditionalFormatting sqref="AA161">
    <cfRule type="expression" dxfId="178" priority="279">
      <formula>(AA$1&lt;&gt;"")</formula>
    </cfRule>
  </conditionalFormatting>
  <conditionalFormatting sqref="AA159">
    <cfRule type="expression" dxfId="177" priority="278">
      <formula>(AA$1&lt;&gt;"")</formula>
    </cfRule>
  </conditionalFormatting>
  <conditionalFormatting sqref="AA159">
    <cfRule type="expression" dxfId="176" priority="276">
      <formula>(AA$1&lt;&gt;"")</formula>
    </cfRule>
  </conditionalFormatting>
  <conditionalFormatting sqref="AA159">
    <cfRule type="expression" dxfId="175" priority="275">
      <formula>(AA$1&lt;&gt;"")</formula>
    </cfRule>
  </conditionalFormatting>
  <conditionalFormatting sqref="AA159">
    <cfRule type="expression" dxfId="174" priority="274">
      <formula>(AA$1&lt;&gt;"")</formula>
    </cfRule>
  </conditionalFormatting>
  <conditionalFormatting sqref="AA159">
    <cfRule type="expression" dxfId="173" priority="272">
      <formula>(AA$1&lt;&gt;"")</formula>
    </cfRule>
  </conditionalFormatting>
  <conditionalFormatting sqref="AA159">
    <cfRule type="expression" dxfId="172" priority="271">
      <formula>(AA$1&lt;&gt;"")</formula>
    </cfRule>
  </conditionalFormatting>
  <conditionalFormatting sqref="A159:A161">
    <cfRule type="duplicateValues" dxfId="171" priority="296"/>
  </conditionalFormatting>
  <conditionalFormatting sqref="A152">
    <cfRule type="duplicateValues" dxfId="170" priority="2233"/>
  </conditionalFormatting>
  <conditionalFormatting sqref="W45:AA45">
    <cfRule type="expression" dxfId="169" priority="253">
      <formula>(W$1&lt;&gt;"")</formula>
    </cfRule>
  </conditionalFormatting>
  <conditionalFormatting sqref="A45">
    <cfRule type="duplicateValues" dxfId="168" priority="254"/>
  </conditionalFormatting>
  <conditionalFormatting sqref="W144:AA144">
    <cfRule type="expression" dxfId="167" priority="252">
      <formula>(W$1&lt;&gt;"")</formula>
    </cfRule>
  </conditionalFormatting>
  <conditionalFormatting sqref="W144:AA144">
    <cfRule type="expression" dxfId="166" priority="249">
      <formula>(W$1&lt;&gt;"")</formula>
    </cfRule>
  </conditionalFormatting>
  <conditionalFormatting sqref="AA144">
    <cfRule type="expression" dxfId="165" priority="248">
      <formula>(AA$1&lt;&gt;"")</formula>
    </cfRule>
  </conditionalFormatting>
  <conditionalFormatting sqref="AA144">
    <cfRule type="expression" dxfId="164" priority="246">
      <formula>(AA$1&lt;&gt;"")</formula>
    </cfRule>
    <cfRule type="expression" dxfId="163" priority="247">
      <formula>(AA$1&lt;&gt;"")</formula>
    </cfRule>
  </conditionalFormatting>
  <conditionalFormatting sqref="AA144">
    <cfRule type="expression" dxfId="162" priority="245">
      <formula>(AA$1&lt;&gt;"")</formula>
    </cfRule>
  </conditionalFormatting>
  <conditionalFormatting sqref="AA144">
    <cfRule type="expression" dxfId="161" priority="243">
      <formula>(AA$1&lt;&gt;"")</formula>
    </cfRule>
    <cfRule type="expression" dxfId="160" priority="244">
      <formula>(AA$1&lt;&gt;"")</formula>
    </cfRule>
  </conditionalFormatting>
  <conditionalFormatting sqref="AA144">
    <cfRule type="expression" dxfId="159" priority="242">
      <formula>(AA$1&lt;&gt;"")</formula>
    </cfRule>
  </conditionalFormatting>
  <conditionalFormatting sqref="AA144">
    <cfRule type="expression" dxfId="158" priority="241">
      <formula>(AA$1&lt;&gt;"")</formula>
    </cfRule>
  </conditionalFormatting>
  <conditionalFormatting sqref="A144">
    <cfRule type="duplicateValues" dxfId="157" priority="250"/>
  </conditionalFormatting>
  <conditionalFormatting sqref="A144">
    <cfRule type="duplicateValues" dxfId="156" priority="251"/>
  </conditionalFormatting>
  <conditionalFormatting sqref="W141:AA143">
    <cfRule type="expression" dxfId="155" priority="240">
      <formula>(W$1&lt;&gt;"")</formula>
    </cfRule>
  </conditionalFormatting>
  <conditionalFormatting sqref="W141:AA143">
    <cfRule type="expression" dxfId="154" priority="239">
      <formula>(W$1&lt;&gt;"")</formula>
    </cfRule>
  </conditionalFormatting>
  <conditionalFormatting sqref="W143:AA143 W141:Z142">
    <cfRule type="expression" dxfId="153" priority="238">
      <formula>(W$1&lt;&gt;"")</formula>
    </cfRule>
  </conditionalFormatting>
  <conditionalFormatting sqref="AA142">
    <cfRule type="expression" dxfId="152" priority="237">
      <formula>(AA$1&lt;&gt;"")</formula>
    </cfRule>
  </conditionalFormatting>
  <conditionalFormatting sqref="AA142">
    <cfRule type="expression" dxfId="151" priority="236">
      <formula>(AA$1&lt;&gt;"")</formula>
    </cfRule>
  </conditionalFormatting>
  <conditionalFormatting sqref="AA142">
    <cfRule type="expression" dxfId="150" priority="235">
      <formula>(AA$1&lt;&gt;"")</formula>
    </cfRule>
  </conditionalFormatting>
  <conditionalFormatting sqref="AA142">
    <cfRule type="expression" dxfId="149" priority="234">
      <formula>(AA$1&lt;&gt;"")</formula>
    </cfRule>
  </conditionalFormatting>
  <conditionalFormatting sqref="AA142">
    <cfRule type="expression" dxfId="148" priority="233">
      <formula>(AA$1&lt;&gt;"")</formula>
    </cfRule>
  </conditionalFormatting>
  <conditionalFormatting sqref="AA142">
    <cfRule type="expression" dxfId="147" priority="232">
      <formula>(AA$1&lt;&gt;"")</formula>
    </cfRule>
  </conditionalFormatting>
  <conditionalFormatting sqref="AA142">
    <cfRule type="expression" dxfId="146" priority="230">
      <formula>(AA$1&lt;&gt;"")</formula>
    </cfRule>
  </conditionalFormatting>
  <conditionalFormatting sqref="AA142">
    <cfRule type="expression" dxfId="145" priority="229">
      <formula>(AA$1&lt;&gt;"")</formula>
    </cfRule>
  </conditionalFormatting>
  <conditionalFormatting sqref="AA143">
    <cfRule type="expression" dxfId="144" priority="228">
      <formula>(AA$1&lt;&gt;"")</formula>
    </cfRule>
  </conditionalFormatting>
  <conditionalFormatting sqref="AA143">
    <cfRule type="expression" dxfId="143" priority="227">
      <formula>(AA$1&lt;&gt;"")</formula>
    </cfRule>
  </conditionalFormatting>
  <conditionalFormatting sqref="AA143">
    <cfRule type="expression" dxfId="142" priority="226">
      <formula>(AA$1&lt;&gt;"")</formula>
    </cfRule>
  </conditionalFormatting>
  <conditionalFormatting sqref="AA143">
    <cfRule type="expression" dxfId="141" priority="225">
      <formula>(AA$1&lt;&gt;"")</formula>
    </cfRule>
  </conditionalFormatting>
  <conditionalFormatting sqref="AA141">
    <cfRule type="expression" dxfId="140" priority="224">
      <formula>(AA$1&lt;&gt;"")</formula>
    </cfRule>
  </conditionalFormatting>
  <conditionalFormatting sqref="AA141">
    <cfRule type="expression" dxfId="139" priority="223">
      <formula>(AA$1&lt;&gt;"")</formula>
    </cfRule>
  </conditionalFormatting>
  <conditionalFormatting sqref="AA141">
    <cfRule type="expression" dxfId="138" priority="222">
      <formula>(AA$1&lt;&gt;"")</formula>
    </cfRule>
  </conditionalFormatting>
  <conditionalFormatting sqref="AA141">
    <cfRule type="expression" dxfId="137" priority="221">
      <formula>(AA$1&lt;&gt;"")</formula>
    </cfRule>
  </conditionalFormatting>
  <conditionalFormatting sqref="AA141">
    <cfRule type="expression" dxfId="136" priority="220">
      <formula>(AA$1&lt;&gt;"")</formula>
    </cfRule>
  </conditionalFormatting>
  <conditionalFormatting sqref="AA141">
    <cfRule type="expression" dxfId="135" priority="219">
      <formula>(AA$1&lt;&gt;"")</formula>
    </cfRule>
  </conditionalFormatting>
  <conditionalFormatting sqref="A141:A143">
    <cfRule type="duplicateValues" dxfId="134" priority="231"/>
  </conditionalFormatting>
  <conditionalFormatting sqref="A146:A149 A32:A33">
    <cfRule type="duplicateValues" dxfId="133" priority="2247"/>
  </conditionalFormatting>
  <conditionalFormatting sqref="W40:AA44">
    <cfRule type="expression" dxfId="132" priority="218">
      <formula>(W$1&lt;&gt;"")</formula>
    </cfRule>
  </conditionalFormatting>
  <conditionalFormatting sqref="W31:AA31">
    <cfRule type="expression" dxfId="131" priority="217">
      <formula>(W$1&lt;&gt;"")</formula>
    </cfRule>
  </conditionalFormatting>
  <conditionalFormatting sqref="A31">
    <cfRule type="duplicateValues" dxfId="130" priority="213"/>
  </conditionalFormatting>
  <conditionalFormatting sqref="U31">
    <cfRule type="duplicateValues" dxfId="129" priority="212"/>
  </conditionalFormatting>
  <conditionalFormatting sqref="W13:AA30 W12:Z12">
    <cfRule type="expression" dxfId="128" priority="211">
      <formula>(W$1&lt;&gt;"")</formula>
    </cfRule>
  </conditionalFormatting>
  <conditionalFormatting sqref="A12:A30">
    <cfRule type="duplicateValues" dxfId="127" priority="210"/>
  </conditionalFormatting>
  <conditionalFormatting sqref="U12:U30">
    <cfRule type="duplicateValues" dxfId="126" priority="209"/>
  </conditionalFormatting>
  <conditionalFormatting sqref="W11:AA11">
    <cfRule type="expression" dxfId="125" priority="200">
      <formula>(W$1&lt;&gt;"")</formula>
    </cfRule>
  </conditionalFormatting>
  <conditionalFormatting sqref="Z11 W11:X11">
    <cfRule type="expression" dxfId="124" priority="197">
      <formula>(W$1&lt;&gt;"")</formula>
    </cfRule>
    <cfRule type="expression" dxfId="123" priority="198">
      <formula>(W$1&lt;&gt;"")</formula>
    </cfRule>
    <cfRule type="expression" dxfId="122" priority="199">
      <formula>(W$1&lt;&gt;"")</formula>
    </cfRule>
  </conditionalFormatting>
  <conditionalFormatting sqref="X11:Z11">
    <cfRule type="expression" dxfId="121" priority="195">
      <formula>(X$1&lt;&gt;"")</formula>
    </cfRule>
    <cfRule type="expression" dxfId="120" priority="196">
      <formula>(X$1&lt;&gt;"")</formula>
    </cfRule>
  </conditionalFormatting>
  <conditionalFormatting sqref="A150 A6:A10">
    <cfRule type="duplicateValues" dxfId="119" priority="2284"/>
  </conditionalFormatting>
  <conditionalFormatting sqref="W9:Z9 W6:AA8 W10">
    <cfRule type="expression" dxfId="118" priority="182">
      <formula>(W$1&lt;&gt;"")</formula>
    </cfRule>
  </conditionalFormatting>
  <conditionalFormatting sqref="Z6">
    <cfRule type="expression" dxfId="117" priority="179">
      <formula>(Z$1&lt;&gt;"")</formula>
    </cfRule>
    <cfRule type="expression" dxfId="116" priority="180">
      <formula>(Z$1&lt;&gt;"")</formula>
    </cfRule>
    <cfRule type="expression" dxfId="115" priority="181">
      <formula>(Z$1&lt;&gt;"")</formula>
    </cfRule>
  </conditionalFormatting>
  <conditionalFormatting sqref="W9:Z9 W6:AA8 W10">
    <cfRule type="expression" dxfId="114" priority="177">
      <formula>(W$1&lt;&gt;"")</formula>
    </cfRule>
    <cfRule type="expression" dxfId="113" priority="178">
      <formula>(W$1&lt;&gt;"")</formula>
    </cfRule>
  </conditionalFormatting>
  <conditionalFormatting sqref="W6:AA6 W7:W10">
    <cfRule type="expression" dxfId="112" priority="176">
      <formula>(W$1&lt;&gt;"")</formula>
    </cfRule>
  </conditionalFormatting>
  <conditionalFormatting sqref="Z6">
    <cfRule type="expression" dxfId="111" priority="173">
      <formula>(Z$1&lt;&gt;"")</formula>
    </cfRule>
    <cfRule type="expression" dxfId="110" priority="174">
      <formula>(Z$1&lt;&gt;"")</formula>
    </cfRule>
    <cfRule type="expression" dxfId="109" priority="175">
      <formula>(Z$1&lt;&gt;"")</formula>
    </cfRule>
  </conditionalFormatting>
  <conditionalFormatting sqref="X6:Y6">
    <cfRule type="expression" dxfId="108" priority="171">
      <formula>(X$1&lt;&gt;"")</formula>
    </cfRule>
    <cfRule type="expression" dxfId="107" priority="172">
      <formula>(X$1&lt;&gt;"")</formula>
    </cfRule>
  </conditionalFormatting>
  <conditionalFormatting sqref="W6:Z6 W7:W10">
    <cfRule type="expression" dxfId="106" priority="170">
      <formula>(W$1&lt;&gt;"")</formula>
    </cfRule>
  </conditionalFormatting>
  <conditionalFormatting sqref="Z6">
    <cfRule type="expression" dxfId="105" priority="167">
      <formula>(Z$1&lt;&gt;"")</formula>
    </cfRule>
    <cfRule type="expression" dxfId="104" priority="168">
      <formula>(Z$1&lt;&gt;"")</formula>
    </cfRule>
    <cfRule type="expression" dxfId="103" priority="169">
      <formula>(Z$1&lt;&gt;"")</formula>
    </cfRule>
  </conditionalFormatting>
  <conditionalFormatting sqref="X6:Y6">
    <cfRule type="expression" dxfId="102" priority="165">
      <formula>(X$1&lt;&gt;"")</formula>
    </cfRule>
    <cfRule type="expression" dxfId="101" priority="166">
      <formula>(X$1&lt;&gt;"")</formula>
    </cfRule>
  </conditionalFormatting>
  <conditionalFormatting sqref="W6:Y6 W7:W10">
    <cfRule type="expression" dxfId="100" priority="163">
      <formula>(W$1&lt;&gt;"")</formula>
    </cfRule>
  </conditionalFormatting>
  <conditionalFormatting sqref="Z6">
    <cfRule type="expression" dxfId="99" priority="160">
      <formula>(Z$1&lt;&gt;"")</formula>
    </cfRule>
    <cfRule type="expression" dxfId="98" priority="161">
      <formula>(Z$1&lt;&gt;"")</formula>
    </cfRule>
  </conditionalFormatting>
  <conditionalFormatting sqref="W6:Y6 W7:W10">
    <cfRule type="expression" dxfId="97" priority="164">
      <formula>(W$1&lt;&gt;"")</formula>
    </cfRule>
  </conditionalFormatting>
  <conditionalFormatting sqref="W6:Y6 W7:W10">
    <cfRule type="expression" dxfId="96" priority="162">
      <formula>(W$1&lt;&gt;"")</formula>
    </cfRule>
  </conditionalFormatting>
  <conditionalFormatting sqref="AA6">
    <cfRule type="expression" dxfId="95" priority="158">
      <formula>(AA$1&lt;&gt;"")</formula>
    </cfRule>
  </conditionalFormatting>
  <conditionalFormatting sqref="AA6">
    <cfRule type="expression" dxfId="94" priority="159">
      <formula>(AA$1&lt;&gt;"")</formula>
    </cfRule>
  </conditionalFormatting>
  <conditionalFormatting sqref="Y7:Z9">
    <cfRule type="expression" dxfId="93" priority="157">
      <formula>(Y$1&lt;&gt;"")</formula>
    </cfRule>
  </conditionalFormatting>
  <conditionalFormatting sqref="Z7">
    <cfRule type="expression" dxfId="92" priority="154">
      <formula>(Z$1&lt;&gt;"")</formula>
    </cfRule>
  </conditionalFormatting>
  <conditionalFormatting sqref="Y7">
    <cfRule type="expression" dxfId="91" priority="156">
      <formula>(Y$1&lt;&gt;"")</formula>
    </cfRule>
  </conditionalFormatting>
  <conditionalFormatting sqref="Y7 Y8:Z9">
    <cfRule type="expression" dxfId="90" priority="155">
      <formula>(Y$1&lt;&gt;"")</formula>
    </cfRule>
  </conditionalFormatting>
  <conditionalFormatting sqref="AA7">
    <cfRule type="expression" dxfId="89" priority="153">
      <formula>(AA$1&lt;&gt;"")</formula>
    </cfRule>
  </conditionalFormatting>
  <conditionalFormatting sqref="AA7">
    <cfRule type="expression" dxfId="88" priority="152">
      <formula>(AA$1&lt;&gt;"")</formula>
    </cfRule>
  </conditionalFormatting>
  <conditionalFormatting sqref="AA8">
    <cfRule type="expression" dxfId="87" priority="151">
      <formula>(AA$1&lt;&gt;"")</formula>
    </cfRule>
  </conditionalFormatting>
  <conditionalFormatting sqref="AA8">
    <cfRule type="expression" dxfId="86" priority="150">
      <formula>(AA$1&lt;&gt;"")</formula>
    </cfRule>
  </conditionalFormatting>
  <conditionalFormatting sqref="AA8">
    <cfRule type="expression" dxfId="85" priority="141">
      <formula>(AA$1&lt;&gt;"")</formula>
    </cfRule>
  </conditionalFormatting>
  <conditionalFormatting sqref="AA8">
    <cfRule type="expression" dxfId="84" priority="142">
      <formula>(AA$1&lt;&gt;"")</formula>
    </cfRule>
    <cfRule type="expression" dxfId="83" priority="143">
      <formula>(AA$1&lt;&gt;"")</formula>
    </cfRule>
  </conditionalFormatting>
  <conditionalFormatting sqref="AA8">
    <cfRule type="expression" dxfId="82" priority="144">
      <formula>(AA$1&lt;&gt;"")</formula>
    </cfRule>
    <cfRule type="expression" dxfId="81" priority="145">
      <formula>(AA$1&lt;&gt;"")</formula>
    </cfRule>
    <cfRule type="expression" dxfId="80" priority="146">
      <formula>(AA$1&lt;&gt;"")</formula>
    </cfRule>
    <cfRule type="expression" dxfId="79" priority="147">
      <formula>(AA$1&lt;&gt;"")</formula>
    </cfRule>
    <cfRule type="expression" dxfId="78" priority="148">
      <formula>(AA$1&lt;&gt;"")</formula>
    </cfRule>
    <cfRule type="expression" dxfId="77" priority="149">
      <formula>(AA$1&lt;&gt;"")</formula>
    </cfRule>
  </conditionalFormatting>
  <conditionalFormatting sqref="AA9">
    <cfRule type="expression" dxfId="76" priority="129">
      <formula>(AA$1&lt;&gt;"")</formula>
    </cfRule>
  </conditionalFormatting>
  <conditionalFormatting sqref="AA9">
    <cfRule type="expression" dxfId="75" priority="132">
      <formula>(AA$1&lt;&gt;"")</formula>
    </cfRule>
    <cfRule type="expression" dxfId="74" priority="133">
      <formula>(AA$1&lt;&gt;"")</formula>
    </cfRule>
    <cfRule type="expression" dxfId="73" priority="134">
      <formula>(AA$1&lt;&gt;"")</formula>
    </cfRule>
    <cfRule type="expression" dxfId="72" priority="135">
      <formula>(AA$1&lt;&gt;"")</formula>
    </cfRule>
    <cfRule type="expression" dxfId="71" priority="136">
      <formula>(AA$1&lt;&gt;"")</formula>
    </cfRule>
    <cfRule type="expression" dxfId="70" priority="137">
      <formula>(AA$1&lt;&gt;"")</formula>
    </cfRule>
    <cfRule type="expression" dxfId="69" priority="138">
      <formula>(AA$1&lt;&gt;"")</formula>
    </cfRule>
    <cfRule type="expression" dxfId="68" priority="139">
      <formula>(AA$1&lt;&gt;"")</formula>
    </cfRule>
    <cfRule type="expression" dxfId="67" priority="140">
      <formula>(AA$1&lt;&gt;"")</formula>
    </cfRule>
  </conditionalFormatting>
  <conditionalFormatting sqref="AA9">
    <cfRule type="expression" dxfId="66" priority="130">
      <formula>(AA$1&lt;&gt;"")</formula>
    </cfRule>
    <cfRule type="expression" dxfId="65" priority="131">
      <formula>(AA$1&lt;&gt;"")</formula>
    </cfRule>
  </conditionalFormatting>
  <conditionalFormatting sqref="W6:AA10">
    <cfRule type="expression" dxfId="64" priority="194">
      <formula>(W$1&lt;&gt;"")</formula>
    </cfRule>
  </conditionalFormatting>
  <conditionalFormatting sqref="Y7:Z10 Z6 W6:X10">
    <cfRule type="expression" dxfId="63" priority="185">
      <formula>(W$1&lt;&gt;"")</formula>
    </cfRule>
    <cfRule type="expression" dxfId="62" priority="186">
      <formula>(W$1&lt;&gt;"")</formula>
    </cfRule>
    <cfRule type="expression" dxfId="61" priority="187">
      <formula>(W$1&lt;&gt;"")</formula>
    </cfRule>
  </conditionalFormatting>
  <conditionalFormatting sqref="W6:AA10">
    <cfRule type="expression" dxfId="60" priority="183">
      <formula>(W$1&lt;&gt;"")</formula>
    </cfRule>
    <cfRule type="expression" dxfId="59" priority="184">
      <formula>(W$1&lt;&gt;"")</formula>
    </cfRule>
  </conditionalFormatting>
  <conditionalFormatting sqref="W6:Z10">
    <cfRule type="expression" dxfId="58" priority="188">
      <formula>(W$1&lt;&gt;"")</formula>
    </cfRule>
    <cfRule type="expression" dxfId="57" priority="189">
      <formula>(W$1&lt;&gt;"")</formula>
    </cfRule>
    <cfRule type="expression" dxfId="56" priority="190">
      <formula>(W$1&lt;&gt;"")</formula>
    </cfRule>
    <cfRule type="expression" dxfId="55" priority="191">
      <formula>(W$1&lt;&gt;"")</formula>
    </cfRule>
    <cfRule type="expression" dxfId="54" priority="192">
      <formula>(W$1&lt;&gt;"")</formula>
    </cfRule>
    <cfRule type="expression" dxfId="53" priority="193">
      <formula>(W$1&lt;&gt;"")</formula>
    </cfRule>
  </conditionalFormatting>
  <conditionalFormatting sqref="AA12">
    <cfRule type="expression" dxfId="52" priority="128">
      <formula>(AA$1&lt;&gt;"")</formula>
    </cfRule>
  </conditionalFormatting>
  <conditionalFormatting sqref="AA12">
    <cfRule type="expression" dxfId="51" priority="127">
      <formula>(AA$1&lt;&gt;"")</formula>
    </cfRule>
  </conditionalFormatting>
  <conditionalFormatting sqref="AA12">
    <cfRule type="expression" dxfId="50" priority="124">
      <formula>(AA$1&lt;&gt;"")</formula>
    </cfRule>
    <cfRule type="expression" dxfId="49" priority="125">
      <formula>(AA$1&lt;&gt;"")</formula>
    </cfRule>
    <cfRule type="expression" dxfId="48" priority="126">
      <formula>(AA$1&lt;&gt;"")</formula>
    </cfRule>
  </conditionalFormatting>
  <conditionalFormatting sqref="AA12">
    <cfRule type="expression" dxfId="47" priority="122">
      <formula>(AA$1&lt;&gt;"")</formula>
    </cfRule>
    <cfRule type="expression" dxfId="46" priority="123">
      <formula>(AA$1&lt;&gt;"")</formula>
    </cfRule>
  </conditionalFormatting>
  <conditionalFormatting sqref="AA12">
    <cfRule type="expression" dxfId="45" priority="117">
      <formula>(AA$1&lt;&gt;"")</formula>
    </cfRule>
    <cfRule type="expression" dxfId="44" priority="118">
      <formula>(AA$1&lt;&gt;"")</formula>
    </cfRule>
    <cfRule type="expression" dxfId="43" priority="119">
      <formula>(AA$1&lt;&gt;"")</formula>
    </cfRule>
  </conditionalFormatting>
  <conditionalFormatting sqref="AA12">
    <cfRule type="expression" dxfId="42" priority="116">
      <formula>(AA$1&lt;&gt;"")</formula>
    </cfRule>
  </conditionalFormatting>
  <conditionalFormatting sqref="AA12">
    <cfRule type="expression" dxfId="41" priority="120">
      <formula>(AA$1&lt;&gt;"")</formula>
    </cfRule>
  </conditionalFormatting>
  <conditionalFormatting sqref="AA12">
    <cfRule type="expression" dxfId="40" priority="121">
      <formula>(AA$1&lt;&gt;"")</formula>
    </cfRule>
  </conditionalFormatting>
  <conditionalFormatting sqref="AA6">
    <cfRule type="expression" dxfId="39" priority="115">
      <formula>(AA$1&lt;&gt;"")</formula>
    </cfRule>
  </conditionalFormatting>
  <conditionalFormatting sqref="AA6">
    <cfRule type="expression" dxfId="38" priority="112">
      <formula>(AA$1&lt;&gt;"")</formula>
    </cfRule>
    <cfRule type="expression" dxfId="37" priority="113">
      <formula>(AA$1&lt;&gt;"")</formula>
    </cfRule>
    <cfRule type="expression" dxfId="36" priority="114">
      <formula>(AA$1&lt;&gt;"")</formula>
    </cfRule>
  </conditionalFormatting>
  <conditionalFormatting sqref="AA6">
    <cfRule type="expression" dxfId="35" priority="110">
      <formula>(AA$1&lt;&gt;"")</formula>
    </cfRule>
    <cfRule type="expression" dxfId="34" priority="111">
      <formula>(AA$1&lt;&gt;"")</formula>
    </cfRule>
  </conditionalFormatting>
  <conditionalFormatting sqref="AA6">
    <cfRule type="expression" dxfId="33" priority="105">
      <formula>(AA$1&lt;&gt;"")</formula>
    </cfRule>
    <cfRule type="expression" dxfId="32" priority="106">
      <formula>(AA$1&lt;&gt;"")</formula>
    </cfRule>
    <cfRule type="expression" dxfId="31" priority="107">
      <formula>(AA$1&lt;&gt;"")</formula>
    </cfRule>
  </conditionalFormatting>
  <conditionalFormatting sqref="AA6">
    <cfRule type="expression" dxfId="30" priority="104">
      <formula>(AA$1&lt;&gt;"")</formula>
    </cfRule>
  </conditionalFormatting>
  <conditionalFormatting sqref="AA6">
    <cfRule type="expression" dxfId="29" priority="108">
      <formula>(AA$1&lt;&gt;"")</formula>
    </cfRule>
  </conditionalFormatting>
  <conditionalFormatting sqref="AA6">
    <cfRule type="expression" dxfId="28" priority="109">
      <formula>(AA$1&lt;&gt;"")</formula>
    </cfRule>
  </conditionalFormatting>
  <conditionalFormatting sqref="A11">
    <cfRule type="duplicateValues" dxfId="27" priority="2289"/>
  </conditionalFormatting>
  <conditionalFormatting sqref="X4:AA4">
    <cfRule type="expression" dxfId="26" priority="102">
      <formula>(X$1&lt;&gt;"")</formula>
    </cfRule>
  </conditionalFormatting>
  <conditionalFormatting sqref="X4:AA4">
    <cfRule type="expression" dxfId="25" priority="91">
      <formula>(X$1&lt;&gt;"")</formula>
    </cfRule>
    <cfRule type="expression" dxfId="24" priority="92">
      <formula>(X$1&lt;&gt;"")</formula>
    </cfRule>
  </conditionalFormatting>
  <conditionalFormatting sqref="X4:AA4">
    <cfRule type="expression" dxfId="23" priority="87">
      <formula>(X$1&lt;&gt;"")</formula>
    </cfRule>
  </conditionalFormatting>
  <conditionalFormatting sqref="X4:AA4">
    <cfRule type="expression" dxfId="22" priority="82">
      <formula>(X$1&lt;&gt;"")</formula>
    </cfRule>
    <cfRule type="expression" dxfId="21" priority="83">
      <formula>(X$1&lt;&gt;"")</formula>
    </cfRule>
  </conditionalFormatting>
  <conditionalFormatting sqref="X4:AA4">
    <cfRule type="expression" dxfId="20" priority="81">
      <formula>(X$1&lt;&gt;"")</formula>
    </cfRule>
  </conditionalFormatting>
  <conditionalFormatting sqref="X4:AA4">
    <cfRule type="expression" dxfId="19" priority="50">
      <formula>(X$1&lt;&gt;"")</formula>
    </cfRule>
  </conditionalFormatting>
  <conditionalFormatting sqref="X4:AA4">
    <cfRule type="expression" dxfId="18" priority="45">
      <formula>(X$1&lt;&gt;"")</formula>
    </cfRule>
    <cfRule type="expression" dxfId="17" priority="46">
      <formula>(X$1&lt;&gt;"")</formula>
    </cfRule>
  </conditionalFormatting>
  <conditionalFormatting sqref="X4:AA4">
    <cfRule type="expression" dxfId="16" priority="44">
      <formula>(X$1&lt;&gt;"")</formula>
    </cfRule>
  </conditionalFormatting>
  <conditionalFormatting sqref="X4:AA4">
    <cfRule type="expression" dxfId="15" priority="62">
      <formula>(X$1&lt;&gt;"")</formula>
    </cfRule>
  </conditionalFormatting>
  <conditionalFormatting sqref="X4:AA4">
    <cfRule type="expression" dxfId="14" priority="51">
      <formula>(X$1&lt;&gt;"")</formula>
    </cfRule>
    <cfRule type="expression" dxfId="13" priority="52">
      <formula>(X$1&lt;&gt;"")</formula>
    </cfRule>
  </conditionalFormatting>
  <conditionalFormatting sqref="W5:AA5">
    <cfRule type="expression" dxfId="12" priority="13">
      <formula>(W$1&lt;&gt;"")</formula>
    </cfRule>
  </conditionalFormatting>
  <conditionalFormatting sqref="B5">
    <cfRule type="expression" dxfId="11" priority="12">
      <formula>LEFT($A7,2)-LEFT(OFFSET($A7,1,0,1,1),2)&lt;&gt;0</formula>
    </cfRule>
  </conditionalFormatting>
  <conditionalFormatting sqref="B4">
    <cfRule type="expression" dxfId="10" priority="11">
      <formula>LEFT($A6,2)-LEFT(OFFSET($A6,1,0,1,1),2)&lt;&gt;0</formula>
    </cfRule>
  </conditionalFormatting>
  <conditionalFormatting sqref="W4">
    <cfRule type="expression" dxfId="9" priority="10">
      <formula>(W$1&lt;&gt;"")</formula>
    </cfRule>
  </conditionalFormatting>
  <conditionalFormatting sqref="W4">
    <cfRule type="expression" dxfId="8" priority="7">
      <formula>(W$1&lt;&gt;"")</formula>
    </cfRule>
    <cfRule type="expression" dxfId="7" priority="8">
      <formula>(W$1&lt;&gt;"")</formula>
    </cfRule>
    <cfRule type="expression" dxfId="6" priority="9">
      <formula>(W$1&lt;&gt;"")</formula>
    </cfRule>
  </conditionalFormatting>
  <conditionalFormatting sqref="W2:AA3">
    <cfRule type="expression" dxfId="5" priority="6">
      <formula>(W$1&lt;&gt;"")</formula>
    </cfRule>
  </conditionalFormatting>
  <conditionalFormatting sqref="X2:Z3">
    <cfRule type="expression" dxfId="4" priority="4">
      <formula>(X$1&lt;&gt;"")</formula>
    </cfRule>
  </conditionalFormatting>
  <conditionalFormatting sqref="X2:Z3">
    <cfRule type="expression" dxfId="3" priority="3">
      <formula>(X$1&lt;&gt;"")</formula>
    </cfRule>
  </conditionalFormatting>
  <conditionalFormatting sqref="AA2:AA3">
    <cfRule type="expression" dxfId="2" priority="1">
      <formula>(AA$1&lt;&gt;"")</formula>
    </cfRule>
  </conditionalFormatting>
  <conditionalFormatting sqref="A4">
    <cfRule type="duplicateValues" dxfId="1" priority="2304"/>
  </conditionalFormatting>
  <conditionalFormatting sqref="A2:A3">
    <cfRule type="duplicateValues" dxfId="0" priority="231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Pict="0" macro="[0]!卡牌生成_数据更新">
                <anchor moveWithCells="1" sizeWithCells="1">
                  <from>
                    <xdr:col>4</xdr:col>
                    <xdr:colOff>76200</xdr:colOff>
                    <xdr:row>0</xdr:row>
                    <xdr:rowOff>314325</xdr:rowOff>
                  </from>
                  <to>
                    <xdr:col>4</xdr:col>
                    <xdr:colOff>1104900</xdr:colOff>
                    <xdr:row>0</xdr:row>
                    <xdr:rowOff>638175</xdr:rowOff>
                  </to>
                </anchor>
              </controlPr>
            </control>
          </mc:Choice>
        </mc:AlternateContent>
        <mc:AlternateContent xmlns:mc="http://schemas.openxmlformats.org/markup-compatibility/2006">
          <mc:Choice Requires="x14">
            <control shapeId="16386" r:id="rId5" name="Button 2">
              <controlPr defaultSize="0" print="0" autoPict="0" macro="[0]!卡牌生成_QA数据">
                <anchor moveWithCells="1" sizeWithCells="1">
                  <from>
                    <xdr:col>20</xdr:col>
                    <xdr:colOff>66675</xdr:colOff>
                    <xdr:row>0</xdr:row>
                    <xdr:rowOff>266700</xdr:rowOff>
                  </from>
                  <to>
                    <xdr:col>20</xdr:col>
                    <xdr:colOff>933450</xdr:colOff>
                    <xdr:row>0</xdr:row>
                    <xdr:rowOff>581025</xdr:rowOff>
                  </to>
                </anchor>
              </controlPr>
            </control>
          </mc:Choice>
        </mc:AlternateContent>
        <mc:AlternateContent xmlns:mc="http://schemas.openxmlformats.org/markup-compatibility/2006">
          <mc:Choice Requires="x14">
            <control shapeId="16387" r:id="rId6" name="Button 3">
              <controlPr defaultSize="0" print="0" autoPict="0" macro="[0]!卡牌生成_生成SER">
                <anchor moveWithCells="1" sizeWithCells="1">
                  <from>
                    <xdr:col>1</xdr:col>
                    <xdr:colOff>114300</xdr:colOff>
                    <xdr:row>0</xdr:row>
                    <xdr:rowOff>323850</xdr:rowOff>
                  </from>
                  <to>
                    <xdr:col>1</xdr:col>
                    <xdr:colOff>942975</xdr:colOff>
                    <xdr:row>0</xdr:row>
                    <xdr:rowOff>638175</xdr:rowOff>
                  </to>
                </anchor>
              </controlPr>
            </control>
          </mc:Choice>
        </mc:AlternateContent>
        <mc:AlternateContent xmlns:mc="http://schemas.openxmlformats.org/markup-compatibility/2006">
          <mc:Choice Requires="x14">
            <control shapeId="16424" r:id="rId7" name="Button 40">
              <controlPr defaultSize="0" print="0" autoFill="0" autoPict="0" macro="[0]!python_海外combine">
                <anchor moveWithCells="1" sizeWithCells="1">
                  <from>
                    <xdr:col>17</xdr:col>
                    <xdr:colOff>171450</xdr:colOff>
                    <xdr:row>0</xdr:row>
                    <xdr:rowOff>257175</xdr:rowOff>
                  </from>
                  <to>
                    <xdr:col>18</xdr:col>
                    <xdr:colOff>733425</xdr:colOff>
                    <xdr:row>0</xdr:row>
                    <xdr:rowOff>619125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0000000}">
          <x14:formula1>
            <xm:f>数据有效性!$R$2:$R$46</xm:f>
          </x14:formula1>
          <xm:sqref>AA2005:AA1048576 AA442 AA368:AA433 AA366 AA344:AA350 AA336:AA342 AA255:AA329 AA234:AA251 AA162 AA31:AA39 AA46:AA158 AA1:AA3 AA6:AA12</xm:sqref>
        </x14:dataValidation>
        <x14:dataValidation type="list" allowBlank="1" showInputMessage="1" showErrorMessage="1" xr:uid="{00000000-0002-0000-1400-000001000000}">
          <x14:formula1>
            <xm:f>数据有效性!$B:$B</xm:f>
          </x14:formula1>
          <xm:sqref>Y1090:Y1048576 Y442 Y368:Y433 Y366 Y344:Y350 Y336:Y342 Y255:Y329 Y234:Y251 Y162 Y31:Y39 Y46:Y158 Y1:Y3 Y6:Y11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T1152"/>
  <sheetViews>
    <sheetView workbookViewId="0">
      <pane xSplit="2" ySplit="1" topLeftCell="C2" activePane="bottomRight" state="frozen"/>
      <selection pane="topRight"/>
      <selection pane="bottomLeft"/>
      <selection pane="bottomRight" activeCell="A63" sqref="A63:XFD152"/>
    </sheetView>
  </sheetViews>
  <sheetFormatPr defaultColWidth="9" defaultRowHeight="16.5"/>
  <cols>
    <col min="1" max="1" width="15" style="5" customWidth="1"/>
    <col min="2" max="2" width="20.75" style="5" bestFit="1" customWidth="1"/>
    <col min="3" max="5" width="5.5" style="5" customWidth="1"/>
    <col min="6" max="6" width="7.5" style="5" customWidth="1"/>
    <col min="7" max="7" width="6.375" style="5" customWidth="1"/>
    <col min="8" max="8" width="6.5" style="5" customWidth="1"/>
    <col min="9" max="9" width="7.5" style="5" customWidth="1"/>
    <col min="10" max="10" width="9.625" style="5" bestFit="1" customWidth="1"/>
    <col min="11" max="11" width="8" style="5" customWidth="1"/>
    <col min="12" max="12" width="15.125" style="5" customWidth="1"/>
    <col min="13" max="13" width="9.625" style="5" bestFit="1" customWidth="1"/>
    <col min="14" max="14" width="4.75" style="5" customWidth="1"/>
    <col min="15" max="15" width="7.5" style="5" customWidth="1"/>
    <col min="16" max="16" width="9.625" style="5" bestFit="1" customWidth="1"/>
    <col min="17" max="17" width="4.75" style="5" customWidth="1"/>
    <col min="18" max="19" width="11.375" bestFit="1" customWidth="1"/>
    <col min="20" max="20" width="8" bestFit="1" customWidth="1"/>
  </cols>
  <sheetData>
    <row r="1" spans="1:20">
      <c r="A1" s="6" t="s">
        <v>3224</v>
      </c>
      <c r="B1" s="6"/>
      <c r="C1" s="286" t="s">
        <v>3225</v>
      </c>
      <c r="D1" s="286"/>
      <c r="E1" s="286"/>
      <c r="F1" s="286"/>
      <c r="G1" s="286" t="s">
        <v>3226</v>
      </c>
      <c r="H1" s="286"/>
      <c r="I1" s="286"/>
      <c r="J1" s="286"/>
      <c r="K1" s="7"/>
      <c r="L1" s="286" t="s">
        <v>3227</v>
      </c>
      <c r="M1" s="286"/>
      <c r="N1" s="286"/>
      <c r="O1" s="286"/>
      <c r="P1" s="286"/>
      <c r="Q1" s="286"/>
    </row>
    <row r="2" spans="1:20">
      <c r="A2" s="5" t="s">
        <v>3228</v>
      </c>
      <c r="B2" s="5" t="s">
        <v>3229</v>
      </c>
      <c r="C2" s="5" t="s">
        <v>3230</v>
      </c>
      <c r="D2" s="5" t="s">
        <v>3231</v>
      </c>
      <c r="E2" s="5" t="s">
        <v>3232</v>
      </c>
      <c r="F2" s="5" t="s">
        <v>3233</v>
      </c>
      <c r="G2" s="5" t="s">
        <v>3230</v>
      </c>
      <c r="H2" s="5" t="s">
        <v>3231</v>
      </c>
      <c r="I2" s="10" t="s">
        <v>3232</v>
      </c>
      <c r="J2" s="5" t="s">
        <v>3233</v>
      </c>
      <c r="K2" s="5" t="s">
        <v>3234</v>
      </c>
      <c r="L2" s="5" t="s">
        <v>3235</v>
      </c>
      <c r="M2" s="5" t="s">
        <v>3236</v>
      </c>
      <c r="N2" s="5" t="s">
        <v>3237</v>
      </c>
      <c r="O2" s="5" t="s">
        <v>3235</v>
      </c>
      <c r="P2" s="5" t="s">
        <v>3236</v>
      </c>
      <c r="Q2" s="5" t="s">
        <v>3237</v>
      </c>
      <c r="R2" s="14" t="s">
        <v>3528</v>
      </c>
      <c r="S2" s="14" t="s">
        <v>3529</v>
      </c>
      <c r="T2" s="14" t="s">
        <v>3530</v>
      </c>
    </row>
    <row r="3" spans="1:20">
      <c r="A3" s="276">
        <v>52550</v>
      </c>
      <c r="B3" s="276" t="s">
        <v>7165</v>
      </c>
      <c r="C3" s="276">
        <v>237</v>
      </c>
      <c r="D3" s="276">
        <v>316</v>
      </c>
      <c r="E3" s="276">
        <v>6</v>
      </c>
      <c r="F3" s="276">
        <v>99</v>
      </c>
      <c r="G3" s="276">
        <v>4454</v>
      </c>
      <c r="H3" s="276">
        <v>5939</v>
      </c>
      <c r="I3" s="277">
        <v>124</v>
      </c>
      <c r="J3" s="276">
        <v>1856</v>
      </c>
      <c r="K3" s="276">
        <v>5208</v>
      </c>
      <c r="L3" s="276">
        <v>112006</v>
      </c>
      <c r="M3" s="276" t="s">
        <v>6436</v>
      </c>
      <c r="N3" s="276">
        <v>26</v>
      </c>
      <c r="O3" s="276">
        <v>112206</v>
      </c>
      <c r="P3" s="276" t="s">
        <v>7167</v>
      </c>
      <c r="Q3" s="276">
        <v>30</v>
      </c>
      <c r="R3" s="14">
        <v>0</v>
      </c>
      <c r="S3" s="14">
        <v>2</v>
      </c>
      <c r="T3" s="14">
        <v>0.48</v>
      </c>
    </row>
    <row r="4" spans="1:20">
      <c r="A4" s="276">
        <v>31820</v>
      </c>
      <c r="B4" s="276" t="s">
        <v>7143</v>
      </c>
      <c r="C4" s="276">
        <v>129</v>
      </c>
      <c r="D4" s="276">
        <v>3</v>
      </c>
      <c r="E4" s="276">
        <v>140</v>
      </c>
      <c r="F4" s="276">
        <v>52</v>
      </c>
      <c r="G4" s="276">
        <v>2401</v>
      </c>
      <c r="H4" s="276">
        <v>66</v>
      </c>
      <c r="I4" s="277">
        <v>2605</v>
      </c>
      <c r="J4" s="276">
        <v>977</v>
      </c>
      <c r="K4" s="276">
        <v>3214</v>
      </c>
      <c r="L4" s="276">
        <v>112008</v>
      </c>
      <c r="M4" s="276" t="s">
        <v>7144</v>
      </c>
      <c r="N4" s="276">
        <v>10</v>
      </c>
      <c r="O4" s="276">
        <v>112108</v>
      </c>
      <c r="P4" s="276" t="s">
        <v>7145</v>
      </c>
      <c r="Q4" s="276">
        <v>14</v>
      </c>
      <c r="R4" s="14">
        <v>2</v>
      </c>
      <c r="S4" s="14">
        <v>2</v>
      </c>
      <c r="T4" s="14">
        <v>0.43099999999999999</v>
      </c>
    </row>
    <row r="5" spans="1:20">
      <c r="A5" s="276">
        <v>41400</v>
      </c>
      <c r="B5" s="276" t="s">
        <v>7146</v>
      </c>
      <c r="C5" s="276">
        <v>4</v>
      </c>
      <c r="D5" s="276">
        <v>185</v>
      </c>
      <c r="E5" s="276">
        <v>204</v>
      </c>
      <c r="F5" s="276">
        <v>84</v>
      </c>
      <c r="G5" s="276">
        <v>82</v>
      </c>
      <c r="H5" s="276">
        <v>3445</v>
      </c>
      <c r="I5" s="277">
        <v>3804</v>
      </c>
      <c r="J5" s="276">
        <v>1561</v>
      </c>
      <c r="K5" s="276">
        <v>4216</v>
      </c>
      <c r="L5" s="276">
        <v>112001</v>
      </c>
      <c r="M5" s="276" t="s">
        <v>7147</v>
      </c>
      <c r="N5" s="276">
        <v>20</v>
      </c>
      <c r="O5" s="276">
        <v>112101</v>
      </c>
      <c r="P5" s="276" t="s">
        <v>7148</v>
      </c>
      <c r="Q5" s="276">
        <v>20</v>
      </c>
      <c r="R5" s="14">
        <v>1</v>
      </c>
      <c r="S5" s="14">
        <v>2</v>
      </c>
      <c r="T5" s="14">
        <v>0.42799999999999999</v>
      </c>
    </row>
    <row r="6" spans="1:20">
      <c r="A6" s="276">
        <v>31810</v>
      </c>
      <c r="B6" s="276" t="s">
        <v>7049</v>
      </c>
      <c r="C6" s="276">
        <v>117</v>
      </c>
      <c r="D6" s="276">
        <v>156</v>
      </c>
      <c r="E6" s="276">
        <v>3</v>
      </c>
      <c r="F6" s="276">
        <v>49</v>
      </c>
      <c r="G6" s="276">
        <v>2179</v>
      </c>
      <c r="H6" s="276">
        <v>2904</v>
      </c>
      <c r="I6" s="277">
        <v>60</v>
      </c>
      <c r="J6" s="276">
        <v>907</v>
      </c>
      <c r="K6" s="276">
        <v>3208</v>
      </c>
      <c r="L6" s="276">
        <v>112002</v>
      </c>
      <c r="M6" s="276" t="s">
        <v>6444</v>
      </c>
      <c r="N6" s="276">
        <v>13</v>
      </c>
      <c r="O6" s="276">
        <v>112102</v>
      </c>
      <c r="P6" s="276" t="s">
        <v>7050</v>
      </c>
      <c r="Q6" s="276">
        <v>11</v>
      </c>
      <c r="R6" s="14">
        <v>2</v>
      </c>
      <c r="S6" s="14">
        <v>2</v>
      </c>
      <c r="T6" s="14">
        <v>0.48</v>
      </c>
    </row>
    <row r="7" spans="1:20">
      <c r="A7" s="276">
        <v>32800</v>
      </c>
      <c r="B7" s="276" t="s">
        <v>7051</v>
      </c>
      <c r="C7" s="276">
        <v>156</v>
      </c>
      <c r="D7" s="276">
        <v>3</v>
      </c>
      <c r="E7" s="276">
        <v>49</v>
      </c>
      <c r="F7" s="276">
        <v>117</v>
      </c>
      <c r="G7" s="276">
        <v>2904</v>
      </c>
      <c r="H7" s="276">
        <v>60</v>
      </c>
      <c r="I7" s="277">
        <v>907</v>
      </c>
      <c r="J7" s="276">
        <v>2179</v>
      </c>
      <c r="K7" s="276">
        <v>3206</v>
      </c>
      <c r="L7" s="276">
        <v>112003</v>
      </c>
      <c r="M7" s="276" t="s">
        <v>6434</v>
      </c>
      <c r="N7" s="276">
        <v>13</v>
      </c>
      <c r="O7" s="276">
        <v>112203</v>
      </c>
      <c r="P7" s="276" t="s">
        <v>7052</v>
      </c>
      <c r="Q7" s="276">
        <v>11</v>
      </c>
      <c r="R7" s="14">
        <v>2</v>
      </c>
      <c r="S7" s="14">
        <v>2</v>
      </c>
      <c r="T7" s="14">
        <v>0.48</v>
      </c>
    </row>
    <row r="8" spans="1:20">
      <c r="A8" s="276">
        <v>33820</v>
      </c>
      <c r="B8" s="276" t="s">
        <v>7053</v>
      </c>
      <c r="C8" s="276">
        <v>3</v>
      </c>
      <c r="D8" s="276">
        <v>156</v>
      </c>
      <c r="E8" s="276">
        <v>117</v>
      </c>
      <c r="F8" s="276">
        <v>49</v>
      </c>
      <c r="G8" s="276">
        <v>60</v>
      </c>
      <c r="H8" s="276">
        <v>2904</v>
      </c>
      <c r="I8" s="277">
        <v>2179</v>
      </c>
      <c r="J8" s="276">
        <v>907</v>
      </c>
      <c r="K8" s="276">
        <v>3210</v>
      </c>
      <c r="L8" s="276">
        <v>112006</v>
      </c>
      <c r="M8" s="276" t="s">
        <v>6436</v>
      </c>
      <c r="N8" s="276">
        <v>11</v>
      </c>
      <c r="O8" s="276">
        <v>112305</v>
      </c>
      <c r="P8" s="276" t="s">
        <v>6447</v>
      </c>
      <c r="Q8" s="276">
        <v>13</v>
      </c>
      <c r="R8" s="14">
        <v>2</v>
      </c>
      <c r="S8" s="14">
        <v>2</v>
      </c>
      <c r="T8" s="14">
        <v>0.48</v>
      </c>
    </row>
    <row r="9" spans="1:20">
      <c r="A9" s="276">
        <v>34830</v>
      </c>
      <c r="B9" s="276" t="s">
        <v>7054</v>
      </c>
      <c r="C9" s="276">
        <v>3</v>
      </c>
      <c r="D9" s="276">
        <v>49</v>
      </c>
      <c r="E9" s="276">
        <v>156</v>
      </c>
      <c r="F9" s="276">
        <v>117</v>
      </c>
      <c r="G9" s="276">
        <v>60</v>
      </c>
      <c r="H9" s="276">
        <v>907</v>
      </c>
      <c r="I9" s="277">
        <v>2904</v>
      </c>
      <c r="J9" s="276">
        <v>2179</v>
      </c>
      <c r="K9" s="276">
        <v>3218</v>
      </c>
      <c r="L9" s="276">
        <v>112009</v>
      </c>
      <c r="M9" s="276" t="s">
        <v>6446</v>
      </c>
      <c r="N9" s="276">
        <v>12</v>
      </c>
      <c r="O9" s="276">
        <v>112407</v>
      </c>
      <c r="P9" s="276" t="s">
        <v>7055</v>
      </c>
      <c r="Q9" s="276">
        <v>12</v>
      </c>
      <c r="R9" s="14">
        <v>2</v>
      </c>
      <c r="S9" s="14">
        <v>2</v>
      </c>
      <c r="T9" s="14">
        <v>0.48</v>
      </c>
    </row>
    <row r="10" spans="1:20">
      <c r="A10" s="276">
        <v>38250</v>
      </c>
      <c r="B10" s="276" t="s">
        <v>7056</v>
      </c>
      <c r="C10" s="276">
        <v>49</v>
      </c>
      <c r="D10" s="276">
        <v>3</v>
      </c>
      <c r="E10" s="276">
        <v>117</v>
      </c>
      <c r="F10" s="276">
        <v>156</v>
      </c>
      <c r="G10" s="276">
        <v>907</v>
      </c>
      <c r="H10" s="276">
        <v>60</v>
      </c>
      <c r="I10" s="277">
        <v>2179</v>
      </c>
      <c r="J10" s="276">
        <v>2904</v>
      </c>
      <c r="K10" s="276">
        <v>3223</v>
      </c>
      <c r="L10" s="276">
        <v>112007</v>
      </c>
      <c r="M10" s="276" t="s">
        <v>6435</v>
      </c>
      <c r="N10" s="276">
        <v>12</v>
      </c>
      <c r="O10" s="276">
        <v>112006</v>
      </c>
      <c r="P10" s="276" t="s">
        <v>6436</v>
      </c>
      <c r="Q10" s="276">
        <v>12</v>
      </c>
      <c r="R10" s="14">
        <v>2</v>
      </c>
      <c r="S10" s="14">
        <v>2</v>
      </c>
      <c r="T10" s="14">
        <v>0.48</v>
      </c>
    </row>
    <row r="11" spans="1:20">
      <c r="A11" s="276">
        <v>34820</v>
      </c>
      <c r="B11" s="276" t="s">
        <v>7057</v>
      </c>
      <c r="C11" s="276">
        <v>117</v>
      </c>
      <c r="D11" s="276">
        <v>129</v>
      </c>
      <c r="E11" s="276">
        <v>75</v>
      </c>
      <c r="F11" s="276">
        <v>3</v>
      </c>
      <c r="G11" s="276">
        <v>2179</v>
      </c>
      <c r="H11" s="276">
        <v>2418</v>
      </c>
      <c r="I11" s="277">
        <v>1392</v>
      </c>
      <c r="J11" s="276">
        <v>60</v>
      </c>
      <c r="K11" s="276">
        <v>3207</v>
      </c>
      <c r="L11" s="276">
        <v>112004</v>
      </c>
      <c r="M11" s="276" t="s">
        <v>6445</v>
      </c>
      <c r="N11" s="276">
        <v>10</v>
      </c>
      <c r="O11" s="276">
        <v>112406</v>
      </c>
      <c r="P11" s="276" t="s">
        <v>7058</v>
      </c>
      <c r="Q11" s="276">
        <v>14</v>
      </c>
      <c r="R11" s="14">
        <v>2</v>
      </c>
      <c r="S11" s="14">
        <v>2</v>
      </c>
      <c r="T11" s="14">
        <v>0.4</v>
      </c>
    </row>
    <row r="12" spans="1:20">
      <c r="A12" s="276">
        <v>71190</v>
      </c>
      <c r="B12" s="276" t="s">
        <v>7059</v>
      </c>
      <c r="C12" s="276">
        <v>191</v>
      </c>
      <c r="D12" s="276">
        <v>258</v>
      </c>
      <c r="E12" s="276">
        <v>6</v>
      </c>
      <c r="F12" s="276">
        <v>113</v>
      </c>
      <c r="G12" s="276">
        <v>3139</v>
      </c>
      <c r="H12" s="276">
        <v>4160</v>
      </c>
      <c r="I12" s="277">
        <v>94</v>
      </c>
      <c r="J12" s="276">
        <v>1847</v>
      </c>
      <c r="K12" s="276">
        <v>7208</v>
      </c>
      <c r="L12" s="276"/>
      <c r="M12" s="276"/>
      <c r="N12" s="276"/>
      <c r="O12" s="276"/>
      <c r="P12" s="276"/>
      <c r="Q12" s="276"/>
      <c r="R12" s="14">
        <v>2</v>
      </c>
      <c r="S12" s="14">
        <v>1</v>
      </c>
      <c r="T12" s="14">
        <v>0.45</v>
      </c>
    </row>
    <row r="13" spans="1:20">
      <c r="A13" s="276">
        <v>810119</v>
      </c>
      <c r="B13" s="276" t="s">
        <v>6972</v>
      </c>
      <c r="C13" s="276">
        <v>5893</v>
      </c>
      <c r="D13" s="276">
        <v>2374</v>
      </c>
      <c r="E13" s="276">
        <v>644</v>
      </c>
      <c r="F13" s="276">
        <v>4147</v>
      </c>
      <c r="G13" s="276">
        <v>7214</v>
      </c>
      <c r="H13" s="276">
        <v>2906</v>
      </c>
      <c r="I13" s="277">
        <v>788</v>
      </c>
      <c r="J13" s="276">
        <v>5076</v>
      </c>
      <c r="K13" s="276">
        <v>8205</v>
      </c>
      <c r="L13" s="276"/>
      <c r="M13" s="276"/>
      <c r="N13" s="276"/>
      <c r="O13" s="276"/>
      <c r="P13" s="276"/>
      <c r="Q13" s="276"/>
      <c r="R13" s="14">
        <v>0</v>
      </c>
      <c r="S13" s="14">
        <v>1</v>
      </c>
      <c r="T13" s="14">
        <v>0.45100000000000001</v>
      </c>
    </row>
    <row r="14" spans="1:20">
      <c r="A14" s="276">
        <v>810219</v>
      </c>
      <c r="B14" s="276" t="s">
        <v>6973</v>
      </c>
      <c r="C14" s="276">
        <v>5686</v>
      </c>
      <c r="D14" s="276">
        <v>2170</v>
      </c>
      <c r="E14" s="276">
        <v>1022</v>
      </c>
      <c r="F14" s="276">
        <v>4180</v>
      </c>
      <c r="G14" s="276">
        <v>6960</v>
      </c>
      <c r="H14" s="276">
        <v>2656</v>
      </c>
      <c r="I14" s="277">
        <v>1251</v>
      </c>
      <c r="J14" s="276">
        <v>5117</v>
      </c>
      <c r="K14" s="276">
        <v>8205</v>
      </c>
      <c r="L14" s="276"/>
      <c r="M14" s="276"/>
      <c r="N14" s="276"/>
      <c r="O14" s="276"/>
      <c r="P14" s="276"/>
      <c r="Q14" s="276"/>
      <c r="R14" s="14">
        <v>0</v>
      </c>
      <c r="S14" s="14">
        <v>1</v>
      </c>
      <c r="T14" s="14">
        <v>0.435</v>
      </c>
    </row>
    <row r="15" spans="1:20">
      <c r="A15" s="276">
        <v>810319</v>
      </c>
      <c r="B15" s="276" t="s">
        <v>6974</v>
      </c>
      <c r="C15" s="276">
        <v>2224</v>
      </c>
      <c r="D15" s="276">
        <v>6074</v>
      </c>
      <c r="E15" s="276">
        <v>644</v>
      </c>
      <c r="F15" s="276">
        <v>4117</v>
      </c>
      <c r="G15" s="276">
        <v>2722</v>
      </c>
      <c r="H15" s="276">
        <v>7436</v>
      </c>
      <c r="I15" s="277">
        <v>788</v>
      </c>
      <c r="J15" s="276">
        <v>5040</v>
      </c>
      <c r="K15" s="276">
        <v>8211</v>
      </c>
      <c r="L15" s="276"/>
      <c r="M15" s="276"/>
      <c r="N15" s="276"/>
      <c r="O15" s="276"/>
      <c r="P15" s="276"/>
      <c r="Q15" s="276"/>
      <c r="R15" s="14">
        <v>0</v>
      </c>
      <c r="S15" s="14">
        <v>2</v>
      </c>
      <c r="T15" s="14">
        <v>0.46500000000000002</v>
      </c>
    </row>
    <row r="16" spans="1:20">
      <c r="A16" s="276">
        <v>810419</v>
      </c>
      <c r="B16" s="276" t="s">
        <v>6975</v>
      </c>
      <c r="C16" s="276">
        <v>1943</v>
      </c>
      <c r="D16" s="276">
        <v>6154</v>
      </c>
      <c r="E16" s="276">
        <v>3742</v>
      </c>
      <c r="F16" s="276">
        <v>1219</v>
      </c>
      <c r="G16" s="276">
        <v>2378</v>
      </c>
      <c r="H16" s="276">
        <v>7534</v>
      </c>
      <c r="I16" s="277">
        <v>4581</v>
      </c>
      <c r="J16" s="276">
        <v>1492</v>
      </c>
      <c r="K16" s="276">
        <v>8209</v>
      </c>
      <c r="L16" s="276"/>
      <c r="M16" s="276"/>
      <c r="N16" s="276"/>
      <c r="O16" s="276"/>
      <c r="P16" s="276"/>
      <c r="Q16" s="276"/>
      <c r="R16" s="14">
        <v>0</v>
      </c>
      <c r="S16" s="14">
        <v>1</v>
      </c>
      <c r="T16" s="14">
        <v>0.47099999999999997</v>
      </c>
    </row>
    <row r="17" spans="1:20">
      <c r="A17" s="276">
        <v>810519</v>
      </c>
      <c r="B17" s="276" t="s">
        <v>6976</v>
      </c>
      <c r="C17" s="276">
        <v>3905</v>
      </c>
      <c r="D17" s="276">
        <v>6120</v>
      </c>
      <c r="E17" s="276">
        <v>2061</v>
      </c>
      <c r="F17" s="276">
        <v>972</v>
      </c>
      <c r="G17" s="276">
        <v>4780</v>
      </c>
      <c r="H17" s="276">
        <v>7492</v>
      </c>
      <c r="I17" s="277">
        <v>2523</v>
      </c>
      <c r="J17" s="276">
        <v>1189</v>
      </c>
      <c r="K17" s="276">
        <v>8207</v>
      </c>
      <c r="L17" s="276"/>
      <c r="M17" s="276"/>
      <c r="N17" s="276"/>
      <c r="O17" s="276"/>
      <c r="P17" s="276"/>
      <c r="Q17" s="276"/>
      <c r="R17" s="14">
        <v>0</v>
      </c>
      <c r="S17" s="14">
        <v>1</v>
      </c>
      <c r="T17" s="14">
        <v>0.46899999999999997</v>
      </c>
    </row>
    <row r="18" spans="1:20">
      <c r="A18" s="276">
        <v>810619</v>
      </c>
      <c r="B18" s="276" t="s">
        <v>6977</v>
      </c>
      <c r="C18" s="276">
        <v>1258</v>
      </c>
      <c r="D18" s="276">
        <v>5642</v>
      </c>
      <c r="E18" s="276">
        <v>2091</v>
      </c>
      <c r="F18" s="276">
        <v>4066</v>
      </c>
      <c r="G18" s="276">
        <v>1539</v>
      </c>
      <c r="H18" s="276">
        <v>6907</v>
      </c>
      <c r="I18" s="277">
        <v>2560</v>
      </c>
      <c r="J18" s="276">
        <v>4977</v>
      </c>
      <c r="K18" s="276">
        <v>8212</v>
      </c>
      <c r="L18" s="276"/>
      <c r="M18" s="276"/>
      <c r="N18" s="276"/>
      <c r="O18" s="276"/>
      <c r="P18" s="276"/>
      <c r="Q18" s="276"/>
      <c r="R18" s="14">
        <v>0</v>
      </c>
      <c r="S18" s="14">
        <v>0</v>
      </c>
      <c r="T18" s="14">
        <v>0.432</v>
      </c>
    </row>
    <row r="19" spans="1:20">
      <c r="A19" s="276">
        <v>810719</v>
      </c>
      <c r="B19" s="276" t="s">
        <v>6978</v>
      </c>
      <c r="C19" s="276">
        <v>4035</v>
      </c>
      <c r="D19" s="276">
        <v>5880</v>
      </c>
      <c r="E19" s="276">
        <v>2171</v>
      </c>
      <c r="F19" s="276">
        <v>972</v>
      </c>
      <c r="G19" s="276">
        <v>4939</v>
      </c>
      <c r="H19" s="276">
        <v>7198</v>
      </c>
      <c r="I19" s="277">
        <v>2658</v>
      </c>
      <c r="J19" s="276">
        <v>1189</v>
      </c>
      <c r="K19" s="276">
        <v>8207</v>
      </c>
      <c r="L19" s="276"/>
      <c r="M19" s="276"/>
      <c r="N19" s="276"/>
      <c r="O19" s="276"/>
      <c r="P19" s="276"/>
      <c r="Q19" s="276"/>
      <c r="R19" s="14">
        <v>0</v>
      </c>
      <c r="S19" s="14">
        <v>1</v>
      </c>
      <c r="T19" s="14">
        <v>0.45</v>
      </c>
    </row>
    <row r="20" spans="1:20">
      <c r="A20" s="276">
        <v>810819</v>
      </c>
      <c r="B20" s="276" t="s">
        <v>6979</v>
      </c>
      <c r="C20" s="276">
        <v>2144</v>
      </c>
      <c r="D20" s="276">
        <v>3931</v>
      </c>
      <c r="E20" s="276">
        <v>1376</v>
      </c>
      <c r="F20" s="276">
        <v>5607</v>
      </c>
      <c r="G20" s="276">
        <v>2624</v>
      </c>
      <c r="H20" s="276">
        <v>4812</v>
      </c>
      <c r="I20" s="277">
        <v>1684</v>
      </c>
      <c r="J20" s="276">
        <v>6864</v>
      </c>
      <c r="K20" s="276">
        <v>8221</v>
      </c>
      <c r="L20" s="276"/>
      <c r="M20" s="276"/>
      <c r="N20" s="276"/>
      <c r="O20" s="276"/>
      <c r="P20" s="276"/>
      <c r="Q20" s="276"/>
      <c r="R20" s="14">
        <v>0</v>
      </c>
      <c r="S20" s="14">
        <v>1</v>
      </c>
      <c r="T20" s="14">
        <v>0.42899999999999999</v>
      </c>
    </row>
    <row r="21" spans="1:20">
      <c r="A21" s="276">
        <v>810919</v>
      </c>
      <c r="B21" s="276" t="s">
        <v>6980</v>
      </c>
      <c r="C21" s="276">
        <v>1258</v>
      </c>
      <c r="D21" s="276">
        <v>4135</v>
      </c>
      <c r="E21" s="276">
        <v>2061</v>
      </c>
      <c r="F21" s="276">
        <v>5606</v>
      </c>
      <c r="G21" s="276">
        <v>1539</v>
      </c>
      <c r="H21" s="276">
        <v>5062</v>
      </c>
      <c r="I21" s="277">
        <v>2523</v>
      </c>
      <c r="J21" s="276">
        <v>6862</v>
      </c>
      <c r="K21" s="276">
        <v>8222</v>
      </c>
      <c r="L21" s="276"/>
      <c r="M21" s="276"/>
      <c r="N21" s="276"/>
      <c r="O21" s="276"/>
      <c r="P21" s="276"/>
      <c r="Q21" s="276"/>
      <c r="R21" s="14">
        <v>1</v>
      </c>
      <c r="S21" s="14">
        <v>2</v>
      </c>
      <c r="T21" s="14">
        <v>0.42899999999999999</v>
      </c>
    </row>
    <row r="22" spans="1:20">
      <c r="A22" s="276">
        <v>811019</v>
      </c>
      <c r="B22" s="276" t="s">
        <v>6981</v>
      </c>
      <c r="C22" s="276">
        <v>1943</v>
      </c>
      <c r="D22" s="276">
        <v>5913</v>
      </c>
      <c r="E22" s="276">
        <v>3983</v>
      </c>
      <c r="F22" s="276">
        <v>1219</v>
      </c>
      <c r="G22" s="276">
        <v>2378</v>
      </c>
      <c r="H22" s="276">
        <v>7239</v>
      </c>
      <c r="I22" s="277">
        <v>4876</v>
      </c>
      <c r="J22" s="276">
        <v>1492</v>
      </c>
      <c r="K22" s="276">
        <v>8209</v>
      </c>
      <c r="L22" s="276"/>
      <c r="M22" s="276"/>
      <c r="N22" s="276"/>
      <c r="O22" s="276"/>
      <c r="P22" s="276"/>
      <c r="Q22" s="276"/>
      <c r="R22" s="14">
        <v>0</v>
      </c>
      <c r="S22" s="14">
        <v>1</v>
      </c>
      <c r="T22" s="14">
        <v>0.45300000000000001</v>
      </c>
    </row>
    <row r="23" spans="1:20">
      <c r="A23" s="276">
        <v>811119</v>
      </c>
      <c r="B23" s="276" t="s">
        <v>6982</v>
      </c>
      <c r="C23" s="276">
        <v>4355</v>
      </c>
      <c r="D23" s="276">
        <v>6026</v>
      </c>
      <c r="E23" s="276">
        <v>644</v>
      </c>
      <c r="F23" s="276">
        <v>2034</v>
      </c>
      <c r="G23" s="276">
        <v>5331</v>
      </c>
      <c r="H23" s="276">
        <v>7377</v>
      </c>
      <c r="I23" s="277">
        <v>788</v>
      </c>
      <c r="J23" s="276">
        <v>2490</v>
      </c>
      <c r="K23" s="276">
        <v>8208</v>
      </c>
      <c r="L23" s="276"/>
      <c r="M23" s="276"/>
      <c r="N23" s="276"/>
      <c r="O23" s="276"/>
      <c r="P23" s="276"/>
      <c r="Q23" s="276"/>
      <c r="R23" s="14">
        <v>1</v>
      </c>
      <c r="S23" s="14">
        <v>1</v>
      </c>
      <c r="T23" s="14">
        <v>0.46100000000000002</v>
      </c>
    </row>
    <row r="24" spans="1:20">
      <c r="A24" s="276">
        <v>811219</v>
      </c>
      <c r="B24" s="276" t="s">
        <v>6983</v>
      </c>
      <c r="C24" s="276">
        <v>5877</v>
      </c>
      <c r="D24" s="276">
        <v>2170</v>
      </c>
      <c r="E24" s="276">
        <v>975</v>
      </c>
      <c r="F24" s="276">
        <v>4036</v>
      </c>
      <c r="G24" s="276">
        <v>7194</v>
      </c>
      <c r="H24" s="276">
        <v>2656</v>
      </c>
      <c r="I24" s="277">
        <v>1193</v>
      </c>
      <c r="J24" s="276">
        <v>4940</v>
      </c>
      <c r="K24" s="276">
        <v>8205</v>
      </c>
      <c r="L24" s="276"/>
      <c r="M24" s="276"/>
      <c r="N24" s="276"/>
      <c r="O24" s="276"/>
      <c r="P24" s="276"/>
      <c r="Q24" s="276"/>
      <c r="R24" s="14">
        <v>0</v>
      </c>
      <c r="S24" s="14">
        <v>1</v>
      </c>
      <c r="T24" s="14">
        <v>0.45</v>
      </c>
    </row>
    <row r="25" spans="1:20">
      <c r="A25" s="276">
        <v>811319</v>
      </c>
      <c r="B25" s="276" t="s">
        <v>6984</v>
      </c>
      <c r="C25" s="276">
        <v>5926</v>
      </c>
      <c r="D25" s="276">
        <v>4582</v>
      </c>
      <c r="E25" s="276">
        <v>895</v>
      </c>
      <c r="F25" s="276">
        <v>1657</v>
      </c>
      <c r="G25" s="276">
        <v>7254</v>
      </c>
      <c r="H25" s="276">
        <v>5609</v>
      </c>
      <c r="I25" s="277">
        <v>1095</v>
      </c>
      <c r="J25" s="276">
        <v>2028</v>
      </c>
      <c r="K25" s="276">
        <v>8202</v>
      </c>
      <c r="L25" s="276"/>
      <c r="M25" s="276"/>
      <c r="N25" s="276"/>
      <c r="O25" s="276"/>
      <c r="P25" s="276"/>
      <c r="Q25" s="276"/>
      <c r="R25" s="14">
        <v>1</v>
      </c>
      <c r="S25" s="14">
        <v>2</v>
      </c>
      <c r="T25" s="14">
        <v>0.45400000000000001</v>
      </c>
    </row>
    <row r="26" spans="1:20">
      <c r="A26" s="276">
        <v>811419</v>
      </c>
      <c r="B26" s="276" t="s">
        <v>6985</v>
      </c>
      <c r="C26" s="276">
        <v>5927</v>
      </c>
      <c r="D26" s="276">
        <v>4583</v>
      </c>
      <c r="E26" s="276">
        <v>644</v>
      </c>
      <c r="F26" s="276">
        <v>1904</v>
      </c>
      <c r="G26" s="276">
        <v>7255</v>
      </c>
      <c r="H26" s="276">
        <v>5610</v>
      </c>
      <c r="I26" s="277">
        <v>788</v>
      </c>
      <c r="J26" s="276">
        <v>2330</v>
      </c>
      <c r="K26" s="276">
        <v>8202</v>
      </c>
      <c r="L26" s="276"/>
      <c r="M26" s="276"/>
      <c r="N26" s="276"/>
      <c r="O26" s="276"/>
      <c r="P26" s="276"/>
      <c r="Q26" s="276"/>
      <c r="R26" s="14">
        <v>0</v>
      </c>
      <c r="S26" s="14">
        <v>1</v>
      </c>
      <c r="T26" s="14">
        <v>0.45400000000000001</v>
      </c>
    </row>
    <row r="27" spans="1:20">
      <c r="A27" s="276">
        <v>811519</v>
      </c>
      <c r="B27" s="276" t="s">
        <v>6986</v>
      </c>
      <c r="C27" s="276">
        <v>2274</v>
      </c>
      <c r="D27" s="276">
        <v>5882</v>
      </c>
      <c r="E27" s="276">
        <v>644</v>
      </c>
      <c r="F27" s="276">
        <v>4260</v>
      </c>
      <c r="G27" s="276">
        <v>2783</v>
      </c>
      <c r="H27" s="276">
        <v>7201</v>
      </c>
      <c r="I27" s="277">
        <v>788</v>
      </c>
      <c r="J27" s="276">
        <v>5215</v>
      </c>
      <c r="K27" s="276">
        <v>8211</v>
      </c>
      <c r="L27" s="276"/>
      <c r="M27" s="276"/>
      <c r="N27" s="276"/>
      <c r="O27" s="276"/>
      <c r="P27" s="276"/>
      <c r="Q27" s="276"/>
      <c r="R27" s="14">
        <v>1</v>
      </c>
      <c r="S27" s="14">
        <v>2</v>
      </c>
      <c r="T27" s="14">
        <v>0.45</v>
      </c>
    </row>
    <row r="28" spans="1:20">
      <c r="A28" s="276">
        <v>811619</v>
      </c>
      <c r="B28" s="276" t="s">
        <v>6987</v>
      </c>
      <c r="C28" s="276">
        <v>5765</v>
      </c>
      <c r="D28" s="276">
        <v>4135</v>
      </c>
      <c r="E28" s="276">
        <v>2188</v>
      </c>
      <c r="F28" s="276">
        <v>972</v>
      </c>
      <c r="G28" s="276">
        <v>7057</v>
      </c>
      <c r="H28" s="276">
        <v>5062</v>
      </c>
      <c r="I28" s="277">
        <v>2678</v>
      </c>
      <c r="J28" s="276">
        <v>1189</v>
      </c>
      <c r="K28" s="276">
        <v>8201</v>
      </c>
      <c r="L28" s="276"/>
      <c r="M28" s="276"/>
      <c r="N28" s="276"/>
      <c r="O28" s="276"/>
      <c r="P28" s="276"/>
      <c r="Q28" s="276"/>
      <c r="R28" s="14">
        <v>1</v>
      </c>
      <c r="S28" s="14">
        <v>2</v>
      </c>
      <c r="T28" s="14">
        <v>0.441</v>
      </c>
    </row>
    <row r="29" spans="1:20">
      <c r="A29" s="276">
        <v>811719</v>
      </c>
      <c r="B29" s="276" t="s">
        <v>6988</v>
      </c>
      <c r="C29" s="276">
        <v>4698</v>
      </c>
      <c r="D29" s="276">
        <v>6003</v>
      </c>
      <c r="E29" s="276">
        <v>582</v>
      </c>
      <c r="F29" s="276">
        <v>1767</v>
      </c>
      <c r="G29" s="276">
        <v>5752</v>
      </c>
      <c r="H29" s="276">
        <v>7350</v>
      </c>
      <c r="I29" s="277">
        <v>712</v>
      </c>
      <c r="J29" s="276">
        <v>2163</v>
      </c>
      <c r="K29" s="276">
        <v>8208</v>
      </c>
      <c r="L29" s="276"/>
      <c r="M29" s="276"/>
      <c r="N29" s="276"/>
      <c r="O29" s="276"/>
      <c r="P29" s="276"/>
      <c r="Q29" s="276"/>
      <c r="R29" s="14">
        <v>-9</v>
      </c>
      <c r="S29" s="14">
        <v>2</v>
      </c>
      <c r="T29" s="14">
        <v>0.46</v>
      </c>
    </row>
    <row r="30" spans="1:20">
      <c r="A30" s="276">
        <v>811819</v>
      </c>
      <c r="B30" s="276" t="s">
        <v>6989</v>
      </c>
      <c r="C30" s="276">
        <v>4035</v>
      </c>
      <c r="D30" s="276">
        <v>2170</v>
      </c>
      <c r="E30" s="276">
        <v>1486</v>
      </c>
      <c r="F30" s="276">
        <v>5366</v>
      </c>
      <c r="G30" s="276">
        <v>4939</v>
      </c>
      <c r="H30" s="276">
        <v>2656</v>
      </c>
      <c r="I30" s="277">
        <v>1819</v>
      </c>
      <c r="J30" s="276">
        <v>6569</v>
      </c>
      <c r="K30" s="276">
        <v>8219</v>
      </c>
      <c r="L30" s="276"/>
      <c r="M30" s="276"/>
      <c r="N30" s="276"/>
      <c r="O30" s="276"/>
      <c r="P30" s="276"/>
      <c r="Q30" s="276"/>
      <c r="R30" s="14">
        <v>0</v>
      </c>
      <c r="S30" s="14">
        <v>0</v>
      </c>
      <c r="T30" s="14">
        <v>0.41099999999999998</v>
      </c>
    </row>
    <row r="31" spans="1:20">
      <c r="A31" s="6" t="s">
        <v>3238</v>
      </c>
      <c r="B31" s="6"/>
      <c r="C31" s="6"/>
      <c r="D31" s="6"/>
      <c r="E31" s="6"/>
      <c r="F31" s="6"/>
      <c r="G31" s="6"/>
      <c r="H31" s="6"/>
      <c r="I31" s="11"/>
      <c r="J31" s="6"/>
      <c r="K31" s="6"/>
      <c r="L31" s="6"/>
      <c r="M31" s="6"/>
      <c r="N31" s="6"/>
      <c r="O31" s="6"/>
      <c r="P31" s="6"/>
      <c r="Q31" s="6"/>
    </row>
    <row r="32" spans="1:20">
      <c r="A32" s="5" t="s">
        <v>3228</v>
      </c>
      <c r="B32" s="5" t="s">
        <v>3229</v>
      </c>
      <c r="C32" s="5" t="s">
        <v>393</v>
      </c>
      <c r="D32" s="5" t="s">
        <v>3239</v>
      </c>
      <c r="E32" s="287" t="s">
        <v>394</v>
      </c>
      <c r="F32" s="287"/>
      <c r="G32" s="5" t="s">
        <v>3240</v>
      </c>
      <c r="H32" s="287" t="s">
        <v>3241</v>
      </c>
      <c r="I32" s="287"/>
      <c r="J32" s="287" t="s">
        <v>3242</v>
      </c>
      <c r="K32" s="287"/>
      <c r="L32" s="288" t="s">
        <v>3243</v>
      </c>
      <c r="M32" s="288"/>
      <c r="N32" s="10"/>
    </row>
    <row r="33" spans="1:17">
      <c r="A33" s="276">
        <v>52550</v>
      </c>
      <c r="B33" s="276" t="s">
        <v>7165</v>
      </c>
      <c r="C33" s="276">
        <v>130</v>
      </c>
      <c r="D33" s="276">
        <v>610</v>
      </c>
      <c r="E33" s="276">
        <v>2002</v>
      </c>
      <c r="F33" s="276"/>
      <c r="G33" s="276">
        <v>18</v>
      </c>
      <c r="H33" s="276">
        <v>4</v>
      </c>
      <c r="I33" s="276"/>
      <c r="J33" s="276">
        <v>3</v>
      </c>
      <c r="K33" s="276"/>
      <c r="L33" s="277">
        <v>20003</v>
      </c>
      <c r="M33" s="277"/>
      <c r="N33" s="277"/>
      <c r="O33" s="276"/>
      <c r="P33" s="276"/>
      <c r="Q33" s="276"/>
    </row>
    <row r="34" spans="1:17">
      <c r="A34" s="276">
        <v>31820</v>
      </c>
      <c r="B34" s="276" t="s">
        <v>7143</v>
      </c>
      <c r="C34" s="276">
        <v>140</v>
      </c>
      <c r="D34" s="276">
        <v>617</v>
      </c>
      <c r="E34" s="276">
        <v>1007</v>
      </c>
      <c r="F34" s="276"/>
      <c r="G34" s="276">
        <v>63</v>
      </c>
      <c r="H34" s="276">
        <v>201</v>
      </c>
      <c r="I34" s="276"/>
      <c r="J34" s="276">
        <v>5</v>
      </c>
      <c r="K34" s="276"/>
      <c r="L34" s="277">
        <v>101</v>
      </c>
      <c r="M34" s="277"/>
      <c r="N34" s="277"/>
      <c r="O34" s="276"/>
      <c r="P34" s="276"/>
      <c r="Q34" s="276"/>
    </row>
    <row r="35" spans="1:17">
      <c r="A35" s="276">
        <v>41400</v>
      </c>
      <c r="B35" s="276" t="s">
        <v>7146</v>
      </c>
      <c r="C35" s="276">
        <v>138</v>
      </c>
      <c r="D35" s="276">
        <v>610</v>
      </c>
      <c r="E35" s="276">
        <v>1001</v>
      </c>
      <c r="F35" s="276"/>
      <c r="G35" s="276">
        <v>9</v>
      </c>
      <c r="H35" s="276">
        <v>101</v>
      </c>
      <c r="I35" s="276"/>
      <c r="J35" s="276">
        <v>2</v>
      </c>
      <c r="K35" s="276"/>
      <c r="L35" s="277">
        <v>10002</v>
      </c>
      <c r="M35" s="277"/>
      <c r="N35" s="277"/>
      <c r="O35" s="276"/>
      <c r="P35" s="276"/>
      <c r="Q35" s="276"/>
    </row>
    <row r="36" spans="1:17">
      <c r="A36" s="276">
        <v>31810</v>
      </c>
      <c r="B36" s="276" t="s">
        <v>7049</v>
      </c>
      <c r="C36" s="276">
        <v>152</v>
      </c>
      <c r="D36" s="276">
        <v>618</v>
      </c>
      <c r="E36" s="276">
        <v>1009</v>
      </c>
      <c r="F36" s="276"/>
      <c r="G36" s="276">
        <v>81</v>
      </c>
      <c r="H36" s="276">
        <v>201</v>
      </c>
      <c r="I36" s="276"/>
      <c r="J36" s="276">
        <v>3</v>
      </c>
      <c r="K36" s="276"/>
      <c r="L36" s="277">
        <v>101</v>
      </c>
      <c r="M36" s="277"/>
      <c r="N36" s="277"/>
      <c r="O36" s="276"/>
      <c r="P36" s="276"/>
      <c r="Q36" s="276"/>
    </row>
    <row r="37" spans="1:17">
      <c r="A37" s="276">
        <v>32800</v>
      </c>
      <c r="B37" s="276" t="s">
        <v>7051</v>
      </c>
      <c r="C37" s="276">
        <v>155</v>
      </c>
      <c r="D37" s="276">
        <v>618</v>
      </c>
      <c r="E37" s="276">
        <v>2005</v>
      </c>
      <c r="F37" s="276"/>
      <c r="G37" s="276">
        <v>45</v>
      </c>
      <c r="H37" s="276">
        <v>201</v>
      </c>
      <c r="I37" s="276"/>
      <c r="J37" s="276">
        <v>5</v>
      </c>
      <c r="K37" s="276"/>
      <c r="L37" s="277">
        <v>201</v>
      </c>
      <c r="M37" s="277"/>
      <c r="N37" s="277"/>
      <c r="O37" s="276"/>
      <c r="P37" s="276"/>
      <c r="Q37" s="276"/>
    </row>
    <row r="38" spans="1:17">
      <c r="A38" s="276">
        <v>33820</v>
      </c>
      <c r="B38" s="276" t="s">
        <v>7053</v>
      </c>
      <c r="C38" s="276">
        <v>144</v>
      </c>
      <c r="D38" s="276">
        <v>620</v>
      </c>
      <c r="E38" s="276">
        <v>3006</v>
      </c>
      <c r="F38" s="276"/>
      <c r="G38" s="276">
        <v>54</v>
      </c>
      <c r="H38" s="276">
        <v>202</v>
      </c>
      <c r="I38" s="276"/>
      <c r="J38" s="276">
        <v>1</v>
      </c>
      <c r="K38" s="276"/>
      <c r="L38" s="277">
        <v>301</v>
      </c>
      <c r="M38" s="277"/>
      <c r="N38" s="277"/>
      <c r="O38" s="276"/>
      <c r="P38" s="276"/>
      <c r="Q38" s="276"/>
    </row>
    <row r="39" spans="1:17">
      <c r="A39" s="276">
        <v>34830</v>
      </c>
      <c r="B39" s="276" t="s">
        <v>7054</v>
      </c>
      <c r="C39" s="276">
        <v>135</v>
      </c>
      <c r="D39" s="276">
        <v>610</v>
      </c>
      <c r="E39" s="276">
        <v>4003</v>
      </c>
      <c r="F39" s="276"/>
      <c r="G39" s="276">
        <v>36</v>
      </c>
      <c r="H39" s="276">
        <v>201</v>
      </c>
      <c r="I39" s="276"/>
      <c r="J39" s="276">
        <v>5</v>
      </c>
      <c r="K39" s="276"/>
      <c r="L39" s="277">
        <v>401</v>
      </c>
      <c r="M39" s="277"/>
      <c r="N39" s="277"/>
      <c r="O39" s="276"/>
      <c r="P39" s="276"/>
      <c r="Q39" s="276"/>
    </row>
    <row r="40" spans="1:17">
      <c r="A40" s="276">
        <v>38250</v>
      </c>
      <c r="B40" s="276" t="s">
        <v>7056</v>
      </c>
      <c r="C40" s="276">
        <v>137</v>
      </c>
      <c r="D40" s="276">
        <v>613</v>
      </c>
      <c r="E40" s="276">
        <v>5001</v>
      </c>
      <c r="F40" s="276"/>
      <c r="G40" s="276">
        <v>30</v>
      </c>
      <c r="H40" s="276">
        <v>204</v>
      </c>
      <c r="I40" s="276"/>
      <c r="J40" s="276">
        <v>3</v>
      </c>
      <c r="K40" s="276"/>
      <c r="L40" s="277">
        <v>8001</v>
      </c>
      <c r="M40" s="277"/>
      <c r="N40" s="277"/>
      <c r="O40" s="276"/>
      <c r="P40" s="276"/>
      <c r="Q40" s="276"/>
    </row>
    <row r="41" spans="1:17">
      <c r="A41" s="276">
        <v>34820</v>
      </c>
      <c r="B41" s="276" t="s">
        <v>7057</v>
      </c>
      <c r="C41" s="276">
        <v>149</v>
      </c>
      <c r="D41" s="276">
        <v>618</v>
      </c>
      <c r="E41" s="276">
        <v>4006</v>
      </c>
      <c r="F41" s="276"/>
      <c r="G41" s="276">
        <v>54</v>
      </c>
      <c r="H41" s="276">
        <v>201</v>
      </c>
      <c r="I41" s="276"/>
      <c r="J41" s="276">
        <v>4</v>
      </c>
      <c r="K41" s="276"/>
      <c r="L41" s="277">
        <v>401</v>
      </c>
      <c r="M41" s="277"/>
      <c r="N41" s="277"/>
      <c r="O41" s="276"/>
      <c r="P41" s="276"/>
      <c r="Q41" s="276"/>
    </row>
    <row r="42" spans="1:17">
      <c r="A42" s="276">
        <v>71190</v>
      </c>
      <c r="B42" s="276" t="s">
        <v>7059</v>
      </c>
      <c r="C42" s="276">
        <v>127</v>
      </c>
      <c r="D42" s="276">
        <v>610</v>
      </c>
      <c r="E42" s="276">
        <v>1004</v>
      </c>
      <c r="F42" s="276"/>
      <c r="G42" s="276">
        <v>36</v>
      </c>
      <c r="H42" s="276">
        <v>101</v>
      </c>
      <c r="I42" s="276"/>
      <c r="J42" s="276">
        <v>4</v>
      </c>
      <c r="K42" s="276"/>
      <c r="L42" s="277">
        <v>10004</v>
      </c>
      <c r="M42" s="277"/>
      <c r="N42" s="277"/>
      <c r="O42" s="276"/>
      <c r="P42" s="276"/>
      <c r="Q42" s="276"/>
    </row>
    <row r="43" spans="1:17">
      <c r="A43" s="276">
        <v>810119</v>
      </c>
      <c r="B43" s="276" t="s">
        <v>6972</v>
      </c>
      <c r="C43" s="276">
        <v>153</v>
      </c>
      <c r="D43" s="276">
        <v>619</v>
      </c>
      <c r="E43" s="276">
        <v>1010</v>
      </c>
      <c r="F43" s="276"/>
      <c r="G43" s="276">
        <v>90</v>
      </c>
      <c r="H43" s="276">
        <v>1</v>
      </c>
      <c r="I43" s="276"/>
      <c r="J43" s="276">
        <v>4</v>
      </c>
      <c r="K43" s="276"/>
      <c r="L43" s="277" t="s">
        <v>7060</v>
      </c>
      <c r="M43" s="277"/>
      <c r="N43" s="277"/>
      <c r="O43" s="276"/>
      <c r="P43" s="276"/>
      <c r="Q43" s="276"/>
    </row>
    <row r="44" spans="1:17">
      <c r="A44" s="276">
        <v>810219</v>
      </c>
      <c r="B44" s="276" t="s">
        <v>6973</v>
      </c>
      <c r="C44" s="276">
        <v>153</v>
      </c>
      <c r="D44" s="276">
        <v>619</v>
      </c>
      <c r="E44" s="276">
        <v>1010</v>
      </c>
      <c r="F44" s="276"/>
      <c r="G44" s="276">
        <v>90</v>
      </c>
      <c r="H44" s="276">
        <v>1</v>
      </c>
      <c r="I44" s="276"/>
      <c r="J44" s="276">
        <v>4</v>
      </c>
      <c r="K44" s="276"/>
      <c r="L44" s="277" t="s">
        <v>7060</v>
      </c>
      <c r="M44" s="277"/>
      <c r="N44" s="277"/>
      <c r="O44" s="276"/>
      <c r="P44" s="276"/>
      <c r="Q44" s="276"/>
    </row>
    <row r="45" spans="1:17">
      <c r="A45" s="276">
        <v>810319</v>
      </c>
      <c r="B45" s="276" t="s">
        <v>6974</v>
      </c>
      <c r="C45" s="276">
        <v>153</v>
      </c>
      <c r="D45" s="276">
        <v>619</v>
      </c>
      <c r="E45" s="276">
        <v>1010</v>
      </c>
      <c r="F45" s="276"/>
      <c r="G45" s="276">
        <v>90</v>
      </c>
      <c r="H45" s="276">
        <v>1</v>
      </c>
      <c r="I45" s="276"/>
      <c r="J45" s="276">
        <v>4</v>
      </c>
      <c r="K45" s="276"/>
      <c r="L45" s="277" t="s">
        <v>7060</v>
      </c>
      <c r="M45" s="277"/>
      <c r="N45" s="277"/>
      <c r="O45" s="276"/>
      <c r="P45" s="276"/>
      <c r="Q45" s="276"/>
    </row>
    <row r="46" spans="1:17">
      <c r="A46" s="276">
        <v>810419</v>
      </c>
      <c r="B46" s="276" t="s">
        <v>6975</v>
      </c>
      <c r="C46" s="276">
        <v>153</v>
      </c>
      <c r="D46" s="276">
        <v>619</v>
      </c>
      <c r="E46" s="276">
        <v>1010</v>
      </c>
      <c r="F46" s="276"/>
      <c r="G46" s="276">
        <v>90</v>
      </c>
      <c r="H46" s="276">
        <v>1</v>
      </c>
      <c r="I46" s="276"/>
      <c r="J46" s="276">
        <v>4</v>
      </c>
      <c r="K46" s="276"/>
      <c r="L46" s="277" t="s">
        <v>7060</v>
      </c>
      <c r="M46" s="277"/>
      <c r="N46" s="277"/>
      <c r="O46" s="276"/>
      <c r="P46" s="276"/>
      <c r="Q46" s="276"/>
    </row>
    <row r="47" spans="1:17">
      <c r="A47" s="276">
        <v>810519</v>
      </c>
      <c r="B47" s="276" t="s">
        <v>6976</v>
      </c>
      <c r="C47" s="276">
        <v>153</v>
      </c>
      <c r="D47" s="276">
        <v>619</v>
      </c>
      <c r="E47" s="276">
        <v>1010</v>
      </c>
      <c r="F47" s="276"/>
      <c r="G47" s="276">
        <v>90</v>
      </c>
      <c r="H47" s="276">
        <v>1</v>
      </c>
      <c r="I47" s="276"/>
      <c r="J47" s="276">
        <v>4</v>
      </c>
      <c r="K47" s="276"/>
      <c r="L47" s="277" t="s">
        <v>7060</v>
      </c>
      <c r="M47" s="277"/>
      <c r="N47" s="277"/>
      <c r="O47" s="276"/>
      <c r="P47" s="276"/>
      <c r="Q47" s="276"/>
    </row>
    <row r="48" spans="1:17">
      <c r="A48" s="276">
        <v>810619</v>
      </c>
      <c r="B48" s="276" t="s">
        <v>6977</v>
      </c>
      <c r="C48" s="276">
        <v>153</v>
      </c>
      <c r="D48" s="276">
        <v>619</v>
      </c>
      <c r="E48" s="276">
        <v>1010</v>
      </c>
      <c r="F48" s="276"/>
      <c r="G48" s="276">
        <v>90</v>
      </c>
      <c r="H48" s="276">
        <v>1</v>
      </c>
      <c r="I48" s="276"/>
      <c r="J48" s="276">
        <v>4</v>
      </c>
      <c r="K48" s="276"/>
      <c r="L48" s="277" t="s">
        <v>7060</v>
      </c>
      <c r="M48" s="277"/>
      <c r="N48" s="277"/>
      <c r="O48" s="276"/>
      <c r="P48" s="276"/>
      <c r="Q48" s="276"/>
    </row>
    <row r="49" spans="1:17">
      <c r="A49" s="276">
        <v>810719</v>
      </c>
      <c r="B49" s="276" t="s">
        <v>6978</v>
      </c>
      <c r="C49" s="276">
        <v>153</v>
      </c>
      <c r="D49" s="276">
        <v>619</v>
      </c>
      <c r="E49" s="276">
        <v>1010</v>
      </c>
      <c r="F49" s="276"/>
      <c r="G49" s="276">
        <v>90</v>
      </c>
      <c r="H49" s="276">
        <v>1</v>
      </c>
      <c r="I49" s="276"/>
      <c r="J49" s="276">
        <v>4</v>
      </c>
      <c r="K49" s="276"/>
      <c r="L49" s="277" t="s">
        <v>7060</v>
      </c>
      <c r="M49" s="277"/>
      <c r="N49" s="277"/>
      <c r="O49" s="276"/>
      <c r="P49" s="276"/>
      <c r="Q49" s="276"/>
    </row>
    <row r="50" spans="1:17">
      <c r="A50" s="276">
        <v>810819</v>
      </c>
      <c r="B50" s="276" t="s">
        <v>6979</v>
      </c>
      <c r="C50" s="276">
        <v>153</v>
      </c>
      <c r="D50" s="276">
        <v>619</v>
      </c>
      <c r="E50" s="276">
        <v>1010</v>
      </c>
      <c r="F50" s="276"/>
      <c r="G50" s="276">
        <v>90</v>
      </c>
      <c r="H50" s="276">
        <v>1</v>
      </c>
      <c r="I50" s="276"/>
      <c r="J50" s="276">
        <v>4</v>
      </c>
      <c r="K50" s="276"/>
      <c r="L50" s="277" t="s">
        <v>7060</v>
      </c>
      <c r="M50" s="277"/>
      <c r="N50" s="277"/>
      <c r="O50" s="276"/>
      <c r="P50" s="276"/>
      <c r="Q50" s="276"/>
    </row>
    <row r="51" spans="1:17">
      <c r="A51" s="276">
        <v>810919</v>
      </c>
      <c r="B51" s="276" t="s">
        <v>6980</v>
      </c>
      <c r="C51" s="276">
        <v>153</v>
      </c>
      <c r="D51" s="276">
        <v>619</v>
      </c>
      <c r="E51" s="276">
        <v>1010</v>
      </c>
      <c r="F51" s="276"/>
      <c r="G51" s="276">
        <v>90</v>
      </c>
      <c r="H51" s="276">
        <v>1</v>
      </c>
      <c r="I51" s="276"/>
      <c r="J51" s="276">
        <v>4</v>
      </c>
      <c r="K51" s="276"/>
      <c r="L51" s="277" t="s">
        <v>7060</v>
      </c>
      <c r="M51" s="277"/>
      <c r="N51" s="277"/>
      <c r="O51" s="276"/>
      <c r="P51" s="276"/>
      <c r="Q51" s="276"/>
    </row>
    <row r="52" spans="1:17">
      <c r="A52" s="276">
        <v>811019</v>
      </c>
      <c r="B52" s="276" t="s">
        <v>6981</v>
      </c>
      <c r="C52" s="276">
        <v>153</v>
      </c>
      <c r="D52" s="276">
        <v>619</v>
      </c>
      <c r="E52" s="276">
        <v>1010</v>
      </c>
      <c r="F52" s="276"/>
      <c r="G52" s="276">
        <v>90</v>
      </c>
      <c r="H52" s="276">
        <v>1</v>
      </c>
      <c r="I52" s="276"/>
      <c r="J52" s="276">
        <v>4</v>
      </c>
      <c r="K52" s="276"/>
      <c r="L52" s="277" t="s">
        <v>7060</v>
      </c>
      <c r="M52" s="277"/>
      <c r="N52" s="277"/>
      <c r="O52" s="276"/>
      <c r="P52" s="276"/>
      <c r="Q52" s="276"/>
    </row>
    <row r="53" spans="1:17">
      <c r="A53" s="276">
        <v>811119</v>
      </c>
      <c r="B53" s="276" t="s">
        <v>6982</v>
      </c>
      <c r="C53" s="276">
        <v>153</v>
      </c>
      <c r="D53" s="276">
        <v>619</v>
      </c>
      <c r="E53" s="276">
        <v>1010</v>
      </c>
      <c r="F53" s="276"/>
      <c r="G53" s="276">
        <v>90</v>
      </c>
      <c r="H53" s="276">
        <v>1</v>
      </c>
      <c r="I53" s="276"/>
      <c r="J53" s="276">
        <v>4</v>
      </c>
      <c r="K53" s="276"/>
      <c r="L53" s="277" t="s">
        <v>7060</v>
      </c>
      <c r="M53" s="277"/>
      <c r="N53" s="277"/>
      <c r="O53" s="276"/>
      <c r="P53" s="276"/>
      <c r="Q53" s="276"/>
    </row>
    <row r="54" spans="1:17">
      <c r="A54" s="276">
        <v>811219</v>
      </c>
      <c r="B54" s="276" t="s">
        <v>6983</v>
      </c>
      <c r="C54" s="276">
        <v>153</v>
      </c>
      <c r="D54" s="276">
        <v>619</v>
      </c>
      <c r="E54" s="276">
        <v>1010</v>
      </c>
      <c r="F54" s="276"/>
      <c r="G54" s="276">
        <v>90</v>
      </c>
      <c r="H54" s="276">
        <v>1</v>
      </c>
      <c r="I54" s="276"/>
      <c r="J54" s="276">
        <v>4</v>
      </c>
      <c r="K54" s="276"/>
      <c r="L54" s="277" t="s">
        <v>7060</v>
      </c>
      <c r="M54" s="277"/>
      <c r="N54" s="277"/>
      <c r="O54" s="276"/>
      <c r="P54" s="276"/>
      <c r="Q54" s="276"/>
    </row>
    <row r="55" spans="1:17">
      <c r="A55" s="276">
        <v>811319</v>
      </c>
      <c r="B55" s="276" t="s">
        <v>6984</v>
      </c>
      <c r="C55" s="276">
        <v>153</v>
      </c>
      <c r="D55" s="276">
        <v>619</v>
      </c>
      <c r="E55" s="276">
        <v>1010</v>
      </c>
      <c r="F55" s="276"/>
      <c r="G55" s="276">
        <v>90</v>
      </c>
      <c r="H55" s="276">
        <v>1</v>
      </c>
      <c r="I55" s="276"/>
      <c r="J55" s="276">
        <v>4</v>
      </c>
      <c r="K55" s="276"/>
      <c r="L55" s="277" t="s">
        <v>7060</v>
      </c>
      <c r="M55" s="277"/>
      <c r="N55" s="277"/>
      <c r="O55" s="276"/>
      <c r="P55" s="276"/>
      <c r="Q55" s="276"/>
    </row>
    <row r="56" spans="1:17">
      <c r="A56" s="276">
        <v>811419</v>
      </c>
      <c r="B56" s="276" t="s">
        <v>6985</v>
      </c>
      <c r="C56" s="276">
        <v>153</v>
      </c>
      <c r="D56" s="276">
        <v>619</v>
      </c>
      <c r="E56" s="276">
        <v>1010</v>
      </c>
      <c r="F56" s="276"/>
      <c r="G56" s="276">
        <v>90</v>
      </c>
      <c r="H56" s="276">
        <v>1</v>
      </c>
      <c r="I56" s="276"/>
      <c r="J56" s="276">
        <v>4</v>
      </c>
      <c r="K56" s="276"/>
      <c r="L56" s="277" t="s">
        <v>7060</v>
      </c>
      <c r="M56" s="277"/>
      <c r="N56" s="277"/>
      <c r="O56" s="276"/>
      <c r="P56" s="276"/>
      <c r="Q56" s="276"/>
    </row>
    <row r="57" spans="1:17">
      <c r="A57" s="276">
        <v>811519</v>
      </c>
      <c r="B57" s="276" t="s">
        <v>6986</v>
      </c>
      <c r="C57" s="276">
        <v>153</v>
      </c>
      <c r="D57" s="276">
        <v>619</v>
      </c>
      <c r="E57" s="276">
        <v>1010</v>
      </c>
      <c r="F57" s="276"/>
      <c r="G57" s="276">
        <v>90</v>
      </c>
      <c r="H57" s="276">
        <v>1</v>
      </c>
      <c r="I57" s="276"/>
      <c r="J57" s="276">
        <v>4</v>
      </c>
      <c r="K57" s="276"/>
      <c r="L57" s="277" t="s">
        <v>7060</v>
      </c>
      <c r="M57" s="277"/>
      <c r="N57" s="277"/>
      <c r="O57" s="276"/>
      <c r="P57" s="276"/>
      <c r="Q57" s="276"/>
    </row>
    <row r="58" spans="1:17">
      <c r="A58" s="276">
        <v>811619</v>
      </c>
      <c r="B58" s="276" t="s">
        <v>6987</v>
      </c>
      <c r="C58" s="276">
        <v>153</v>
      </c>
      <c r="D58" s="276">
        <v>619</v>
      </c>
      <c r="E58" s="276">
        <v>1010</v>
      </c>
      <c r="F58" s="276"/>
      <c r="G58" s="276">
        <v>90</v>
      </c>
      <c r="H58" s="276">
        <v>1</v>
      </c>
      <c r="I58" s="276"/>
      <c r="J58" s="276">
        <v>4</v>
      </c>
      <c r="K58" s="276"/>
      <c r="L58" s="277" t="s">
        <v>7060</v>
      </c>
      <c r="M58" s="277"/>
      <c r="N58" s="277"/>
      <c r="O58" s="276"/>
      <c r="P58" s="276"/>
      <c r="Q58" s="276"/>
    </row>
    <row r="59" spans="1:17">
      <c r="A59" s="276">
        <v>811719</v>
      </c>
      <c r="B59" s="276" t="s">
        <v>6988</v>
      </c>
      <c r="C59" s="276">
        <v>153</v>
      </c>
      <c r="D59" s="276">
        <v>619</v>
      </c>
      <c r="E59" s="276">
        <v>1010</v>
      </c>
      <c r="F59" s="276"/>
      <c r="G59" s="276">
        <v>90</v>
      </c>
      <c r="H59" s="276">
        <v>1</v>
      </c>
      <c r="I59" s="276"/>
      <c r="J59" s="276">
        <v>4</v>
      </c>
      <c r="K59" s="276"/>
      <c r="L59" s="277" t="s">
        <v>7060</v>
      </c>
      <c r="M59" s="277"/>
      <c r="N59" s="277"/>
      <c r="O59" s="276"/>
      <c r="P59" s="276"/>
      <c r="Q59" s="276"/>
    </row>
    <row r="60" spans="1:17">
      <c r="A60" s="276">
        <v>811819</v>
      </c>
      <c r="B60" s="276" t="s">
        <v>6989</v>
      </c>
      <c r="C60" s="276">
        <v>153</v>
      </c>
      <c r="D60" s="276">
        <v>619</v>
      </c>
      <c r="E60" s="276">
        <v>1010</v>
      </c>
      <c r="F60" s="276"/>
      <c r="G60" s="276">
        <v>90</v>
      </c>
      <c r="H60" s="276">
        <v>1</v>
      </c>
      <c r="I60" s="276"/>
      <c r="J60" s="276">
        <v>4</v>
      </c>
      <c r="K60" s="276"/>
      <c r="L60" s="277" t="s">
        <v>7060</v>
      </c>
      <c r="M60" s="277"/>
      <c r="N60" s="277"/>
      <c r="O60" s="276"/>
      <c r="P60" s="276"/>
      <c r="Q60" s="276"/>
    </row>
    <row r="61" spans="1:17">
      <c r="A61" s="6" t="s">
        <v>3244</v>
      </c>
      <c r="B61" s="6"/>
      <c r="C61" s="6"/>
      <c r="D61" s="283" t="s">
        <v>3245</v>
      </c>
      <c r="E61" s="284"/>
      <c r="F61" s="284"/>
      <c r="G61" s="284"/>
      <c r="H61" s="284"/>
      <c r="I61" s="284"/>
      <c r="J61" s="284"/>
      <c r="K61" s="284"/>
      <c r="L61" s="284"/>
      <c r="M61" s="284"/>
      <c r="N61" s="284"/>
      <c r="O61" s="285"/>
      <c r="P61" s="6"/>
      <c r="Q61" s="6"/>
    </row>
    <row r="62" spans="1:17">
      <c r="A62" s="5" t="s">
        <v>3228</v>
      </c>
      <c r="B62" s="5" t="s">
        <v>3229</v>
      </c>
      <c r="C62" s="5" t="s">
        <v>387</v>
      </c>
      <c r="F62" s="5" t="s">
        <v>3235</v>
      </c>
      <c r="G62" s="5" t="s">
        <v>3236</v>
      </c>
      <c r="H62" s="5" t="s">
        <v>3237</v>
      </c>
      <c r="I62" s="5" t="s">
        <v>3235</v>
      </c>
      <c r="J62" s="5" t="s">
        <v>3236</v>
      </c>
      <c r="K62" s="10" t="s">
        <v>3237</v>
      </c>
      <c r="L62" s="5" t="s">
        <v>3235</v>
      </c>
      <c r="M62" s="5" t="s">
        <v>3236</v>
      </c>
      <c r="N62" s="5" t="s">
        <v>3237</v>
      </c>
      <c r="O62" s="5" t="s">
        <v>3235</v>
      </c>
      <c r="P62" s="5" t="s">
        <v>3236</v>
      </c>
      <c r="Q62" s="5" t="s">
        <v>3237</v>
      </c>
    </row>
    <row r="63" spans="1:17">
      <c r="A63" s="276">
        <v>52550</v>
      </c>
      <c r="B63" s="276" t="s">
        <v>7165</v>
      </c>
      <c r="C63" s="276">
        <v>1</v>
      </c>
      <c r="D63" s="276"/>
      <c r="E63" s="276"/>
      <c r="F63" s="276">
        <v>100001</v>
      </c>
      <c r="G63" s="276" t="s">
        <v>6407</v>
      </c>
      <c r="H63" s="276">
        <v>2000</v>
      </c>
      <c r="I63" s="276">
        <v>111012</v>
      </c>
      <c r="J63" s="276" t="s">
        <v>7149</v>
      </c>
      <c r="K63" s="277" t="s">
        <v>6420</v>
      </c>
      <c r="L63" s="276">
        <v>111017</v>
      </c>
      <c r="M63" s="276" t="s">
        <v>7072</v>
      </c>
      <c r="N63" s="276">
        <v>1</v>
      </c>
      <c r="O63" s="276">
        <v>111022</v>
      </c>
      <c r="P63" s="276" t="s">
        <v>7089</v>
      </c>
      <c r="Q63" s="276">
        <v>6</v>
      </c>
    </row>
    <row r="64" spans="1:17">
      <c r="A64" s="276">
        <v>52550</v>
      </c>
      <c r="B64" s="276" t="s">
        <v>7165</v>
      </c>
      <c r="C64" s="276">
        <v>2</v>
      </c>
      <c r="D64" s="276"/>
      <c r="E64" s="276"/>
      <c r="F64" s="276">
        <v>100001</v>
      </c>
      <c r="G64" s="276" t="s">
        <v>6407</v>
      </c>
      <c r="H64" s="276">
        <v>5000</v>
      </c>
      <c r="I64" s="276">
        <v>111031</v>
      </c>
      <c r="J64" s="276" t="s">
        <v>7168</v>
      </c>
      <c r="K64" s="277" t="s">
        <v>6421</v>
      </c>
      <c r="L64" s="276">
        <v>111036</v>
      </c>
      <c r="M64" s="276" t="s">
        <v>7152</v>
      </c>
      <c r="N64" s="276">
        <v>5</v>
      </c>
      <c r="O64" s="276">
        <v>111041</v>
      </c>
      <c r="P64" s="276" t="s">
        <v>7074</v>
      </c>
      <c r="Q64" s="276">
        <v>5</v>
      </c>
    </row>
    <row r="65" spans="1:17">
      <c r="A65" s="276">
        <v>52550</v>
      </c>
      <c r="B65" s="276" t="s">
        <v>7165</v>
      </c>
      <c r="C65" s="276">
        <v>3</v>
      </c>
      <c r="D65" s="276"/>
      <c r="E65" s="276"/>
      <c r="F65" s="276">
        <v>100001</v>
      </c>
      <c r="G65" s="276" t="s">
        <v>6407</v>
      </c>
      <c r="H65" s="276">
        <v>15000</v>
      </c>
      <c r="I65" s="276">
        <v>111050</v>
      </c>
      <c r="J65" s="276" t="s">
        <v>7169</v>
      </c>
      <c r="K65" s="277" t="s">
        <v>6423</v>
      </c>
      <c r="L65" s="276">
        <v>111055</v>
      </c>
      <c r="M65" s="276" t="s">
        <v>6443</v>
      </c>
      <c r="N65" s="276">
        <v>7</v>
      </c>
      <c r="O65" s="276">
        <v>111060</v>
      </c>
      <c r="P65" s="276" t="s">
        <v>7155</v>
      </c>
      <c r="Q65" s="276">
        <v>10</v>
      </c>
    </row>
    <row r="66" spans="1:17">
      <c r="A66" s="276">
        <v>52550</v>
      </c>
      <c r="B66" s="276" t="s">
        <v>7165</v>
      </c>
      <c r="C66" s="276">
        <v>4</v>
      </c>
      <c r="D66" s="276"/>
      <c r="E66" s="276"/>
      <c r="F66" s="276">
        <v>100001</v>
      </c>
      <c r="G66" s="276" t="s">
        <v>6407</v>
      </c>
      <c r="H66" s="276">
        <v>30000</v>
      </c>
      <c r="I66" s="276">
        <v>111069</v>
      </c>
      <c r="J66" s="276" t="s">
        <v>6439</v>
      </c>
      <c r="K66" s="277" t="s">
        <v>6424</v>
      </c>
      <c r="L66" s="276">
        <v>111074</v>
      </c>
      <c r="M66" s="276" t="s">
        <v>7170</v>
      </c>
      <c r="N66" s="276">
        <v>10</v>
      </c>
      <c r="O66" s="276">
        <v>111079</v>
      </c>
      <c r="P66" s="276" t="s">
        <v>7171</v>
      </c>
      <c r="Q66" s="276">
        <v>14</v>
      </c>
    </row>
    <row r="67" spans="1:17">
      <c r="A67" s="276">
        <v>52550</v>
      </c>
      <c r="B67" s="276" t="s">
        <v>7165</v>
      </c>
      <c r="C67" s="276">
        <v>5</v>
      </c>
      <c r="D67" s="276"/>
      <c r="E67" s="276"/>
      <c r="F67" s="276">
        <v>100001</v>
      </c>
      <c r="G67" s="276" t="s">
        <v>6407</v>
      </c>
      <c r="H67" s="276">
        <v>60000</v>
      </c>
      <c r="I67" s="276">
        <v>111088</v>
      </c>
      <c r="J67" s="276" t="s">
        <v>7172</v>
      </c>
      <c r="K67" s="277" t="s">
        <v>6425</v>
      </c>
      <c r="L67" s="276">
        <v>111093</v>
      </c>
      <c r="M67" s="276" t="s">
        <v>7083</v>
      </c>
      <c r="N67" s="276">
        <v>16</v>
      </c>
      <c r="O67" s="276">
        <v>111098</v>
      </c>
      <c r="P67" s="276" t="s">
        <v>7173</v>
      </c>
      <c r="Q67" s="276">
        <v>17</v>
      </c>
    </row>
    <row r="68" spans="1:17">
      <c r="A68" s="276">
        <v>52550</v>
      </c>
      <c r="B68" s="276" t="s">
        <v>7165</v>
      </c>
      <c r="C68" s="276">
        <v>6</v>
      </c>
      <c r="D68" s="276"/>
      <c r="E68" s="276"/>
      <c r="F68" s="276">
        <v>100001</v>
      </c>
      <c r="G68" s="276" t="s">
        <v>6407</v>
      </c>
      <c r="H68" s="276">
        <v>90000</v>
      </c>
      <c r="I68" s="276">
        <v>111507</v>
      </c>
      <c r="J68" s="276" t="s">
        <v>7099</v>
      </c>
      <c r="K68" s="277" t="s">
        <v>7174</v>
      </c>
      <c r="L68" s="276">
        <v>111509</v>
      </c>
      <c r="M68" s="276" t="s">
        <v>7112</v>
      </c>
      <c r="N68" s="276">
        <v>19</v>
      </c>
      <c r="O68" s="276">
        <v>111511</v>
      </c>
      <c r="P68" s="276" t="s">
        <v>7107</v>
      </c>
      <c r="Q68" s="276">
        <v>21</v>
      </c>
    </row>
    <row r="69" spans="1:17">
      <c r="A69" s="276">
        <v>52550</v>
      </c>
      <c r="B69" s="276" t="s">
        <v>7165</v>
      </c>
      <c r="C69" s="276">
        <v>7</v>
      </c>
      <c r="D69" s="276"/>
      <c r="E69" s="276"/>
      <c r="F69" s="276"/>
      <c r="G69" s="276"/>
      <c r="H69" s="276"/>
      <c r="I69" s="276"/>
      <c r="J69" s="276"/>
      <c r="K69" s="277"/>
      <c r="L69" s="276"/>
      <c r="M69" s="276"/>
      <c r="N69" s="276"/>
      <c r="O69" s="276"/>
      <c r="P69" s="276"/>
      <c r="Q69" s="276"/>
    </row>
    <row r="70" spans="1:17">
      <c r="A70" s="276">
        <v>31820</v>
      </c>
      <c r="B70" s="276" t="s">
        <v>7143</v>
      </c>
      <c r="C70" s="276">
        <v>1</v>
      </c>
      <c r="D70" s="276"/>
      <c r="E70" s="276"/>
      <c r="F70" s="276">
        <v>100001</v>
      </c>
      <c r="G70" s="276" t="s">
        <v>6407</v>
      </c>
      <c r="H70" s="276">
        <v>2000</v>
      </c>
      <c r="I70" s="276">
        <v>111012</v>
      </c>
      <c r="J70" s="276" t="s">
        <v>7149</v>
      </c>
      <c r="K70" s="277" t="s">
        <v>6408</v>
      </c>
      <c r="L70" s="276">
        <v>111018</v>
      </c>
      <c r="M70" s="276" t="s">
        <v>7150</v>
      </c>
      <c r="N70" s="276">
        <v>1</v>
      </c>
      <c r="O70" s="276">
        <v>111024</v>
      </c>
      <c r="P70" s="276" t="s">
        <v>7064</v>
      </c>
      <c r="Q70" s="276">
        <v>5</v>
      </c>
    </row>
    <row r="71" spans="1:17">
      <c r="A71" s="276">
        <v>31820</v>
      </c>
      <c r="B71" s="276" t="s">
        <v>7143</v>
      </c>
      <c r="C71" s="276">
        <v>2</v>
      </c>
      <c r="D71" s="276"/>
      <c r="E71" s="276"/>
      <c r="F71" s="276">
        <v>100001</v>
      </c>
      <c r="G71" s="276" t="s">
        <v>6407</v>
      </c>
      <c r="H71" s="276">
        <v>5000</v>
      </c>
      <c r="I71" s="276">
        <v>111030</v>
      </c>
      <c r="J71" s="276" t="s">
        <v>7151</v>
      </c>
      <c r="K71" s="277" t="s">
        <v>6410</v>
      </c>
      <c r="L71" s="276">
        <v>111036</v>
      </c>
      <c r="M71" s="276" t="s">
        <v>7152</v>
      </c>
      <c r="N71" s="276">
        <v>5</v>
      </c>
      <c r="O71" s="276">
        <v>111042</v>
      </c>
      <c r="P71" s="276" t="s">
        <v>7153</v>
      </c>
      <c r="Q71" s="276">
        <v>6</v>
      </c>
    </row>
    <row r="72" spans="1:17">
      <c r="A72" s="276">
        <v>31820</v>
      </c>
      <c r="B72" s="276" t="s">
        <v>7143</v>
      </c>
      <c r="C72" s="276">
        <v>3</v>
      </c>
      <c r="D72" s="276"/>
      <c r="E72" s="276"/>
      <c r="F72" s="276">
        <v>100001</v>
      </c>
      <c r="G72" s="276" t="s">
        <v>6407</v>
      </c>
      <c r="H72" s="276">
        <v>15000</v>
      </c>
      <c r="I72" s="276">
        <v>111048</v>
      </c>
      <c r="J72" s="276" t="s">
        <v>7067</v>
      </c>
      <c r="K72" s="277" t="s">
        <v>6412</v>
      </c>
      <c r="L72" s="276">
        <v>111054</v>
      </c>
      <c r="M72" s="276" t="s">
        <v>7154</v>
      </c>
      <c r="N72" s="276">
        <v>7</v>
      </c>
      <c r="O72" s="276">
        <v>111060</v>
      </c>
      <c r="P72" s="276" t="s">
        <v>7155</v>
      </c>
      <c r="Q72" s="276">
        <v>9</v>
      </c>
    </row>
    <row r="73" spans="1:17">
      <c r="A73" s="276">
        <v>31820</v>
      </c>
      <c r="B73" s="276" t="s">
        <v>7143</v>
      </c>
      <c r="C73" s="276">
        <v>4</v>
      </c>
      <c r="D73" s="276"/>
      <c r="E73" s="276"/>
      <c r="F73" s="276">
        <v>100001</v>
      </c>
      <c r="G73" s="276" t="s">
        <v>6407</v>
      </c>
      <c r="H73" s="276">
        <v>30000</v>
      </c>
      <c r="I73" s="276">
        <v>111066</v>
      </c>
      <c r="J73" s="276" t="s">
        <v>7156</v>
      </c>
      <c r="K73" s="277" t="s">
        <v>6414</v>
      </c>
      <c r="L73" s="276">
        <v>111072</v>
      </c>
      <c r="M73" s="276" t="s">
        <v>7071</v>
      </c>
      <c r="N73" s="276">
        <v>10</v>
      </c>
      <c r="O73" s="276">
        <v>111078</v>
      </c>
      <c r="P73" s="276" t="s">
        <v>7157</v>
      </c>
      <c r="Q73" s="276">
        <v>15</v>
      </c>
    </row>
    <row r="74" spans="1:17">
      <c r="A74" s="276">
        <v>31820</v>
      </c>
      <c r="B74" s="276" t="s">
        <v>7143</v>
      </c>
      <c r="C74" s="276">
        <v>5</v>
      </c>
      <c r="D74" s="276"/>
      <c r="E74" s="276"/>
      <c r="F74" s="276"/>
      <c r="G74" s="276"/>
      <c r="H74" s="276"/>
      <c r="I74" s="276"/>
      <c r="J74" s="276"/>
      <c r="K74" s="277"/>
      <c r="L74" s="276"/>
      <c r="M74" s="276"/>
      <c r="N74" s="276"/>
      <c r="O74" s="276"/>
      <c r="P74" s="276"/>
      <c r="Q74" s="276"/>
    </row>
    <row r="75" spans="1:17">
      <c r="A75" s="276">
        <v>41400</v>
      </c>
      <c r="B75" s="276" t="s">
        <v>7146</v>
      </c>
      <c r="C75" s="276">
        <v>1</v>
      </c>
      <c r="D75" s="276"/>
      <c r="E75" s="276"/>
      <c r="F75" s="276">
        <v>100001</v>
      </c>
      <c r="G75" s="276" t="s">
        <v>6407</v>
      </c>
      <c r="H75" s="276">
        <v>2000</v>
      </c>
      <c r="I75" s="276">
        <v>111019</v>
      </c>
      <c r="J75" s="276" t="s">
        <v>7077</v>
      </c>
      <c r="K75" s="277" t="s">
        <v>6408</v>
      </c>
      <c r="L75" s="276">
        <v>111023</v>
      </c>
      <c r="M75" s="276" t="s">
        <v>6417</v>
      </c>
      <c r="N75" s="276">
        <v>3</v>
      </c>
      <c r="O75" s="276">
        <v>111027</v>
      </c>
      <c r="P75" s="276" t="s">
        <v>7078</v>
      </c>
      <c r="Q75" s="276">
        <v>3</v>
      </c>
    </row>
    <row r="76" spans="1:17">
      <c r="A76" s="276">
        <v>41400</v>
      </c>
      <c r="B76" s="276" t="s">
        <v>7146</v>
      </c>
      <c r="C76" s="276">
        <v>2</v>
      </c>
      <c r="D76" s="276"/>
      <c r="E76" s="276"/>
      <c r="F76" s="276">
        <v>100001</v>
      </c>
      <c r="G76" s="276" t="s">
        <v>6407</v>
      </c>
      <c r="H76" s="276">
        <v>5000</v>
      </c>
      <c r="I76" s="276">
        <v>111041</v>
      </c>
      <c r="J76" s="276" t="s">
        <v>7074</v>
      </c>
      <c r="K76" s="277" t="s">
        <v>6410</v>
      </c>
      <c r="L76" s="276">
        <v>111045</v>
      </c>
      <c r="M76" s="276" t="s">
        <v>7079</v>
      </c>
      <c r="N76" s="276">
        <v>4</v>
      </c>
      <c r="O76" s="276">
        <v>111049</v>
      </c>
      <c r="P76" s="276" t="s">
        <v>7080</v>
      </c>
      <c r="Q76" s="276">
        <v>7</v>
      </c>
    </row>
    <row r="77" spans="1:17">
      <c r="A77" s="276">
        <v>41400</v>
      </c>
      <c r="B77" s="276" t="s">
        <v>7146</v>
      </c>
      <c r="C77" s="276">
        <v>3</v>
      </c>
      <c r="D77" s="276"/>
      <c r="E77" s="276"/>
      <c r="F77" s="276">
        <v>100001</v>
      </c>
      <c r="G77" s="276" t="s">
        <v>6407</v>
      </c>
      <c r="H77" s="276">
        <v>15000</v>
      </c>
      <c r="I77" s="276">
        <v>111063</v>
      </c>
      <c r="J77" s="276" t="s">
        <v>7081</v>
      </c>
      <c r="K77" s="277" t="s">
        <v>6412</v>
      </c>
      <c r="L77" s="276">
        <v>111067</v>
      </c>
      <c r="M77" s="276" t="s">
        <v>7070</v>
      </c>
      <c r="N77" s="276">
        <v>6</v>
      </c>
      <c r="O77" s="276">
        <v>111071</v>
      </c>
      <c r="P77" s="276" t="s">
        <v>6413</v>
      </c>
      <c r="Q77" s="276">
        <v>10</v>
      </c>
    </row>
    <row r="78" spans="1:17">
      <c r="A78" s="276">
        <v>41400</v>
      </c>
      <c r="B78" s="276" t="s">
        <v>7146</v>
      </c>
      <c r="C78" s="276">
        <v>4</v>
      </c>
      <c r="D78" s="276"/>
      <c r="E78" s="276"/>
      <c r="F78" s="276">
        <v>100001</v>
      </c>
      <c r="G78" s="276" t="s">
        <v>6407</v>
      </c>
      <c r="H78" s="276">
        <v>30000</v>
      </c>
      <c r="I78" s="276">
        <v>111085</v>
      </c>
      <c r="J78" s="276" t="s">
        <v>6769</v>
      </c>
      <c r="K78" s="277" t="s">
        <v>6414</v>
      </c>
      <c r="L78" s="276">
        <v>111089</v>
      </c>
      <c r="M78" s="276" t="s">
        <v>7082</v>
      </c>
      <c r="N78" s="276">
        <v>12</v>
      </c>
      <c r="O78" s="276">
        <v>111093</v>
      </c>
      <c r="P78" s="276" t="s">
        <v>7083</v>
      </c>
      <c r="Q78" s="276">
        <v>13</v>
      </c>
    </row>
    <row r="79" spans="1:17">
      <c r="A79" s="276">
        <v>41400</v>
      </c>
      <c r="B79" s="276" t="s">
        <v>7146</v>
      </c>
      <c r="C79" s="276">
        <v>5</v>
      </c>
      <c r="D79" s="276"/>
      <c r="E79" s="276"/>
      <c r="F79" s="276">
        <v>100001</v>
      </c>
      <c r="G79" s="276" t="s">
        <v>6407</v>
      </c>
      <c r="H79" s="276">
        <v>60000</v>
      </c>
      <c r="I79" s="276">
        <v>111107</v>
      </c>
      <c r="J79" s="276" t="s">
        <v>7158</v>
      </c>
      <c r="K79" s="277" t="s">
        <v>7159</v>
      </c>
      <c r="L79" s="276">
        <v>111111</v>
      </c>
      <c r="M79" s="276" t="s">
        <v>7160</v>
      </c>
      <c r="N79" s="276">
        <v>15</v>
      </c>
      <c r="O79" s="276">
        <v>111115</v>
      </c>
      <c r="P79" s="276" t="s">
        <v>7161</v>
      </c>
      <c r="Q79" s="276">
        <v>17</v>
      </c>
    </row>
    <row r="80" spans="1:17">
      <c r="A80" s="276">
        <v>41400</v>
      </c>
      <c r="B80" s="276" t="s">
        <v>7146</v>
      </c>
      <c r="C80" s="276">
        <v>6</v>
      </c>
      <c r="D80" s="276"/>
      <c r="E80" s="276"/>
      <c r="F80" s="276"/>
      <c r="G80" s="276"/>
      <c r="H80" s="276"/>
      <c r="I80" s="276"/>
      <c r="J80" s="276"/>
      <c r="K80" s="277"/>
      <c r="L80" s="276"/>
      <c r="M80" s="276"/>
      <c r="N80" s="276"/>
      <c r="O80" s="276"/>
      <c r="P80" s="276"/>
      <c r="Q80" s="276"/>
    </row>
    <row r="81" spans="1:17">
      <c r="A81" s="276">
        <v>31810</v>
      </c>
      <c r="B81" s="276" t="s">
        <v>7049</v>
      </c>
      <c r="C81" s="276">
        <v>1</v>
      </c>
      <c r="D81" s="276"/>
      <c r="E81" s="276"/>
      <c r="F81" s="276">
        <v>100001</v>
      </c>
      <c r="G81" s="276" t="s">
        <v>6407</v>
      </c>
      <c r="H81" s="276">
        <v>2000</v>
      </c>
      <c r="I81" s="276">
        <v>111005</v>
      </c>
      <c r="J81" s="276" t="s">
        <v>7061</v>
      </c>
      <c r="K81" s="277" t="s">
        <v>6420</v>
      </c>
      <c r="L81" s="276">
        <v>111010</v>
      </c>
      <c r="M81" s="276" t="s">
        <v>7062</v>
      </c>
      <c r="N81" s="276">
        <v>2</v>
      </c>
      <c r="O81" s="276">
        <v>111015</v>
      </c>
      <c r="P81" s="276" t="s">
        <v>7063</v>
      </c>
      <c r="Q81" s="276">
        <v>5</v>
      </c>
    </row>
    <row r="82" spans="1:17">
      <c r="A82" s="276">
        <v>31810</v>
      </c>
      <c r="B82" s="276" t="s">
        <v>7049</v>
      </c>
      <c r="C82" s="276">
        <v>2</v>
      </c>
      <c r="D82" s="276"/>
      <c r="E82" s="276"/>
      <c r="F82" s="276">
        <v>100001</v>
      </c>
      <c r="G82" s="276" t="s">
        <v>6407</v>
      </c>
      <c r="H82" s="276">
        <v>5000</v>
      </c>
      <c r="I82" s="276">
        <v>111024</v>
      </c>
      <c r="J82" s="276" t="s">
        <v>7064</v>
      </c>
      <c r="K82" s="277" t="s">
        <v>6421</v>
      </c>
      <c r="L82" s="276">
        <v>111029</v>
      </c>
      <c r="M82" s="276" t="s">
        <v>6773</v>
      </c>
      <c r="N82" s="276">
        <v>3</v>
      </c>
      <c r="O82" s="276">
        <v>111034</v>
      </c>
      <c r="P82" s="276" t="s">
        <v>7065</v>
      </c>
      <c r="Q82" s="276">
        <v>7</v>
      </c>
    </row>
    <row r="83" spans="1:17">
      <c r="A83" s="276">
        <v>31810</v>
      </c>
      <c r="B83" s="276" t="s">
        <v>7049</v>
      </c>
      <c r="C83" s="276">
        <v>3</v>
      </c>
      <c r="D83" s="276"/>
      <c r="E83" s="276"/>
      <c r="F83" s="276">
        <v>100001</v>
      </c>
      <c r="G83" s="276" t="s">
        <v>6407</v>
      </c>
      <c r="H83" s="276">
        <v>15000</v>
      </c>
      <c r="I83" s="276">
        <v>111043</v>
      </c>
      <c r="J83" s="276" t="s">
        <v>7066</v>
      </c>
      <c r="K83" s="277" t="s">
        <v>6423</v>
      </c>
      <c r="L83" s="276">
        <v>111048</v>
      </c>
      <c r="M83" s="276" t="s">
        <v>7067</v>
      </c>
      <c r="N83" s="276">
        <v>8</v>
      </c>
      <c r="O83" s="276">
        <v>111053</v>
      </c>
      <c r="P83" s="276" t="s">
        <v>7068</v>
      </c>
      <c r="Q83" s="276">
        <v>9</v>
      </c>
    </row>
    <row r="84" spans="1:17">
      <c r="A84" s="276">
        <v>31810</v>
      </c>
      <c r="B84" s="276" t="s">
        <v>7049</v>
      </c>
      <c r="C84" s="276">
        <v>4</v>
      </c>
      <c r="D84" s="276"/>
      <c r="E84" s="276"/>
      <c r="F84" s="276">
        <v>100001</v>
      </c>
      <c r="G84" s="276" t="s">
        <v>6407</v>
      </c>
      <c r="H84" s="276">
        <v>30000</v>
      </c>
      <c r="I84" s="276">
        <v>111062</v>
      </c>
      <c r="J84" s="276" t="s">
        <v>7069</v>
      </c>
      <c r="K84" s="277" t="s">
        <v>6424</v>
      </c>
      <c r="L84" s="276">
        <v>111067</v>
      </c>
      <c r="M84" s="276" t="s">
        <v>7070</v>
      </c>
      <c r="N84" s="276">
        <v>11</v>
      </c>
      <c r="O84" s="276">
        <v>111072</v>
      </c>
      <c r="P84" s="276" t="s">
        <v>7071</v>
      </c>
      <c r="Q84" s="276">
        <v>13</v>
      </c>
    </row>
    <row r="85" spans="1:17">
      <c r="A85" s="276">
        <v>31810</v>
      </c>
      <c r="B85" s="276" t="s">
        <v>7049</v>
      </c>
      <c r="C85" s="276">
        <v>5</v>
      </c>
      <c r="D85" s="276"/>
      <c r="E85" s="276"/>
      <c r="F85" s="276"/>
      <c r="G85" s="276"/>
      <c r="H85" s="276"/>
      <c r="I85" s="276"/>
      <c r="J85" s="276"/>
      <c r="K85" s="277"/>
      <c r="L85" s="276"/>
      <c r="M85" s="276"/>
      <c r="N85" s="276"/>
      <c r="O85" s="276"/>
      <c r="P85" s="276"/>
      <c r="Q85" s="276"/>
    </row>
    <row r="86" spans="1:17">
      <c r="A86" s="276">
        <v>32800</v>
      </c>
      <c r="B86" s="276" t="s">
        <v>7051</v>
      </c>
      <c r="C86" s="276">
        <v>1</v>
      </c>
      <c r="D86" s="276"/>
      <c r="E86" s="276"/>
      <c r="F86" s="276">
        <v>100001</v>
      </c>
      <c r="G86" s="276" t="s">
        <v>6407</v>
      </c>
      <c r="H86" s="276">
        <v>2000</v>
      </c>
      <c r="I86" s="276">
        <v>111005</v>
      </c>
      <c r="J86" s="276" t="s">
        <v>7061</v>
      </c>
      <c r="K86" s="277" t="s">
        <v>6408</v>
      </c>
      <c r="L86" s="276">
        <v>111011</v>
      </c>
      <c r="M86" s="276" t="s">
        <v>6772</v>
      </c>
      <c r="N86" s="276">
        <v>2</v>
      </c>
      <c r="O86" s="276">
        <v>111017</v>
      </c>
      <c r="P86" s="276" t="s">
        <v>7072</v>
      </c>
      <c r="Q86" s="276">
        <v>4</v>
      </c>
    </row>
    <row r="87" spans="1:17">
      <c r="A87" s="276">
        <v>32800</v>
      </c>
      <c r="B87" s="276" t="s">
        <v>7051</v>
      </c>
      <c r="C87" s="276">
        <v>2</v>
      </c>
      <c r="D87" s="276"/>
      <c r="E87" s="276"/>
      <c r="F87" s="276">
        <v>100001</v>
      </c>
      <c r="G87" s="276" t="s">
        <v>6407</v>
      </c>
      <c r="H87" s="276">
        <v>5000</v>
      </c>
      <c r="I87" s="276">
        <v>111023</v>
      </c>
      <c r="J87" s="276" t="s">
        <v>6417</v>
      </c>
      <c r="K87" s="277" t="s">
        <v>6410</v>
      </c>
      <c r="L87" s="276">
        <v>111029</v>
      </c>
      <c r="M87" s="276" t="s">
        <v>6773</v>
      </c>
      <c r="N87" s="276">
        <v>3</v>
      </c>
      <c r="O87" s="276">
        <v>111035</v>
      </c>
      <c r="P87" s="276" t="s">
        <v>7073</v>
      </c>
      <c r="Q87" s="276">
        <v>8</v>
      </c>
    </row>
    <row r="88" spans="1:17">
      <c r="A88" s="276">
        <v>32800</v>
      </c>
      <c r="B88" s="276" t="s">
        <v>7051</v>
      </c>
      <c r="C88" s="276">
        <v>3</v>
      </c>
      <c r="D88" s="276"/>
      <c r="E88" s="276"/>
      <c r="F88" s="276">
        <v>100001</v>
      </c>
      <c r="G88" s="276" t="s">
        <v>6407</v>
      </c>
      <c r="H88" s="276">
        <v>15000</v>
      </c>
      <c r="I88" s="276">
        <v>111041</v>
      </c>
      <c r="J88" s="276" t="s">
        <v>7074</v>
      </c>
      <c r="K88" s="277" t="s">
        <v>6412</v>
      </c>
      <c r="L88" s="276">
        <v>111047</v>
      </c>
      <c r="M88" s="276" t="s">
        <v>6422</v>
      </c>
      <c r="N88" s="276">
        <v>8</v>
      </c>
      <c r="O88" s="276">
        <v>111053</v>
      </c>
      <c r="P88" s="276" t="s">
        <v>7068</v>
      </c>
      <c r="Q88" s="276">
        <v>8</v>
      </c>
    </row>
    <row r="89" spans="1:17">
      <c r="A89" s="276">
        <v>32800</v>
      </c>
      <c r="B89" s="276" t="s">
        <v>7051</v>
      </c>
      <c r="C89" s="276">
        <v>4</v>
      </c>
      <c r="D89" s="276"/>
      <c r="E89" s="276"/>
      <c r="F89" s="276">
        <v>100001</v>
      </c>
      <c r="G89" s="276" t="s">
        <v>6407</v>
      </c>
      <c r="H89" s="276">
        <v>30000</v>
      </c>
      <c r="I89" s="276">
        <v>111059</v>
      </c>
      <c r="J89" s="276" t="s">
        <v>7075</v>
      </c>
      <c r="K89" s="277" t="s">
        <v>6414</v>
      </c>
      <c r="L89" s="276">
        <v>111065</v>
      </c>
      <c r="M89" s="276" t="s">
        <v>7076</v>
      </c>
      <c r="N89" s="276">
        <v>11</v>
      </c>
      <c r="O89" s="276">
        <v>111071</v>
      </c>
      <c r="P89" s="276" t="s">
        <v>6413</v>
      </c>
      <c r="Q89" s="276">
        <v>14</v>
      </c>
    </row>
    <row r="90" spans="1:17">
      <c r="A90" s="276">
        <v>32800</v>
      </c>
      <c r="B90" s="276" t="s">
        <v>7051</v>
      </c>
      <c r="C90" s="276">
        <v>5</v>
      </c>
      <c r="D90" s="276"/>
      <c r="E90" s="276"/>
      <c r="F90" s="276"/>
      <c r="G90" s="276"/>
      <c r="H90" s="276"/>
      <c r="I90" s="276"/>
      <c r="J90" s="276"/>
      <c r="K90" s="277"/>
      <c r="L90" s="276"/>
      <c r="M90" s="276"/>
      <c r="N90" s="276"/>
      <c r="O90" s="276"/>
      <c r="P90" s="276"/>
      <c r="Q90" s="276"/>
    </row>
    <row r="91" spans="1:17">
      <c r="A91" s="276">
        <v>33820</v>
      </c>
      <c r="B91" s="276" t="s">
        <v>7053</v>
      </c>
      <c r="C91" s="276">
        <v>1</v>
      </c>
      <c r="D91" s="276"/>
      <c r="E91" s="276"/>
      <c r="F91" s="276">
        <v>100001</v>
      </c>
      <c r="G91" s="276" t="s">
        <v>6407</v>
      </c>
      <c r="H91" s="276">
        <v>2000</v>
      </c>
      <c r="I91" s="276">
        <v>111019</v>
      </c>
      <c r="J91" s="276" t="s">
        <v>7077</v>
      </c>
      <c r="K91" s="277" t="s">
        <v>6408</v>
      </c>
      <c r="L91" s="276">
        <v>111023</v>
      </c>
      <c r="M91" s="276" t="s">
        <v>6417</v>
      </c>
      <c r="N91" s="276">
        <v>2</v>
      </c>
      <c r="O91" s="276">
        <v>111027</v>
      </c>
      <c r="P91" s="276" t="s">
        <v>7078</v>
      </c>
      <c r="Q91" s="276">
        <v>4</v>
      </c>
    </row>
    <row r="92" spans="1:17">
      <c r="A92" s="276">
        <v>33820</v>
      </c>
      <c r="B92" s="276" t="s">
        <v>7053</v>
      </c>
      <c r="C92" s="276">
        <v>2</v>
      </c>
      <c r="D92" s="276"/>
      <c r="E92" s="276"/>
      <c r="F92" s="276">
        <v>100001</v>
      </c>
      <c r="G92" s="276" t="s">
        <v>6407</v>
      </c>
      <c r="H92" s="276">
        <v>5000</v>
      </c>
      <c r="I92" s="276">
        <v>111041</v>
      </c>
      <c r="J92" s="276" t="s">
        <v>7074</v>
      </c>
      <c r="K92" s="277" t="s">
        <v>6410</v>
      </c>
      <c r="L92" s="276">
        <v>111045</v>
      </c>
      <c r="M92" s="276" t="s">
        <v>7079</v>
      </c>
      <c r="N92" s="276">
        <v>3</v>
      </c>
      <c r="O92" s="276">
        <v>111049</v>
      </c>
      <c r="P92" s="276" t="s">
        <v>7080</v>
      </c>
      <c r="Q92" s="276">
        <v>8</v>
      </c>
    </row>
    <row r="93" spans="1:17">
      <c r="A93" s="276">
        <v>33820</v>
      </c>
      <c r="B93" s="276" t="s">
        <v>7053</v>
      </c>
      <c r="C93" s="276">
        <v>3</v>
      </c>
      <c r="D93" s="276"/>
      <c r="E93" s="276"/>
      <c r="F93" s="276">
        <v>100001</v>
      </c>
      <c r="G93" s="276" t="s">
        <v>6407</v>
      </c>
      <c r="H93" s="276">
        <v>15000</v>
      </c>
      <c r="I93" s="276">
        <v>111063</v>
      </c>
      <c r="J93" s="276" t="s">
        <v>7081</v>
      </c>
      <c r="K93" s="277" t="s">
        <v>6412</v>
      </c>
      <c r="L93" s="276">
        <v>111067</v>
      </c>
      <c r="M93" s="276" t="s">
        <v>7070</v>
      </c>
      <c r="N93" s="276">
        <v>8</v>
      </c>
      <c r="O93" s="276">
        <v>111071</v>
      </c>
      <c r="P93" s="276" t="s">
        <v>6413</v>
      </c>
      <c r="Q93" s="276">
        <v>8</v>
      </c>
    </row>
    <row r="94" spans="1:17">
      <c r="A94" s="276">
        <v>33820</v>
      </c>
      <c r="B94" s="276" t="s">
        <v>7053</v>
      </c>
      <c r="C94" s="276">
        <v>4</v>
      </c>
      <c r="D94" s="276"/>
      <c r="E94" s="276"/>
      <c r="F94" s="276">
        <v>100001</v>
      </c>
      <c r="G94" s="276" t="s">
        <v>6407</v>
      </c>
      <c r="H94" s="276">
        <v>30000</v>
      </c>
      <c r="I94" s="276">
        <v>111085</v>
      </c>
      <c r="J94" s="276" t="s">
        <v>6769</v>
      </c>
      <c r="K94" s="277" t="s">
        <v>6414</v>
      </c>
      <c r="L94" s="276">
        <v>111089</v>
      </c>
      <c r="M94" s="276" t="s">
        <v>7082</v>
      </c>
      <c r="N94" s="276">
        <v>11</v>
      </c>
      <c r="O94" s="276">
        <v>111093</v>
      </c>
      <c r="P94" s="276" t="s">
        <v>7083</v>
      </c>
      <c r="Q94" s="276">
        <v>14</v>
      </c>
    </row>
    <row r="95" spans="1:17">
      <c r="A95" s="276">
        <v>33820</v>
      </c>
      <c r="B95" s="276" t="s">
        <v>7053</v>
      </c>
      <c r="C95" s="276">
        <v>5</v>
      </c>
      <c r="D95" s="276"/>
      <c r="E95" s="276"/>
      <c r="F95" s="276"/>
      <c r="G95" s="276"/>
      <c r="H95" s="276"/>
      <c r="I95" s="276"/>
      <c r="J95" s="276"/>
      <c r="K95" s="277"/>
      <c r="L95" s="276"/>
      <c r="M95" s="276"/>
      <c r="N95" s="276"/>
      <c r="O95" s="276"/>
      <c r="P95" s="276"/>
      <c r="Q95" s="276"/>
    </row>
    <row r="96" spans="1:17">
      <c r="A96" s="276">
        <v>34830</v>
      </c>
      <c r="B96" s="276" t="s">
        <v>7054</v>
      </c>
      <c r="C96" s="276">
        <v>1</v>
      </c>
      <c r="D96" s="276"/>
      <c r="E96" s="276"/>
      <c r="F96" s="276">
        <v>100001</v>
      </c>
      <c r="G96" s="276" t="s">
        <v>6407</v>
      </c>
      <c r="H96" s="276">
        <v>2000</v>
      </c>
      <c r="I96" s="276">
        <v>111017</v>
      </c>
      <c r="J96" s="276" t="s">
        <v>7072</v>
      </c>
      <c r="K96" s="277" t="s">
        <v>6420</v>
      </c>
      <c r="L96" s="276">
        <v>111021</v>
      </c>
      <c r="M96" s="276" t="s">
        <v>7084</v>
      </c>
      <c r="N96" s="276">
        <v>3</v>
      </c>
      <c r="O96" s="276">
        <v>111025</v>
      </c>
      <c r="P96" s="276" t="s">
        <v>6438</v>
      </c>
      <c r="Q96" s="276">
        <v>4</v>
      </c>
    </row>
    <row r="97" spans="1:17">
      <c r="A97" s="276">
        <v>34830</v>
      </c>
      <c r="B97" s="276" t="s">
        <v>7054</v>
      </c>
      <c r="C97" s="276">
        <v>2</v>
      </c>
      <c r="D97" s="276"/>
      <c r="E97" s="276"/>
      <c r="F97" s="276">
        <v>100001</v>
      </c>
      <c r="G97" s="276" t="s">
        <v>6407</v>
      </c>
      <c r="H97" s="276">
        <v>5000</v>
      </c>
      <c r="I97" s="276">
        <v>111039</v>
      </c>
      <c r="J97" s="276" t="s">
        <v>7085</v>
      </c>
      <c r="K97" s="277" t="s">
        <v>6421</v>
      </c>
      <c r="L97" s="276">
        <v>111043</v>
      </c>
      <c r="M97" s="276" t="s">
        <v>7066</v>
      </c>
      <c r="N97" s="276">
        <v>4</v>
      </c>
      <c r="O97" s="276">
        <v>111047</v>
      </c>
      <c r="P97" s="276" t="s">
        <v>6422</v>
      </c>
      <c r="Q97" s="276">
        <v>6</v>
      </c>
    </row>
    <row r="98" spans="1:17">
      <c r="A98" s="276">
        <v>34830</v>
      </c>
      <c r="B98" s="276" t="s">
        <v>7054</v>
      </c>
      <c r="C98" s="276">
        <v>3</v>
      </c>
      <c r="D98" s="276"/>
      <c r="E98" s="276"/>
      <c r="F98" s="276">
        <v>100001</v>
      </c>
      <c r="G98" s="276" t="s">
        <v>6407</v>
      </c>
      <c r="H98" s="276">
        <v>15000</v>
      </c>
      <c r="I98" s="276">
        <v>111061</v>
      </c>
      <c r="J98" s="276" t="s">
        <v>6418</v>
      </c>
      <c r="K98" s="277" t="s">
        <v>6423</v>
      </c>
      <c r="L98" s="276">
        <v>111065</v>
      </c>
      <c r="M98" s="276" t="s">
        <v>7076</v>
      </c>
      <c r="N98" s="276">
        <v>6</v>
      </c>
      <c r="O98" s="276">
        <v>111069</v>
      </c>
      <c r="P98" s="276" t="s">
        <v>6439</v>
      </c>
      <c r="Q98" s="276">
        <v>11</v>
      </c>
    </row>
    <row r="99" spans="1:17">
      <c r="A99" s="276">
        <v>34830</v>
      </c>
      <c r="B99" s="276" t="s">
        <v>7054</v>
      </c>
      <c r="C99" s="276">
        <v>4</v>
      </c>
      <c r="D99" s="276"/>
      <c r="E99" s="276"/>
      <c r="F99" s="276">
        <v>100001</v>
      </c>
      <c r="G99" s="276" t="s">
        <v>6407</v>
      </c>
      <c r="H99" s="276">
        <v>30000</v>
      </c>
      <c r="I99" s="276">
        <v>111083</v>
      </c>
      <c r="J99" s="276" t="s">
        <v>7086</v>
      </c>
      <c r="K99" s="277" t="s">
        <v>6424</v>
      </c>
      <c r="L99" s="276">
        <v>111087</v>
      </c>
      <c r="M99" s="276" t="s">
        <v>7087</v>
      </c>
      <c r="N99" s="276">
        <v>12</v>
      </c>
      <c r="O99" s="276">
        <v>111091</v>
      </c>
      <c r="P99" s="276" t="s">
        <v>6440</v>
      </c>
      <c r="Q99" s="276">
        <v>12</v>
      </c>
    </row>
    <row r="100" spans="1:17">
      <c r="A100" s="276">
        <v>34830</v>
      </c>
      <c r="B100" s="276" t="s">
        <v>7054</v>
      </c>
      <c r="C100" s="276">
        <v>5</v>
      </c>
      <c r="D100" s="276"/>
      <c r="E100" s="276"/>
      <c r="F100" s="276"/>
      <c r="G100" s="276"/>
      <c r="H100" s="276"/>
      <c r="I100" s="276"/>
      <c r="J100" s="276"/>
      <c r="K100" s="277"/>
      <c r="L100" s="276"/>
      <c r="M100" s="276"/>
      <c r="N100" s="276"/>
      <c r="O100" s="276"/>
      <c r="P100" s="276"/>
      <c r="Q100" s="276"/>
    </row>
    <row r="101" spans="1:17">
      <c r="A101" s="276">
        <v>38250</v>
      </c>
      <c r="B101" s="276" t="s">
        <v>7056</v>
      </c>
      <c r="C101" s="276">
        <v>1</v>
      </c>
      <c r="D101" s="276"/>
      <c r="E101" s="276"/>
      <c r="F101" s="276">
        <v>100001</v>
      </c>
      <c r="G101" s="276" t="s">
        <v>6407</v>
      </c>
      <c r="H101" s="276">
        <v>2000</v>
      </c>
      <c r="I101" s="276">
        <v>111003</v>
      </c>
      <c r="J101" s="276" t="s">
        <v>6771</v>
      </c>
      <c r="K101" s="277" t="s">
        <v>6420</v>
      </c>
      <c r="L101" s="276">
        <v>111007</v>
      </c>
      <c r="M101" s="276" t="s">
        <v>6442</v>
      </c>
      <c r="N101" s="276">
        <v>3</v>
      </c>
      <c r="O101" s="276">
        <v>111011</v>
      </c>
      <c r="P101" s="276" t="s">
        <v>6772</v>
      </c>
      <c r="Q101" s="276">
        <v>4</v>
      </c>
    </row>
    <row r="102" spans="1:17">
      <c r="A102" s="276">
        <v>38250</v>
      </c>
      <c r="B102" s="276" t="s">
        <v>7056</v>
      </c>
      <c r="C102" s="276">
        <v>2</v>
      </c>
      <c r="D102" s="276"/>
      <c r="E102" s="276"/>
      <c r="F102" s="276">
        <v>100001</v>
      </c>
      <c r="G102" s="276" t="s">
        <v>6407</v>
      </c>
      <c r="H102" s="276">
        <v>5000</v>
      </c>
      <c r="I102" s="276">
        <v>111025</v>
      </c>
      <c r="J102" s="276" t="s">
        <v>6438</v>
      </c>
      <c r="K102" s="277" t="s">
        <v>6421</v>
      </c>
      <c r="L102" s="276">
        <v>111029</v>
      </c>
      <c r="M102" s="276" t="s">
        <v>6773</v>
      </c>
      <c r="N102" s="276">
        <v>4</v>
      </c>
      <c r="O102" s="276">
        <v>111033</v>
      </c>
      <c r="P102" s="276" t="s">
        <v>6409</v>
      </c>
      <c r="Q102" s="276">
        <v>6</v>
      </c>
    </row>
    <row r="103" spans="1:17">
      <c r="A103" s="276">
        <v>38250</v>
      </c>
      <c r="B103" s="276" t="s">
        <v>7056</v>
      </c>
      <c r="C103" s="276">
        <v>3</v>
      </c>
      <c r="D103" s="276"/>
      <c r="E103" s="276"/>
      <c r="F103" s="276">
        <v>100001</v>
      </c>
      <c r="G103" s="276" t="s">
        <v>6407</v>
      </c>
      <c r="H103" s="276">
        <v>15000</v>
      </c>
      <c r="I103" s="276">
        <v>111047</v>
      </c>
      <c r="J103" s="276" t="s">
        <v>6422</v>
      </c>
      <c r="K103" s="277" t="s">
        <v>6423</v>
      </c>
      <c r="L103" s="276">
        <v>111051</v>
      </c>
      <c r="M103" s="276" t="s">
        <v>6437</v>
      </c>
      <c r="N103" s="276">
        <v>6</v>
      </c>
      <c r="O103" s="276">
        <v>111055</v>
      </c>
      <c r="P103" s="276" t="s">
        <v>6443</v>
      </c>
      <c r="Q103" s="276">
        <v>11</v>
      </c>
    </row>
    <row r="104" spans="1:17">
      <c r="A104" s="276">
        <v>38250</v>
      </c>
      <c r="B104" s="276" t="s">
        <v>7056</v>
      </c>
      <c r="C104" s="276">
        <v>4</v>
      </c>
      <c r="D104" s="276"/>
      <c r="E104" s="276"/>
      <c r="F104" s="276">
        <v>100001</v>
      </c>
      <c r="G104" s="276" t="s">
        <v>6407</v>
      </c>
      <c r="H104" s="276">
        <v>30000</v>
      </c>
      <c r="I104" s="276">
        <v>111069</v>
      </c>
      <c r="J104" s="276" t="s">
        <v>6439</v>
      </c>
      <c r="K104" s="277" t="s">
        <v>6424</v>
      </c>
      <c r="L104" s="276">
        <v>111073</v>
      </c>
      <c r="M104" s="276" t="s">
        <v>6768</v>
      </c>
      <c r="N104" s="276">
        <v>12</v>
      </c>
      <c r="O104" s="276">
        <v>111077</v>
      </c>
      <c r="P104" s="276" t="s">
        <v>6774</v>
      </c>
      <c r="Q104" s="276">
        <v>12</v>
      </c>
    </row>
    <row r="105" spans="1:17">
      <c r="A105" s="276">
        <v>38250</v>
      </c>
      <c r="B105" s="276" t="s">
        <v>7056</v>
      </c>
      <c r="C105" s="276">
        <v>5</v>
      </c>
      <c r="D105" s="276"/>
      <c r="E105" s="276"/>
      <c r="F105" s="276"/>
      <c r="G105" s="276"/>
      <c r="H105" s="276"/>
      <c r="I105" s="276"/>
      <c r="J105" s="276"/>
      <c r="K105" s="277"/>
      <c r="L105" s="276"/>
      <c r="M105" s="276"/>
      <c r="N105" s="276"/>
      <c r="O105" s="276"/>
      <c r="P105" s="276"/>
      <c r="Q105" s="276"/>
    </row>
    <row r="106" spans="1:17">
      <c r="A106" s="276">
        <v>34820</v>
      </c>
      <c r="B106" s="276" t="s">
        <v>7057</v>
      </c>
      <c r="C106" s="276">
        <v>1</v>
      </c>
      <c r="D106" s="276"/>
      <c r="E106" s="276"/>
      <c r="F106" s="276">
        <v>100001</v>
      </c>
      <c r="G106" s="276" t="s">
        <v>6407</v>
      </c>
      <c r="H106" s="276">
        <v>2000</v>
      </c>
      <c r="I106" s="276">
        <v>111016</v>
      </c>
      <c r="J106" s="276" t="s">
        <v>7088</v>
      </c>
      <c r="K106" s="277" t="s">
        <v>6408</v>
      </c>
      <c r="L106" s="276">
        <v>111022</v>
      </c>
      <c r="M106" s="276" t="s">
        <v>7089</v>
      </c>
      <c r="N106" s="276">
        <v>1</v>
      </c>
      <c r="O106" s="276">
        <v>111028</v>
      </c>
      <c r="P106" s="276" t="s">
        <v>6770</v>
      </c>
      <c r="Q106" s="276">
        <v>5</v>
      </c>
    </row>
    <row r="107" spans="1:17">
      <c r="A107" s="276">
        <v>34820</v>
      </c>
      <c r="B107" s="276" t="s">
        <v>7057</v>
      </c>
      <c r="C107" s="276">
        <v>2</v>
      </c>
      <c r="D107" s="276"/>
      <c r="E107" s="276"/>
      <c r="F107" s="276">
        <v>100001</v>
      </c>
      <c r="G107" s="276" t="s">
        <v>6407</v>
      </c>
      <c r="H107" s="276">
        <v>5000</v>
      </c>
      <c r="I107" s="276">
        <v>111034</v>
      </c>
      <c r="J107" s="276" t="s">
        <v>7065</v>
      </c>
      <c r="K107" s="277" t="s">
        <v>6410</v>
      </c>
      <c r="L107" s="276">
        <v>111040</v>
      </c>
      <c r="M107" s="276" t="s">
        <v>7090</v>
      </c>
      <c r="N107" s="276">
        <v>5</v>
      </c>
      <c r="O107" s="276">
        <v>111046</v>
      </c>
      <c r="P107" s="276" t="s">
        <v>7091</v>
      </c>
      <c r="Q107" s="276">
        <v>6</v>
      </c>
    </row>
    <row r="108" spans="1:17">
      <c r="A108" s="276">
        <v>34820</v>
      </c>
      <c r="B108" s="276" t="s">
        <v>7057</v>
      </c>
      <c r="C108" s="276">
        <v>3</v>
      </c>
      <c r="D108" s="276"/>
      <c r="E108" s="276"/>
      <c r="F108" s="276">
        <v>100001</v>
      </c>
      <c r="G108" s="276" t="s">
        <v>6407</v>
      </c>
      <c r="H108" s="276">
        <v>15000</v>
      </c>
      <c r="I108" s="276">
        <v>111052</v>
      </c>
      <c r="J108" s="276" t="s">
        <v>6411</v>
      </c>
      <c r="K108" s="277" t="s">
        <v>6412</v>
      </c>
      <c r="L108" s="276">
        <v>111058</v>
      </c>
      <c r="M108" s="276" t="s">
        <v>7092</v>
      </c>
      <c r="N108" s="276">
        <v>7</v>
      </c>
      <c r="O108" s="276">
        <v>111064</v>
      </c>
      <c r="P108" s="276" t="s">
        <v>7093</v>
      </c>
      <c r="Q108" s="276">
        <v>9</v>
      </c>
    </row>
    <row r="109" spans="1:17">
      <c r="A109" s="276">
        <v>34820</v>
      </c>
      <c r="B109" s="276" t="s">
        <v>7057</v>
      </c>
      <c r="C109" s="276">
        <v>4</v>
      </c>
      <c r="D109" s="276"/>
      <c r="E109" s="276"/>
      <c r="F109" s="276">
        <v>100001</v>
      </c>
      <c r="G109" s="276" t="s">
        <v>6407</v>
      </c>
      <c r="H109" s="276">
        <v>30000</v>
      </c>
      <c r="I109" s="276">
        <v>111070</v>
      </c>
      <c r="J109" s="276" t="s">
        <v>7094</v>
      </c>
      <c r="K109" s="277" t="s">
        <v>6414</v>
      </c>
      <c r="L109" s="276">
        <v>111076</v>
      </c>
      <c r="M109" s="276" t="s">
        <v>7095</v>
      </c>
      <c r="N109" s="276">
        <v>10</v>
      </c>
      <c r="O109" s="276">
        <v>111082</v>
      </c>
      <c r="P109" s="276" t="s">
        <v>7096</v>
      </c>
      <c r="Q109" s="276">
        <v>15</v>
      </c>
    </row>
    <row r="110" spans="1:17">
      <c r="A110" s="276">
        <v>34820</v>
      </c>
      <c r="B110" s="276" t="s">
        <v>7057</v>
      </c>
      <c r="C110" s="276">
        <v>5</v>
      </c>
      <c r="D110" s="276"/>
      <c r="E110" s="276"/>
      <c r="F110" s="276"/>
      <c r="G110" s="276"/>
      <c r="H110" s="276"/>
      <c r="I110" s="276"/>
      <c r="J110" s="276"/>
      <c r="K110" s="277"/>
      <c r="L110" s="276"/>
      <c r="M110" s="276"/>
      <c r="N110" s="276"/>
      <c r="O110" s="276"/>
      <c r="P110" s="276"/>
      <c r="Q110" s="276"/>
    </row>
    <row r="111" spans="1:17">
      <c r="A111" s="276">
        <v>71190</v>
      </c>
      <c r="B111" s="276" t="s">
        <v>7059</v>
      </c>
      <c r="C111" s="276">
        <v>1</v>
      </c>
      <c r="D111" s="276"/>
      <c r="E111" s="276"/>
      <c r="F111" s="276">
        <v>100001</v>
      </c>
      <c r="G111" s="276" t="s">
        <v>6407</v>
      </c>
      <c r="H111" s="276">
        <v>2000</v>
      </c>
      <c r="I111" s="276">
        <v>111021</v>
      </c>
      <c r="J111" s="276" t="s">
        <v>7084</v>
      </c>
      <c r="K111" s="277" t="s">
        <v>6420</v>
      </c>
      <c r="L111" s="276">
        <v>111025</v>
      </c>
      <c r="M111" s="276" t="s">
        <v>6438</v>
      </c>
      <c r="N111" s="276">
        <v>3</v>
      </c>
      <c r="O111" s="276">
        <v>111029</v>
      </c>
      <c r="P111" s="276" t="s">
        <v>6773</v>
      </c>
      <c r="Q111" s="276">
        <v>4</v>
      </c>
    </row>
    <row r="112" spans="1:17">
      <c r="A112" s="276">
        <v>71190</v>
      </c>
      <c r="B112" s="276" t="s">
        <v>7059</v>
      </c>
      <c r="C112" s="276">
        <v>2</v>
      </c>
      <c r="D112" s="276"/>
      <c r="E112" s="276"/>
      <c r="F112" s="276">
        <v>100001</v>
      </c>
      <c r="G112" s="276" t="s">
        <v>6407</v>
      </c>
      <c r="H112" s="276">
        <v>5000</v>
      </c>
      <c r="I112" s="276">
        <v>111043</v>
      </c>
      <c r="J112" s="276" t="s">
        <v>7066</v>
      </c>
      <c r="K112" s="277" t="s">
        <v>6421</v>
      </c>
      <c r="L112" s="276">
        <v>111047</v>
      </c>
      <c r="M112" s="276" t="s">
        <v>6422</v>
      </c>
      <c r="N112" s="276">
        <v>4</v>
      </c>
      <c r="O112" s="276">
        <v>111051</v>
      </c>
      <c r="P112" s="276" t="s">
        <v>6437</v>
      </c>
      <c r="Q112" s="276">
        <v>6</v>
      </c>
    </row>
    <row r="113" spans="1:17">
      <c r="A113" s="276">
        <v>71190</v>
      </c>
      <c r="B113" s="276" t="s">
        <v>7059</v>
      </c>
      <c r="C113" s="276">
        <v>3</v>
      </c>
      <c r="D113" s="276"/>
      <c r="E113" s="276"/>
      <c r="F113" s="276">
        <v>100001</v>
      </c>
      <c r="G113" s="276" t="s">
        <v>6407</v>
      </c>
      <c r="H113" s="276">
        <v>15000</v>
      </c>
      <c r="I113" s="276">
        <v>111065</v>
      </c>
      <c r="J113" s="276" t="s">
        <v>7076</v>
      </c>
      <c r="K113" s="277" t="s">
        <v>6423</v>
      </c>
      <c r="L113" s="276">
        <v>111069</v>
      </c>
      <c r="M113" s="276" t="s">
        <v>6439</v>
      </c>
      <c r="N113" s="276">
        <v>6</v>
      </c>
      <c r="O113" s="276">
        <v>111073</v>
      </c>
      <c r="P113" s="276" t="s">
        <v>6768</v>
      </c>
      <c r="Q113" s="276">
        <v>11</v>
      </c>
    </row>
    <row r="114" spans="1:17">
      <c r="A114" s="276">
        <v>71190</v>
      </c>
      <c r="B114" s="276" t="s">
        <v>7059</v>
      </c>
      <c r="C114" s="276">
        <v>4</v>
      </c>
      <c r="D114" s="276"/>
      <c r="E114" s="276"/>
      <c r="F114" s="276">
        <v>100001</v>
      </c>
      <c r="G114" s="276" t="s">
        <v>6407</v>
      </c>
      <c r="H114" s="276">
        <v>30000</v>
      </c>
      <c r="I114" s="276">
        <v>111087</v>
      </c>
      <c r="J114" s="276" t="s">
        <v>7087</v>
      </c>
      <c r="K114" s="277" t="s">
        <v>6424</v>
      </c>
      <c r="L114" s="276">
        <v>111091</v>
      </c>
      <c r="M114" s="276" t="s">
        <v>6440</v>
      </c>
      <c r="N114" s="276">
        <v>12</v>
      </c>
      <c r="O114" s="276">
        <v>111095</v>
      </c>
      <c r="P114" s="276" t="s">
        <v>6415</v>
      </c>
      <c r="Q114" s="276">
        <v>12</v>
      </c>
    </row>
    <row r="115" spans="1:17">
      <c r="A115" s="276">
        <v>71190</v>
      </c>
      <c r="B115" s="276" t="s">
        <v>7059</v>
      </c>
      <c r="C115" s="276">
        <v>5</v>
      </c>
      <c r="D115" s="276"/>
      <c r="E115" s="276"/>
      <c r="F115" s="276">
        <v>100001</v>
      </c>
      <c r="G115" s="276" t="s">
        <v>6407</v>
      </c>
      <c r="H115" s="276">
        <v>60000</v>
      </c>
      <c r="I115" s="276">
        <v>111109</v>
      </c>
      <c r="J115" s="276" t="s">
        <v>7097</v>
      </c>
      <c r="K115" s="277" t="s">
        <v>6425</v>
      </c>
      <c r="L115" s="276">
        <v>111113</v>
      </c>
      <c r="M115" s="276" t="s">
        <v>6441</v>
      </c>
      <c r="N115" s="276">
        <v>15</v>
      </c>
      <c r="O115" s="276">
        <v>111117</v>
      </c>
      <c r="P115" s="276" t="s">
        <v>6775</v>
      </c>
      <c r="Q115" s="276">
        <v>18</v>
      </c>
    </row>
    <row r="116" spans="1:17">
      <c r="A116" s="276">
        <v>71190</v>
      </c>
      <c r="B116" s="276" t="s">
        <v>7059</v>
      </c>
      <c r="C116" s="276">
        <v>6</v>
      </c>
      <c r="D116" s="276"/>
      <c r="E116" s="276"/>
      <c r="F116" s="276"/>
      <c r="G116" s="276"/>
      <c r="H116" s="276"/>
      <c r="I116" s="276"/>
      <c r="J116" s="276"/>
      <c r="K116" s="277"/>
      <c r="L116" s="276"/>
      <c r="M116" s="276"/>
      <c r="N116" s="276"/>
      <c r="O116" s="276"/>
      <c r="P116" s="276"/>
      <c r="Q116" s="276"/>
    </row>
    <row r="117" spans="1:17">
      <c r="A117" s="276">
        <v>810119</v>
      </c>
      <c r="B117" s="276" t="s">
        <v>6972</v>
      </c>
      <c r="C117" s="276">
        <v>6</v>
      </c>
      <c r="D117" s="276"/>
      <c r="E117" s="276"/>
      <c r="F117" s="276">
        <v>100001</v>
      </c>
      <c r="G117" s="276" t="s">
        <v>6407</v>
      </c>
      <c r="H117" s="276">
        <v>90000</v>
      </c>
      <c r="I117" s="276">
        <v>111504</v>
      </c>
      <c r="J117" s="276" t="s">
        <v>7098</v>
      </c>
      <c r="K117" s="277" t="s">
        <v>6416</v>
      </c>
      <c r="L117" s="276">
        <v>111507</v>
      </c>
      <c r="M117" s="276" t="s">
        <v>7099</v>
      </c>
      <c r="N117" s="276">
        <v>18</v>
      </c>
      <c r="O117" s="276">
        <v>111510</v>
      </c>
      <c r="P117" s="276" t="s">
        <v>7100</v>
      </c>
      <c r="Q117" s="276">
        <v>23</v>
      </c>
    </row>
    <row r="118" spans="1:17">
      <c r="A118" s="276">
        <v>810119</v>
      </c>
      <c r="B118" s="276" t="s">
        <v>6972</v>
      </c>
      <c r="C118" s="276">
        <v>7</v>
      </c>
      <c r="D118" s="276"/>
      <c r="E118" s="276"/>
      <c r="F118" s="276"/>
      <c r="G118" s="276"/>
      <c r="H118" s="276"/>
      <c r="I118" s="276"/>
      <c r="J118" s="276"/>
      <c r="K118" s="277"/>
      <c r="L118" s="276"/>
      <c r="M118" s="276"/>
      <c r="N118" s="276"/>
      <c r="O118" s="276"/>
      <c r="P118" s="276"/>
      <c r="Q118" s="276"/>
    </row>
    <row r="119" spans="1:17">
      <c r="A119" s="276">
        <v>810219</v>
      </c>
      <c r="B119" s="276" t="s">
        <v>6973</v>
      </c>
      <c r="C119" s="276">
        <v>6</v>
      </c>
      <c r="D119" s="276"/>
      <c r="E119" s="276"/>
      <c r="F119" s="276">
        <v>100001</v>
      </c>
      <c r="G119" s="276" t="s">
        <v>6407</v>
      </c>
      <c r="H119" s="276">
        <v>90000</v>
      </c>
      <c r="I119" s="276">
        <v>111114</v>
      </c>
      <c r="J119" s="276" t="s">
        <v>7101</v>
      </c>
      <c r="K119" s="277" t="s">
        <v>6416</v>
      </c>
      <c r="L119" s="276">
        <v>111118</v>
      </c>
      <c r="M119" s="276" t="s">
        <v>7102</v>
      </c>
      <c r="N119" s="276">
        <v>20</v>
      </c>
      <c r="O119" s="276">
        <v>111122</v>
      </c>
      <c r="P119" s="276" t="s">
        <v>7103</v>
      </c>
      <c r="Q119" s="276">
        <v>21</v>
      </c>
    </row>
    <row r="120" spans="1:17">
      <c r="A120" s="276">
        <v>810219</v>
      </c>
      <c r="B120" s="276" t="s">
        <v>6973</v>
      </c>
      <c r="C120" s="276">
        <v>7</v>
      </c>
      <c r="D120" s="276"/>
      <c r="E120" s="276"/>
      <c r="F120" s="276"/>
      <c r="G120" s="276"/>
      <c r="H120" s="276"/>
      <c r="I120" s="276"/>
      <c r="J120" s="276"/>
      <c r="K120" s="277"/>
      <c r="L120" s="276"/>
      <c r="M120" s="276"/>
      <c r="N120" s="276"/>
      <c r="O120" s="276"/>
      <c r="P120" s="276"/>
      <c r="Q120" s="276"/>
    </row>
    <row r="121" spans="1:17">
      <c r="A121" s="276">
        <v>810319</v>
      </c>
      <c r="B121" s="276" t="s">
        <v>6974</v>
      </c>
      <c r="C121" s="276">
        <v>6</v>
      </c>
      <c r="D121" s="276"/>
      <c r="E121" s="276"/>
      <c r="F121" s="276">
        <v>100001</v>
      </c>
      <c r="G121" s="276" t="s">
        <v>6407</v>
      </c>
      <c r="H121" s="276">
        <v>90000</v>
      </c>
      <c r="I121" s="276">
        <v>111503</v>
      </c>
      <c r="J121" s="276" t="s">
        <v>7104</v>
      </c>
      <c r="K121" s="277" t="s">
        <v>6416</v>
      </c>
      <c r="L121" s="276">
        <v>111505</v>
      </c>
      <c r="M121" s="276" t="s">
        <v>7105</v>
      </c>
      <c r="N121" s="276">
        <v>19</v>
      </c>
      <c r="O121" s="276">
        <v>111507</v>
      </c>
      <c r="P121" s="276" t="s">
        <v>7099</v>
      </c>
      <c r="Q121" s="276">
        <v>22</v>
      </c>
    </row>
    <row r="122" spans="1:17">
      <c r="A122" s="276">
        <v>810319</v>
      </c>
      <c r="B122" s="276" t="s">
        <v>6974</v>
      </c>
      <c r="C122" s="276">
        <v>7</v>
      </c>
      <c r="D122" s="276"/>
      <c r="E122" s="276"/>
      <c r="F122" s="276"/>
      <c r="G122" s="276"/>
      <c r="H122" s="276"/>
      <c r="I122" s="276"/>
      <c r="J122" s="276"/>
      <c r="K122" s="277"/>
      <c r="L122" s="276"/>
      <c r="M122" s="276"/>
      <c r="N122" s="276"/>
      <c r="O122" s="276"/>
      <c r="P122" s="276"/>
      <c r="Q122" s="276"/>
    </row>
    <row r="123" spans="1:17">
      <c r="A123" s="276">
        <v>810419</v>
      </c>
      <c r="B123" s="276" t="s">
        <v>6975</v>
      </c>
      <c r="C123" s="276">
        <v>6</v>
      </c>
      <c r="D123" s="276"/>
      <c r="E123" s="276"/>
      <c r="F123" s="276">
        <v>100001</v>
      </c>
      <c r="G123" s="276" t="s">
        <v>6407</v>
      </c>
      <c r="H123" s="276">
        <v>90000</v>
      </c>
      <c r="I123" s="276">
        <v>111505</v>
      </c>
      <c r="J123" s="276" t="s">
        <v>7105</v>
      </c>
      <c r="K123" s="277" t="s">
        <v>6416</v>
      </c>
      <c r="L123" s="276">
        <v>111508</v>
      </c>
      <c r="M123" s="276" t="s">
        <v>7106</v>
      </c>
      <c r="N123" s="276">
        <v>18</v>
      </c>
      <c r="O123" s="276">
        <v>111511</v>
      </c>
      <c r="P123" s="276" t="s">
        <v>7107</v>
      </c>
      <c r="Q123" s="276">
        <v>23</v>
      </c>
    </row>
    <row r="124" spans="1:17">
      <c r="A124" s="276">
        <v>810419</v>
      </c>
      <c r="B124" s="276" t="s">
        <v>6975</v>
      </c>
      <c r="C124" s="276">
        <v>7</v>
      </c>
      <c r="D124" s="276"/>
      <c r="E124" s="276"/>
      <c r="F124" s="276"/>
      <c r="G124" s="276"/>
      <c r="H124" s="276"/>
      <c r="I124" s="276"/>
      <c r="J124" s="276"/>
      <c r="K124" s="277"/>
      <c r="L124" s="276"/>
      <c r="M124" s="276"/>
      <c r="N124" s="276"/>
      <c r="O124" s="276"/>
      <c r="P124" s="276"/>
      <c r="Q124" s="276"/>
    </row>
    <row r="125" spans="1:17">
      <c r="A125" s="276">
        <v>810519</v>
      </c>
      <c r="B125" s="276" t="s">
        <v>6976</v>
      </c>
      <c r="C125" s="276">
        <v>6</v>
      </c>
      <c r="D125" s="276"/>
      <c r="E125" s="276"/>
      <c r="F125" s="276">
        <v>100001</v>
      </c>
      <c r="G125" s="276" t="s">
        <v>6407</v>
      </c>
      <c r="H125" s="276">
        <v>90000</v>
      </c>
      <c r="I125" s="276">
        <v>111128</v>
      </c>
      <c r="J125" s="276" t="s">
        <v>7108</v>
      </c>
      <c r="K125" s="277" t="s">
        <v>6416</v>
      </c>
      <c r="L125" s="276">
        <v>111132</v>
      </c>
      <c r="M125" s="276" t="s">
        <v>7109</v>
      </c>
      <c r="N125" s="276">
        <v>20</v>
      </c>
      <c r="O125" s="276">
        <v>111136</v>
      </c>
      <c r="P125" s="276" t="s">
        <v>7110</v>
      </c>
      <c r="Q125" s="276">
        <v>21</v>
      </c>
    </row>
    <row r="126" spans="1:17">
      <c r="A126" s="276">
        <v>810519</v>
      </c>
      <c r="B126" s="276" t="s">
        <v>6976</v>
      </c>
      <c r="C126" s="276">
        <v>7</v>
      </c>
      <c r="D126" s="276"/>
      <c r="E126" s="276"/>
      <c r="F126" s="276"/>
      <c r="G126" s="276"/>
      <c r="H126" s="276"/>
      <c r="I126" s="276"/>
      <c r="J126" s="276"/>
      <c r="K126" s="277"/>
      <c r="L126" s="276"/>
      <c r="M126" s="276"/>
      <c r="N126" s="276"/>
      <c r="O126" s="276"/>
      <c r="P126" s="276"/>
      <c r="Q126" s="276"/>
    </row>
    <row r="127" spans="1:17">
      <c r="A127" s="276">
        <v>810619</v>
      </c>
      <c r="B127" s="276" t="s">
        <v>6977</v>
      </c>
      <c r="C127" s="276">
        <v>6</v>
      </c>
      <c r="D127" s="276"/>
      <c r="E127" s="276"/>
      <c r="F127" s="276">
        <v>100001</v>
      </c>
      <c r="G127" s="276" t="s">
        <v>6407</v>
      </c>
      <c r="H127" s="276">
        <v>90000</v>
      </c>
      <c r="I127" s="276">
        <v>111099</v>
      </c>
      <c r="J127" s="276" t="s">
        <v>6419</v>
      </c>
      <c r="K127" s="277" t="s">
        <v>6416</v>
      </c>
      <c r="L127" s="276">
        <v>111504</v>
      </c>
      <c r="M127" s="276" t="s">
        <v>7098</v>
      </c>
      <c r="N127" s="276">
        <v>19</v>
      </c>
      <c r="O127" s="276">
        <v>111506</v>
      </c>
      <c r="P127" s="276" t="s">
        <v>7111</v>
      </c>
      <c r="Q127" s="276">
        <v>22</v>
      </c>
    </row>
    <row r="128" spans="1:17">
      <c r="A128" s="276">
        <v>810619</v>
      </c>
      <c r="B128" s="276" t="s">
        <v>6977</v>
      </c>
      <c r="C128" s="276">
        <v>7</v>
      </c>
      <c r="D128" s="276"/>
      <c r="E128" s="276"/>
      <c r="F128" s="276"/>
      <c r="G128" s="276"/>
      <c r="H128" s="276"/>
      <c r="I128" s="276"/>
      <c r="J128" s="276"/>
      <c r="K128" s="277"/>
      <c r="L128" s="276"/>
      <c r="M128" s="276"/>
      <c r="N128" s="276"/>
      <c r="O128" s="276"/>
      <c r="P128" s="276"/>
      <c r="Q128" s="276"/>
    </row>
    <row r="129" spans="1:17">
      <c r="A129" s="276">
        <v>810719</v>
      </c>
      <c r="B129" s="276" t="s">
        <v>6978</v>
      </c>
      <c r="C129" s="276">
        <v>6</v>
      </c>
      <c r="D129" s="276"/>
      <c r="E129" s="276"/>
      <c r="F129" s="276">
        <v>100001</v>
      </c>
      <c r="G129" s="276" t="s">
        <v>6407</v>
      </c>
      <c r="H129" s="276">
        <v>90000</v>
      </c>
      <c r="I129" s="276">
        <v>111506</v>
      </c>
      <c r="J129" s="276" t="s">
        <v>7111</v>
      </c>
      <c r="K129" s="277" t="s">
        <v>6416</v>
      </c>
      <c r="L129" s="276">
        <v>111509</v>
      </c>
      <c r="M129" s="276" t="s">
        <v>7112</v>
      </c>
      <c r="N129" s="276">
        <v>18</v>
      </c>
      <c r="O129" s="276">
        <v>111512</v>
      </c>
      <c r="P129" s="276" t="s">
        <v>7113</v>
      </c>
      <c r="Q129" s="276">
        <v>23</v>
      </c>
    </row>
    <row r="130" spans="1:17">
      <c r="A130" s="276">
        <v>810719</v>
      </c>
      <c r="B130" s="276" t="s">
        <v>6978</v>
      </c>
      <c r="C130" s="276">
        <v>7</v>
      </c>
      <c r="D130" s="276"/>
      <c r="E130" s="276"/>
      <c r="F130" s="276"/>
      <c r="G130" s="276"/>
      <c r="H130" s="276"/>
      <c r="I130" s="276"/>
      <c r="J130" s="276"/>
      <c r="K130" s="277"/>
      <c r="L130" s="276"/>
      <c r="M130" s="276"/>
      <c r="N130" s="276"/>
      <c r="O130" s="276"/>
      <c r="P130" s="276"/>
      <c r="Q130" s="276"/>
    </row>
    <row r="131" spans="1:17">
      <c r="A131" s="276">
        <v>810819</v>
      </c>
      <c r="B131" s="276" t="s">
        <v>6979</v>
      </c>
      <c r="C131" s="276">
        <v>6</v>
      </c>
      <c r="D131" s="276"/>
      <c r="E131" s="276"/>
      <c r="F131" s="276">
        <v>100001</v>
      </c>
      <c r="G131" s="276" t="s">
        <v>6407</v>
      </c>
      <c r="H131" s="276">
        <v>90000</v>
      </c>
      <c r="I131" s="276">
        <v>111120</v>
      </c>
      <c r="J131" s="276" t="s">
        <v>7114</v>
      </c>
      <c r="K131" s="277" t="s">
        <v>6416</v>
      </c>
      <c r="L131" s="276">
        <v>111124</v>
      </c>
      <c r="M131" s="276" t="s">
        <v>7115</v>
      </c>
      <c r="N131" s="276">
        <v>20</v>
      </c>
      <c r="O131" s="276">
        <v>111128</v>
      </c>
      <c r="P131" s="276" t="s">
        <v>7108</v>
      </c>
      <c r="Q131" s="276">
        <v>21</v>
      </c>
    </row>
    <row r="132" spans="1:17">
      <c r="A132" s="276">
        <v>810819</v>
      </c>
      <c r="B132" s="276" t="s">
        <v>6979</v>
      </c>
      <c r="C132" s="276">
        <v>7</v>
      </c>
      <c r="D132" s="276"/>
      <c r="E132" s="276"/>
      <c r="F132" s="276"/>
      <c r="G132" s="276"/>
      <c r="H132" s="276"/>
      <c r="I132" s="276"/>
      <c r="J132" s="276"/>
      <c r="K132" s="277"/>
      <c r="L132" s="276"/>
      <c r="M132" s="276"/>
      <c r="N132" s="276"/>
      <c r="O132" s="276"/>
      <c r="P132" s="276"/>
      <c r="Q132" s="276"/>
    </row>
    <row r="133" spans="1:17">
      <c r="A133" s="276">
        <v>810919</v>
      </c>
      <c r="B133" s="276" t="s">
        <v>6980</v>
      </c>
      <c r="C133" s="276">
        <v>6</v>
      </c>
      <c r="D133" s="276"/>
      <c r="E133" s="276"/>
      <c r="F133" s="276">
        <v>100001</v>
      </c>
      <c r="G133" s="276" t="s">
        <v>6407</v>
      </c>
      <c r="H133" s="276">
        <v>90000</v>
      </c>
      <c r="I133" s="276">
        <v>111514</v>
      </c>
      <c r="J133" s="276" t="s">
        <v>7116</v>
      </c>
      <c r="K133" s="277" t="s">
        <v>6416</v>
      </c>
      <c r="L133" s="276">
        <v>111516</v>
      </c>
      <c r="M133" s="276" t="s">
        <v>7117</v>
      </c>
      <c r="N133" s="276">
        <v>19</v>
      </c>
      <c r="O133" s="276">
        <v>111518</v>
      </c>
      <c r="P133" s="276" t="s">
        <v>7118</v>
      </c>
      <c r="Q133" s="276">
        <v>22</v>
      </c>
    </row>
    <row r="134" spans="1:17">
      <c r="A134" s="276">
        <v>810919</v>
      </c>
      <c r="B134" s="276" t="s">
        <v>6980</v>
      </c>
      <c r="C134" s="276">
        <v>7</v>
      </c>
      <c r="D134" s="276"/>
      <c r="E134" s="276"/>
      <c r="F134" s="276"/>
      <c r="G134" s="276"/>
      <c r="H134" s="276"/>
      <c r="I134" s="276"/>
      <c r="J134" s="276"/>
      <c r="K134" s="277"/>
      <c r="L134" s="276"/>
      <c r="M134" s="276"/>
      <c r="N134" s="276"/>
      <c r="O134" s="276"/>
      <c r="P134" s="276"/>
      <c r="Q134" s="276"/>
    </row>
    <row r="135" spans="1:17">
      <c r="A135" s="276">
        <v>811019</v>
      </c>
      <c r="B135" s="276" t="s">
        <v>6981</v>
      </c>
      <c r="C135" s="276">
        <v>6</v>
      </c>
      <c r="D135" s="276"/>
      <c r="E135" s="276"/>
      <c r="F135" s="276">
        <v>100001</v>
      </c>
      <c r="G135" s="276" t="s">
        <v>6407</v>
      </c>
      <c r="H135" s="276">
        <v>90000</v>
      </c>
      <c r="I135" s="276">
        <v>111507</v>
      </c>
      <c r="J135" s="276" t="s">
        <v>7099</v>
      </c>
      <c r="K135" s="277" t="s">
        <v>6416</v>
      </c>
      <c r="L135" s="276">
        <v>111510</v>
      </c>
      <c r="M135" s="276" t="s">
        <v>7100</v>
      </c>
      <c r="N135" s="276">
        <v>18</v>
      </c>
      <c r="O135" s="276">
        <v>111513</v>
      </c>
      <c r="P135" s="276" t="s">
        <v>7119</v>
      </c>
      <c r="Q135" s="276">
        <v>23</v>
      </c>
    </row>
    <row r="136" spans="1:17">
      <c r="A136" s="276">
        <v>811019</v>
      </c>
      <c r="B136" s="276" t="s">
        <v>6981</v>
      </c>
      <c r="C136" s="276">
        <v>7</v>
      </c>
      <c r="D136" s="276"/>
      <c r="E136" s="276"/>
      <c r="F136" s="276"/>
      <c r="G136" s="276"/>
      <c r="H136" s="276"/>
      <c r="I136" s="276"/>
      <c r="J136" s="276"/>
      <c r="K136" s="277"/>
      <c r="L136" s="276"/>
      <c r="M136" s="276"/>
      <c r="N136" s="276"/>
      <c r="O136" s="276"/>
      <c r="P136" s="276"/>
      <c r="Q136" s="276"/>
    </row>
    <row r="137" spans="1:17">
      <c r="A137" s="276">
        <v>811119</v>
      </c>
      <c r="B137" s="276" t="s">
        <v>6982</v>
      </c>
      <c r="C137" s="276">
        <v>6</v>
      </c>
      <c r="D137" s="276"/>
      <c r="E137" s="276"/>
      <c r="F137" s="276">
        <v>100001</v>
      </c>
      <c r="G137" s="276" t="s">
        <v>6407</v>
      </c>
      <c r="H137" s="276">
        <v>90000</v>
      </c>
      <c r="I137" s="276">
        <v>111112</v>
      </c>
      <c r="J137" s="276" t="s">
        <v>7120</v>
      </c>
      <c r="K137" s="277" t="s">
        <v>6416</v>
      </c>
      <c r="L137" s="276">
        <v>111116</v>
      </c>
      <c r="M137" s="276" t="s">
        <v>7121</v>
      </c>
      <c r="N137" s="276">
        <v>20</v>
      </c>
      <c r="O137" s="276">
        <v>111120</v>
      </c>
      <c r="P137" s="276" t="s">
        <v>7114</v>
      </c>
      <c r="Q137" s="276">
        <v>21</v>
      </c>
    </row>
    <row r="138" spans="1:17">
      <c r="A138" s="276">
        <v>811119</v>
      </c>
      <c r="B138" s="276" t="s">
        <v>6982</v>
      </c>
      <c r="C138" s="276">
        <v>7</v>
      </c>
      <c r="D138" s="276"/>
      <c r="E138" s="276"/>
      <c r="F138" s="276"/>
      <c r="G138" s="276"/>
      <c r="H138" s="276"/>
      <c r="I138" s="276"/>
      <c r="J138" s="276"/>
      <c r="K138" s="277"/>
      <c r="L138" s="276"/>
      <c r="M138" s="276"/>
      <c r="N138" s="276"/>
      <c r="O138" s="276"/>
      <c r="P138" s="276"/>
      <c r="Q138" s="276"/>
    </row>
    <row r="139" spans="1:17">
      <c r="A139" s="276">
        <v>811219</v>
      </c>
      <c r="B139" s="276" t="s">
        <v>6983</v>
      </c>
      <c r="C139" s="276">
        <v>6</v>
      </c>
      <c r="D139" s="276"/>
      <c r="E139" s="276"/>
      <c r="F139" s="276">
        <v>100001</v>
      </c>
      <c r="G139" s="276" t="s">
        <v>6407</v>
      </c>
      <c r="H139" s="276">
        <v>90000</v>
      </c>
      <c r="I139" s="276">
        <v>111510</v>
      </c>
      <c r="J139" s="276" t="s">
        <v>7100</v>
      </c>
      <c r="K139" s="277" t="s">
        <v>6416</v>
      </c>
      <c r="L139" s="276">
        <v>111512</v>
      </c>
      <c r="M139" s="276" t="s">
        <v>7113</v>
      </c>
      <c r="N139" s="276">
        <v>19</v>
      </c>
      <c r="O139" s="276">
        <v>111514</v>
      </c>
      <c r="P139" s="276" t="s">
        <v>7116</v>
      </c>
      <c r="Q139" s="276">
        <v>22</v>
      </c>
    </row>
    <row r="140" spans="1:17">
      <c r="A140" s="276">
        <v>811219</v>
      </c>
      <c r="B140" s="276" t="s">
        <v>6983</v>
      </c>
      <c r="C140" s="276">
        <v>7</v>
      </c>
      <c r="D140" s="276"/>
      <c r="E140" s="276"/>
      <c r="F140" s="276"/>
      <c r="G140" s="276"/>
      <c r="H140" s="276"/>
      <c r="I140" s="276"/>
      <c r="J140" s="276"/>
      <c r="K140" s="277"/>
      <c r="L140" s="276"/>
      <c r="M140" s="276"/>
      <c r="N140" s="276"/>
      <c r="O140" s="276"/>
      <c r="P140" s="276"/>
      <c r="Q140" s="276"/>
    </row>
    <row r="141" spans="1:17">
      <c r="A141" s="276">
        <v>811319</v>
      </c>
      <c r="B141" s="276" t="s">
        <v>6984</v>
      </c>
      <c r="C141" s="276">
        <v>6</v>
      </c>
      <c r="D141" s="276"/>
      <c r="E141" s="276"/>
      <c r="F141" s="276">
        <v>100001</v>
      </c>
      <c r="G141" s="276" t="s">
        <v>6407</v>
      </c>
      <c r="H141" s="276">
        <v>90000</v>
      </c>
      <c r="I141" s="276">
        <v>111508</v>
      </c>
      <c r="J141" s="276" t="s">
        <v>7106</v>
      </c>
      <c r="K141" s="277" t="s">
        <v>6416</v>
      </c>
      <c r="L141" s="276">
        <v>111511</v>
      </c>
      <c r="M141" s="276" t="s">
        <v>7107</v>
      </c>
      <c r="N141" s="276">
        <v>18</v>
      </c>
      <c r="O141" s="276">
        <v>111514</v>
      </c>
      <c r="P141" s="276" t="s">
        <v>7116</v>
      </c>
      <c r="Q141" s="276">
        <v>23</v>
      </c>
    </row>
    <row r="142" spans="1:17">
      <c r="A142" s="276">
        <v>811319</v>
      </c>
      <c r="B142" s="276" t="s">
        <v>6984</v>
      </c>
      <c r="C142" s="276">
        <v>7</v>
      </c>
      <c r="D142" s="276"/>
      <c r="E142" s="276"/>
      <c r="F142" s="276"/>
      <c r="G142" s="276"/>
      <c r="H142" s="276"/>
      <c r="I142" s="276"/>
      <c r="J142" s="276"/>
      <c r="K142" s="277"/>
      <c r="L142" s="276"/>
      <c r="M142" s="276"/>
      <c r="N142" s="276"/>
      <c r="O142" s="276"/>
      <c r="P142" s="276"/>
      <c r="Q142" s="276"/>
    </row>
    <row r="143" spans="1:17">
      <c r="A143" s="276">
        <v>811419</v>
      </c>
      <c r="B143" s="276" t="s">
        <v>6985</v>
      </c>
      <c r="C143" s="276">
        <v>6</v>
      </c>
      <c r="D143" s="276"/>
      <c r="E143" s="276"/>
      <c r="F143" s="276">
        <v>100001</v>
      </c>
      <c r="G143" s="276" t="s">
        <v>6407</v>
      </c>
      <c r="H143" s="276">
        <v>90000</v>
      </c>
      <c r="I143" s="276">
        <v>111126</v>
      </c>
      <c r="J143" s="276" t="s">
        <v>6856</v>
      </c>
      <c r="K143" s="277" t="s">
        <v>6416</v>
      </c>
      <c r="L143" s="276">
        <v>111130</v>
      </c>
      <c r="M143" s="276" t="s">
        <v>7122</v>
      </c>
      <c r="N143" s="276">
        <v>20</v>
      </c>
      <c r="O143" s="276">
        <v>111134</v>
      </c>
      <c r="P143" s="276" t="s">
        <v>7123</v>
      </c>
      <c r="Q143" s="276">
        <v>21</v>
      </c>
    </row>
    <row r="144" spans="1:17">
      <c r="A144" s="276">
        <v>811419</v>
      </c>
      <c r="B144" s="276" t="s">
        <v>6985</v>
      </c>
      <c r="C144" s="276">
        <v>7</v>
      </c>
      <c r="D144" s="276"/>
      <c r="E144" s="276"/>
      <c r="F144" s="276"/>
      <c r="G144" s="276"/>
      <c r="H144" s="276"/>
      <c r="I144" s="276"/>
      <c r="J144" s="276"/>
      <c r="K144" s="277"/>
      <c r="L144" s="276"/>
      <c r="M144" s="276"/>
      <c r="N144" s="276"/>
      <c r="O144" s="276"/>
      <c r="P144" s="276"/>
      <c r="Q144" s="276"/>
    </row>
    <row r="145" spans="1:17">
      <c r="A145" s="276">
        <v>811519</v>
      </c>
      <c r="B145" s="276" t="s">
        <v>6986</v>
      </c>
      <c r="C145" s="276">
        <v>6</v>
      </c>
      <c r="D145" s="276"/>
      <c r="E145" s="276"/>
      <c r="F145" s="276">
        <v>100001</v>
      </c>
      <c r="G145" s="276" t="s">
        <v>6407</v>
      </c>
      <c r="H145" s="276">
        <v>90000</v>
      </c>
      <c r="I145" s="276">
        <v>111506</v>
      </c>
      <c r="J145" s="276" t="s">
        <v>7111</v>
      </c>
      <c r="K145" s="277" t="s">
        <v>6416</v>
      </c>
      <c r="L145" s="276">
        <v>111508</v>
      </c>
      <c r="M145" s="276" t="s">
        <v>7106</v>
      </c>
      <c r="N145" s="276">
        <v>19</v>
      </c>
      <c r="O145" s="276">
        <v>111510</v>
      </c>
      <c r="P145" s="276" t="s">
        <v>7100</v>
      </c>
      <c r="Q145" s="276">
        <v>22</v>
      </c>
    </row>
    <row r="146" spans="1:17">
      <c r="A146" s="276">
        <v>811519</v>
      </c>
      <c r="B146" s="276" t="s">
        <v>6986</v>
      </c>
      <c r="C146" s="276">
        <v>7</v>
      </c>
      <c r="D146" s="276"/>
      <c r="E146" s="276"/>
      <c r="F146" s="276"/>
      <c r="G146" s="276"/>
      <c r="H146" s="276"/>
      <c r="I146" s="276"/>
      <c r="J146" s="276"/>
      <c r="K146" s="277"/>
      <c r="L146" s="276"/>
      <c r="M146" s="276"/>
      <c r="N146" s="276"/>
      <c r="O146" s="276"/>
      <c r="P146" s="276"/>
      <c r="Q146" s="276"/>
    </row>
    <row r="147" spans="1:17">
      <c r="A147" s="276">
        <v>811619</v>
      </c>
      <c r="B147" s="276" t="s">
        <v>6987</v>
      </c>
      <c r="C147" s="276">
        <v>6</v>
      </c>
      <c r="D147" s="276"/>
      <c r="E147" s="276"/>
      <c r="F147" s="276">
        <v>100001</v>
      </c>
      <c r="G147" s="276" t="s">
        <v>6407</v>
      </c>
      <c r="H147" s="276">
        <v>90000</v>
      </c>
      <c r="I147" s="276">
        <v>111509</v>
      </c>
      <c r="J147" s="276" t="s">
        <v>7112</v>
      </c>
      <c r="K147" s="277" t="s">
        <v>6416</v>
      </c>
      <c r="L147" s="276">
        <v>111512</v>
      </c>
      <c r="M147" s="276" t="s">
        <v>7113</v>
      </c>
      <c r="N147" s="276">
        <v>18</v>
      </c>
      <c r="O147" s="276">
        <v>111515</v>
      </c>
      <c r="P147" s="276" t="s">
        <v>7124</v>
      </c>
      <c r="Q147" s="276">
        <v>23</v>
      </c>
    </row>
    <row r="148" spans="1:17">
      <c r="A148" s="276">
        <v>811619</v>
      </c>
      <c r="B148" s="276" t="s">
        <v>6987</v>
      </c>
      <c r="C148" s="276">
        <v>7</v>
      </c>
      <c r="D148" s="276"/>
      <c r="E148" s="276"/>
      <c r="F148" s="276"/>
      <c r="G148" s="276"/>
      <c r="H148" s="276"/>
      <c r="I148" s="276"/>
      <c r="J148" s="276"/>
      <c r="K148" s="277"/>
      <c r="L148" s="276"/>
      <c r="M148" s="276"/>
      <c r="N148" s="276"/>
      <c r="O148" s="276"/>
      <c r="P148" s="276"/>
      <c r="Q148" s="276"/>
    </row>
    <row r="149" spans="1:17">
      <c r="A149" s="276">
        <v>811719</v>
      </c>
      <c r="B149" s="276" t="s">
        <v>6988</v>
      </c>
      <c r="C149" s="276">
        <v>6</v>
      </c>
      <c r="D149" s="276"/>
      <c r="E149" s="276"/>
      <c r="F149" s="276">
        <v>100001</v>
      </c>
      <c r="G149" s="276" t="s">
        <v>6407</v>
      </c>
      <c r="H149" s="276">
        <v>90000</v>
      </c>
      <c r="I149" s="276">
        <v>111118</v>
      </c>
      <c r="J149" s="276" t="s">
        <v>7102</v>
      </c>
      <c r="K149" s="277" t="s">
        <v>6416</v>
      </c>
      <c r="L149" s="276">
        <v>111122</v>
      </c>
      <c r="M149" s="276" t="s">
        <v>7103</v>
      </c>
      <c r="N149" s="276">
        <v>20</v>
      </c>
      <c r="O149" s="276">
        <v>111126</v>
      </c>
      <c r="P149" s="276" t="s">
        <v>6856</v>
      </c>
      <c r="Q149" s="276">
        <v>21</v>
      </c>
    </row>
    <row r="150" spans="1:17">
      <c r="A150" s="276">
        <v>811719</v>
      </c>
      <c r="B150" s="276" t="s">
        <v>6988</v>
      </c>
      <c r="C150" s="276">
        <v>7</v>
      </c>
      <c r="D150" s="276"/>
      <c r="E150" s="276"/>
      <c r="F150" s="276"/>
      <c r="G150" s="276"/>
      <c r="H150" s="276"/>
      <c r="I150" s="276"/>
      <c r="J150" s="276"/>
      <c r="K150" s="277"/>
      <c r="L150" s="276"/>
      <c r="M150" s="276"/>
      <c r="N150" s="276"/>
      <c r="O150" s="276"/>
      <c r="P150" s="276"/>
      <c r="Q150" s="276"/>
    </row>
    <row r="151" spans="1:17">
      <c r="A151" s="276">
        <v>811819</v>
      </c>
      <c r="B151" s="276" t="s">
        <v>6989</v>
      </c>
      <c r="C151" s="276">
        <v>6</v>
      </c>
      <c r="D151" s="276"/>
      <c r="E151" s="276"/>
      <c r="F151" s="276">
        <v>100001</v>
      </c>
      <c r="G151" s="276" t="s">
        <v>6407</v>
      </c>
      <c r="H151" s="276">
        <v>90000</v>
      </c>
      <c r="I151" s="276">
        <v>111502</v>
      </c>
      <c r="J151" s="276" t="s">
        <v>7125</v>
      </c>
      <c r="K151" s="277" t="s">
        <v>6416</v>
      </c>
      <c r="L151" s="276">
        <v>111504</v>
      </c>
      <c r="M151" s="276" t="s">
        <v>7098</v>
      </c>
      <c r="N151" s="276">
        <v>19</v>
      </c>
      <c r="O151" s="276">
        <v>111506</v>
      </c>
      <c r="P151" s="276" t="s">
        <v>7111</v>
      </c>
      <c r="Q151" s="276">
        <v>22</v>
      </c>
    </row>
    <row r="152" spans="1:17">
      <c r="A152" s="276">
        <v>811819</v>
      </c>
      <c r="B152" s="276" t="s">
        <v>6989</v>
      </c>
      <c r="C152" s="276">
        <v>7</v>
      </c>
      <c r="D152" s="276"/>
      <c r="E152" s="276"/>
      <c r="F152" s="276"/>
      <c r="G152" s="276"/>
      <c r="H152" s="276"/>
      <c r="I152" s="276"/>
      <c r="J152" s="276"/>
      <c r="K152" s="277"/>
      <c r="L152" s="276"/>
      <c r="M152" s="276"/>
      <c r="N152" s="276"/>
      <c r="O152" s="276"/>
      <c r="P152" s="276"/>
      <c r="Q152" s="276"/>
    </row>
    <row r="153" spans="1:17">
      <c r="A153" s="6" t="s">
        <v>3246</v>
      </c>
      <c r="B153" s="6"/>
      <c r="C153" s="8"/>
      <c r="D153" s="286" t="s">
        <v>403</v>
      </c>
      <c r="E153" s="286"/>
      <c r="F153" s="286"/>
      <c r="G153" s="286"/>
      <c r="H153" s="286"/>
      <c r="I153" s="286"/>
      <c r="J153" s="286"/>
      <c r="K153" s="286"/>
      <c r="L153" s="286"/>
      <c r="M153" s="286"/>
      <c r="N153" s="286"/>
      <c r="O153" s="286"/>
      <c r="P153" s="6"/>
      <c r="Q153" s="6"/>
    </row>
    <row r="154" spans="1:17">
      <c r="C154" s="9"/>
      <c r="D154" s="9"/>
      <c r="K154" s="10"/>
    </row>
    <row r="155" spans="1:17">
      <c r="A155"/>
      <c r="B155"/>
      <c r="C155"/>
      <c r="D155"/>
      <c r="E155"/>
      <c r="F155"/>
      <c r="G155"/>
      <c r="H155"/>
      <c r="I155"/>
      <c r="J155"/>
      <c r="K155"/>
      <c r="L155"/>
      <c r="M155"/>
      <c r="N155"/>
      <c r="O155"/>
      <c r="P155"/>
      <c r="Q155"/>
    </row>
    <row r="156" spans="1:17">
      <c r="A156"/>
      <c r="B156"/>
      <c r="C156"/>
      <c r="D156"/>
      <c r="E156"/>
      <c r="F156"/>
      <c r="G156"/>
      <c r="H156"/>
      <c r="I156"/>
      <c r="J156"/>
      <c r="K156"/>
      <c r="L156"/>
      <c r="M156"/>
      <c r="N156"/>
      <c r="O156"/>
      <c r="P156"/>
      <c r="Q156"/>
    </row>
    <row r="157" spans="1:17">
      <c r="A157"/>
      <c r="B157"/>
      <c r="C157"/>
      <c r="D157"/>
      <c r="E157"/>
      <c r="F157"/>
      <c r="G157"/>
      <c r="H157"/>
      <c r="I157"/>
      <c r="J157"/>
      <c r="K157"/>
      <c r="L157"/>
      <c r="M157"/>
      <c r="N157"/>
      <c r="O157"/>
      <c r="P157"/>
      <c r="Q157"/>
    </row>
    <row r="158" spans="1:17">
      <c r="A158"/>
      <c r="B158"/>
      <c r="C158"/>
      <c r="D158"/>
      <c r="E158"/>
      <c r="F158"/>
      <c r="G158"/>
      <c r="H158"/>
      <c r="I158"/>
      <c r="J158"/>
      <c r="K158"/>
      <c r="L158"/>
      <c r="M158"/>
      <c r="N158"/>
      <c r="O158"/>
      <c r="P158"/>
      <c r="Q158"/>
    </row>
    <row r="159" spans="1:17">
      <c r="A159"/>
      <c r="B159"/>
      <c r="C159"/>
      <c r="D159"/>
      <c r="E159"/>
      <c r="F159"/>
      <c r="G159"/>
      <c r="H159"/>
      <c r="I159"/>
      <c r="J159"/>
      <c r="K159"/>
      <c r="L159"/>
      <c r="M159"/>
      <c r="N159"/>
      <c r="O159"/>
      <c r="P159"/>
      <c r="Q159"/>
    </row>
    <row r="160" spans="1:17">
      <c r="A160"/>
      <c r="B160"/>
      <c r="C160"/>
      <c r="D160"/>
      <c r="E160"/>
      <c r="F160"/>
      <c r="G160"/>
      <c r="H160"/>
      <c r="I160"/>
      <c r="J160"/>
      <c r="K160"/>
      <c r="L160"/>
      <c r="M160"/>
      <c r="N160"/>
      <c r="O160"/>
      <c r="P160"/>
      <c r="Q160"/>
    </row>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sheetData>
  <mergeCells count="9">
    <mergeCell ref="D61:O61"/>
    <mergeCell ref="D153:O153"/>
    <mergeCell ref="C1:F1"/>
    <mergeCell ref="G1:J1"/>
    <mergeCell ref="L1:Q1"/>
    <mergeCell ref="E32:F32"/>
    <mergeCell ref="H32:I32"/>
    <mergeCell ref="J32:K32"/>
    <mergeCell ref="L32:M32"/>
  </mergeCells>
  <phoneticPr fontId="7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
  <dimension ref="A1:G5"/>
  <sheetViews>
    <sheetView workbookViewId="0">
      <selection activeCell="A8" sqref="A8"/>
    </sheetView>
  </sheetViews>
  <sheetFormatPr defaultColWidth="9" defaultRowHeight="16.5"/>
  <cols>
    <col min="1" max="1" width="7" customWidth="1"/>
    <col min="2" max="2" width="13.625" customWidth="1"/>
    <col min="3" max="3" width="8" customWidth="1"/>
    <col min="4" max="7" width="6.375" customWidth="1"/>
  </cols>
  <sheetData>
    <row r="1" spans="1:7">
      <c r="A1" s="4" t="s">
        <v>3247</v>
      </c>
      <c r="B1" s="4" t="s">
        <v>3229</v>
      </c>
      <c r="C1" s="4" t="s">
        <v>3248</v>
      </c>
      <c r="D1" s="4" t="s">
        <v>380</v>
      </c>
      <c r="E1" s="4" t="s">
        <v>381</v>
      </c>
      <c r="F1" s="4" t="s">
        <v>382</v>
      </c>
      <c r="G1" s="4" t="s">
        <v>383</v>
      </c>
    </row>
    <row r="2" spans="1:7">
      <c r="A2">
        <v>51080</v>
      </c>
      <c r="B2" t="s">
        <v>6426</v>
      </c>
      <c r="C2" t="s">
        <v>6427</v>
      </c>
      <c r="D2">
        <v>5276</v>
      </c>
      <c r="E2">
        <v>4841</v>
      </c>
      <c r="F2">
        <v>2131</v>
      </c>
      <c r="G2">
        <v>123</v>
      </c>
    </row>
    <row r="3" spans="1:7">
      <c r="A3">
        <v>52150</v>
      </c>
      <c r="B3" t="s">
        <v>6428</v>
      </c>
      <c r="C3" t="s">
        <v>6429</v>
      </c>
      <c r="D3">
        <v>5272</v>
      </c>
      <c r="E3">
        <v>4738</v>
      </c>
      <c r="F3">
        <v>2240</v>
      </c>
      <c r="G3">
        <v>123</v>
      </c>
    </row>
    <row r="4" spans="1:7">
      <c r="A4">
        <v>54100</v>
      </c>
      <c r="B4" t="s">
        <v>6430</v>
      </c>
      <c r="C4" t="s">
        <v>6431</v>
      </c>
      <c r="D4">
        <v>5356</v>
      </c>
      <c r="E4">
        <v>4822</v>
      </c>
      <c r="F4">
        <v>2069</v>
      </c>
      <c r="G4">
        <v>123</v>
      </c>
    </row>
    <row r="5" spans="1:7">
      <c r="A5">
        <v>53210</v>
      </c>
      <c r="B5" t="s">
        <v>6432</v>
      </c>
      <c r="C5" t="s">
        <v>6433</v>
      </c>
      <c r="D5">
        <v>5356</v>
      </c>
      <c r="E5">
        <v>4822</v>
      </c>
      <c r="F5">
        <v>2069</v>
      </c>
      <c r="G5">
        <v>123</v>
      </c>
    </row>
  </sheetData>
  <phoneticPr fontId="7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5409" r:id="rId3" name="Button 1">
              <controlPr defaultSize="0" print="0" autoPict="0" macro="[0]!卡牌满级属性">
                <anchor moveWithCells="1" sizeWithCells="1">
                  <from>
                    <xdr:col>7</xdr:col>
                    <xdr:colOff>542925</xdr:colOff>
                    <xdr:row>0</xdr:row>
                    <xdr:rowOff>95250</xdr:rowOff>
                  </from>
                  <to>
                    <xdr:col>8</xdr:col>
                    <xdr:colOff>647700</xdr:colOff>
                    <xdr:row>2</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5B433-62AC-454B-AC6D-66E987AC3886}">
  <sheetPr codeName="Sheet21"/>
  <dimension ref="A1:K21"/>
  <sheetViews>
    <sheetView workbookViewId="0">
      <selection activeCell="D7" sqref="D7"/>
    </sheetView>
  </sheetViews>
  <sheetFormatPr defaultRowHeight="16.5"/>
  <cols>
    <col min="1" max="1" width="20.75" bestFit="1" customWidth="1"/>
    <col min="4" max="4" width="24.875" customWidth="1"/>
    <col min="5" max="5" width="25.375" customWidth="1"/>
    <col min="6" max="6" width="58.25" customWidth="1"/>
    <col min="7" max="7" width="4.75" customWidth="1"/>
    <col min="8" max="8" width="8" bestFit="1" customWidth="1"/>
    <col min="9" max="9" width="34" bestFit="1" customWidth="1"/>
    <col min="10" max="10" width="4.75" customWidth="1"/>
    <col min="11" max="11" width="87.625" customWidth="1"/>
  </cols>
  <sheetData>
    <row r="1" spans="1:11" ht="32.25" customHeight="1">
      <c r="A1" s="185" t="s">
        <v>5288</v>
      </c>
      <c r="B1" s="185" t="s">
        <v>5289</v>
      </c>
      <c r="D1" s="218" t="s">
        <v>5764</v>
      </c>
      <c r="E1" s="183" t="s">
        <v>5130</v>
      </c>
      <c r="F1" s="183" t="s">
        <v>5137</v>
      </c>
      <c r="H1" s="176" t="s">
        <v>5153</v>
      </c>
      <c r="K1" s="180" t="s">
        <v>5201</v>
      </c>
    </row>
    <row r="2" spans="1:11">
      <c r="A2" s="185" t="s">
        <v>5290</v>
      </c>
      <c r="B2">
        <v>1</v>
      </c>
      <c r="D2" s="223" t="s">
        <v>5887</v>
      </c>
      <c r="E2" s="183" t="s">
        <v>5120</v>
      </c>
      <c r="F2" s="183" t="s">
        <v>5132</v>
      </c>
      <c r="H2" s="176" t="s">
        <v>5154</v>
      </c>
      <c r="I2" s="179" t="s">
        <v>5198</v>
      </c>
      <c r="K2" s="180" t="s">
        <v>5202</v>
      </c>
    </row>
    <row r="3" spans="1:11">
      <c r="A3" s="185" t="s">
        <v>5291</v>
      </c>
      <c r="B3">
        <v>1</v>
      </c>
      <c r="D3" s="223" t="s">
        <v>5888</v>
      </c>
      <c r="E3" s="183" t="s">
        <v>5125</v>
      </c>
      <c r="F3" s="183" t="s">
        <v>5131</v>
      </c>
      <c r="H3" s="176" t="s">
        <v>5155</v>
      </c>
      <c r="I3" s="176" t="s">
        <v>5159</v>
      </c>
      <c r="K3" s="180" t="s">
        <v>5203</v>
      </c>
    </row>
    <row r="4" spans="1:11">
      <c r="A4" s="185" t="s">
        <v>5292</v>
      </c>
      <c r="B4">
        <v>1</v>
      </c>
      <c r="D4" s="223" t="s">
        <v>5889</v>
      </c>
      <c r="E4" s="183" t="s">
        <v>5121</v>
      </c>
      <c r="F4" s="183" t="s">
        <v>5133</v>
      </c>
      <c r="H4" s="176" t="s">
        <v>5156</v>
      </c>
      <c r="I4" s="176" t="s">
        <v>5158</v>
      </c>
      <c r="K4" s="180" t="s">
        <v>5204</v>
      </c>
    </row>
    <row r="5" spans="1:11">
      <c r="A5" s="185" t="s">
        <v>5293</v>
      </c>
      <c r="B5">
        <v>2</v>
      </c>
      <c r="D5" s="223" t="s">
        <v>5890</v>
      </c>
      <c r="E5" s="183" t="s">
        <v>5140</v>
      </c>
      <c r="F5" s="183" t="s">
        <v>5141</v>
      </c>
      <c r="H5" s="176" t="s">
        <v>5157</v>
      </c>
      <c r="I5" s="179" t="s">
        <v>5199</v>
      </c>
      <c r="K5" s="180" t="s">
        <v>5205</v>
      </c>
    </row>
    <row r="6" spans="1:11">
      <c r="A6" s="185" t="s">
        <v>5294</v>
      </c>
      <c r="B6">
        <v>2</v>
      </c>
      <c r="D6" s="223" t="s">
        <v>5891</v>
      </c>
      <c r="E6" s="183" t="s">
        <v>5122</v>
      </c>
      <c r="F6" s="183" t="s">
        <v>5142</v>
      </c>
      <c r="K6" s="180"/>
    </row>
    <row r="7" spans="1:11">
      <c r="A7" s="189" t="s">
        <v>5445</v>
      </c>
      <c r="B7">
        <v>2</v>
      </c>
      <c r="D7" s="223" t="s">
        <v>5892</v>
      </c>
      <c r="E7" s="183" t="s">
        <v>5227</v>
      </c>
      <c r="F7" s="183" t="s">
        <v>5138</v>
      </c>
      <c r="H7" s="179" t="s">
        <v>5196</v>
      </c>
      <c r="I7" s="179" t="s">
        <v>5200</v>
      </c>
      <c r="K7" s="180" t="s">
        <v>5206</v>
      </c>
    </row>
    <row r="8" spans="1:11">
      <c r="A8" s="190" t="s">
        <v>5446</v>
      </c>
      <c r="B8">
        <v>2</v>
      </c>
      <c r="E8" s="183" t="s">
        <v>5228</v>
      </c>
      <c r="F8" s="183" t="s">
        <v>5139</v>
      </c>
      <c r="I8" s="179" t="s">
        <v>5197</v>
      </c>
      <c r="K8" s="180" t="s">
        <v>5207</v>
      </c>
    </row>
    <row r="9" spans="1:11">
      <c r="E9" s="183" t="s">
        <v>5229</v>
      </c>
      <c r="F9" s="183" t="s">
        <v>5136</v>
      </c>
      <c r="K9" s="180" t="s">
        <v>5208</v>
      </c>
    </row>
    <row r="10" spans="1:11">
      <c r="E10" s="183" t="s">
        <v>5143</v>
      </c>
      <c r="F10" s="183" t="s">
        <v>5146</v>
      </c>
      <c r="K10" s="180" t="s">
        <v>5209</v>
      </c>
    </row>
    <row r="11" spans="1:11">
      <c r="E11" s="183" t="s">
        <v>5144</v>
      </c>
      <c r="F11" s="183" t="s">
        <v>5145</v>
      </c>
      <c r="K11" s="180" t="s">
        <v>5210</v>
      </c>
    </row>
    <row r="12" spans="1:11">
      <c r="E12" s="184" t="s">
        <v>5287</v>
      </c>
      <c r="F12" s="183" t="s">
        <v>5230</v>
      </c>
      <c r="K12" s="180" t="s">
        <v>5211</v>
      </c>
    </row>
    <row r="13" spans="1:11">
      <c r="E13" s="183" t="s">
        <v>5124</v>
      </c>
      <c r="F13" s="183" t="s">
        <v>5231</v>
      </c>
      <c r="K13" s="180" t="s">
        <v>5212</v>
      </c>
    </row>
    <row r="14" spans="1:11">
      <c r="E14" s="183" t="s">
        <v>5123</v>
      </c>
      <c r="F14" s="183" t="s">
        <v>5134</v>
      </c>
    </row>
    <row r="15" spans="1:11">
      <c r="E15" s="183" t="s">
        <v>5128</v>
      </c>
      <c r="F15" s="183" t="s">
        <v>5135</v>
      </c>
    </row>
    <row r="16" spans="1:11">
      <c r="E16" s="183" t="s">
        <v>5126</v>
      </c>
      <c r="F16" s="183" t="s">
        <v>5147</v>
      </c>
    </row>
    <row r="17" spans="5:6">
      <c r="E17" s="183" t="s">
        <v>5148</v>
      </c>
    </row>
    <row r="18" spans="5:6">
      <c r="E18" s="183" t="s">
        <v>5149</v>
      </c>
    </row>
    <row r="19" spans="5:6">
      <c r="E19" s="183" t="s">
        <v>5150</v>
      </c>
    </row>
    <row r="20" spans="5:6">
      <c r="E20" s="183" t="s">
        <v>5151</v>
      </c>
    </row>
    <row r="21" spans="5:6">
      <c r="E21" s="183" t="s">
        <v>5127</v>
      </c>
      <c r="F21" s="183" t="s">
        <v>5152</v>
      </c>
    </row>
  </sheetData>
  <phoneticPr fontId="7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70" r:id="rId3" name="Button 2">
              <controlPr defaultSize="0" print="0" autoFill="0" autoPict="0" macro="[0]!表头_表到表更新">
                <anchor moveWithCells="1" sizeWithCells="1">
                  <from>
                    <xdr:col>0</xdr:col>
                    <xdr:colOff>323850</xdr:colOff>
                    <xdr:row>13</xdr:row>
                    <xdr:rowOff>171450</xdr:rowOff>
                  </from>
                  <to>
                    <xdr:col>0</xdr:col>
                    <xdr:colOff>1381125</xdr:colOff>
                    <xdr:row>15</xdr:row>
                    <xdr:rowOff>47625</xdr:rowOff>
                  </to>
                </anchor>
              </controlPr>
            </control>
          </mc:Choice>
        </mc:AlternateContent>
        <mc:AlternateContent xmlns:mc="http://schemas.openxmlformats.org/markup-compatibility/2006">
          <mc:Choice Requires="x14">
            <control shapeId="186371" r:id="rId4" name="Button 3">
              <controlPr defaultSize="0" print="0" autoFill="0" autoPict="0" macro="[0]!表头_skip检查">
                <anchor moveWithCells="1" sizeWithCells="1">
                  <from>
                    <xdr:col>0</xdr:col>
                    <xdr:colOff>342900</xdr:colOff>
                    <xdr:row>10</xdr:row>
                    <xdr:rowOff>190500</xdr:rowOff>
                  </from>
                  <to>
                    <xdr:col>0</xdr:col>
                    <xdr:colOff>1400175</xdr:colOff>
                    <xdr:row>12</xdr:row>
                    <xdr:rowOff>66675</xdr:rowOff>
                  </to>
                </anchor>
              </controlPr>
            </control>
          </mc:Choice>
        </mc:AlternateContent>
        <mc:AlternateContent xmlns:mc="http://schemas.openxmlformats.org/markup-compatibility/2006">
          <mc:Choice Requires="x14">
            <control shapeId="186372" r:id="rId5" name="Button 4">
              <controlPr defaultSize="0" print="0" autoFill="0" autoPict="0" macro="[0]!表头_部分表更新">
                <anchor moveWithCells="1" sizeWithCells="1">
                  <from>
                    <xdr:col>3</xdr:col>
                    <xdr:colOff>609600</xdr:colOff>
                    <xdr:row>0</xdr:row>
                    <xdr:rowOff>57150</xdr:rowOff>
                  </from>
                  <to>
                    <xdr:col>3</xdr:col>
                    <xdr:colOff>1666875</xdr:colOff>
                    <xdr:row>0</xdr:row>
                    <xdr:rowOff>352425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6CFD0-8EE8-44D0-9371-AD627E9B5D3A}">
  <sheetPr codeName="Sheet30"/>
  <dimension ref="A1:E2"/>
  <sheetViews>
    <sheetView workbookViewId="0">
      <selection activeCell="A14" sqref="A14"/>
    </sheetView>
  </sheetViews>
  <sheetFormatPr defaultRowHeight="16.5"/>
  <cols>
    <col min="1" max="1" width="10.875" bestFit="1" customWidth="1"/>
    <col min="2" max="2" width="15" bestFit="1" customWidth="1"/>
  </cols>
  <sheetData>
    <row r="1" spans="1:5" s="13" customFormat="1">
      <c r="A1" s="245" t="s">
        <v>6254</v>
      </c>
      <c r="B1" s="245" t="s">
        <v>6259</v>
      </c>
      <c r="C1" s="245" t="s">
        <v>6258</v>
      </c>
      <c r="E1" s="245"/>
    </row>
    <row r="2" spans="1:5">
      <c r="A2" s="244" t="s">
        <v>6257</v>
      </c>
      <c r="B2" s="244" t="s">
        <v>6260</v>
      </c>
      <c r="C2" s="244" t="s">
        <v>3824</v>
      </c>
    </row>
  </sheetData>
  <phoneticPr fontId="71"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C4D27-6DF4-4734-94B0-7E9429A9D7FE}">
  <sheetPr codeName="Sheet20"/>
  <dimension ref="A1:S66"/>
  <sheetViews>
    <sheetView workbookViewId="0">
      <selection activeCell="F15" sqref="F15"/>
    </sheetView>
  </sheetViews>
  <sheetFormatPr defaultRowHeight="16.5"/>
  <cols>
    <col min="1" max="1" width="4.75" bestFit="1" customWidth="1"/>
    <col min="2" max="2" width="11.375" bestFit="1" customWidth="1"/>
    <col min="3" max="3" width="43.875" bestFit="1" customWidth="1"/>
    <col min="4" max="4" width="8" bestFit="1" customWidth="1"/>
    <col min="5" max="5" width="4.25" style="75" customWidth="1"/>
    <col min="6" max="6" width="13.125" bestFit="1" customWidth="1"/>
    <col min="7" max="7" width="16.5" bestFit="1" customWidth="1"/>
    <col min="8" max="8" width="4.625" style="75" customWidth="1"/>
    <col min="9" max="11" width="4.75" bestFit="1" customWidth="1"/>
    <col min="12" max="12" width="16.375" customWidth="1"/>
    <col min="13" max="13" width="56.5" bestFit="1" customWidth="1"/>
    <col min="14" max="14" width="5.625" customWidth="1"/>
    <col min="15" max="15" width="13.875" customWidth="1"/>
    <col min="16" max="16" width="6.375" bestFit="1" customWidth="1"/>
    <col min="17" max="17" width="4.75" bestFit="1" customWidth="1"/>
    <col min="18" max="18" width="9.375" bestFit="1" customWidth="1"/>
    <col min="19" max="19" width="8" bestFit="1" customWidth="1"/>
  </cols>
  <sheetData>
    <row r="1" spans="1:19" ht="33">
      <c r="A1" s="204" t="s">
        <v>5692</v>
      </c>
      <c r="B1" s="204" t="s">
        <v>5693</v>
      </c>
      <c r="C1" s="204" t="s">
        <v>5694</v>
      </c>
      <c r="D1" s="204" t="s">
        <v>5695</v>
      </c>
      <c r="F1" s="207" t="s">
        <v>5727</v>
      </c>
      <c r="G1" s="207" t="s">
        <v>5728</v>
      </c>
      <c r="I1" s="208" t="s">
        <v>5692</v>
      </c>
      <c r="J1" s="208" t="s">
        <v>5729</v>
      </c>
      <c r="K1" s="208" t="s">
        <v>5730</v>
      </c>
      <c r="L1" s="208" t="s">
        <v>5693</v>
      </c>
      <c r="M1" s="208" t="s">
        <v>5731</v>
      </c>
      <c r="N1" s="209" t="s">
        <v>5732</v>
      </c>
      <c r="O1" s="209" t="s">
        <v>5733</v>
      </c>
      <c r="P1" s="210" t="s">
        <v>5734</v>
      </c>
      <c r="Q1" s="210" t="s">
        <v>5735</v>
      </c>
      <c r="R1" s="223" t="s">
        <v>5906</v>
      </c>
      <c r="S1" s="224" t="s">
        <v>5907</v>
      </c>
    </row>
    <row r="2" spans="1:19">
      <c r="A2" s="207">
        <v>22</v>
      </c>
      <c r="B2" s="220" t="s">
        <v>5765</v>
      </c>
      <c r="C2" s="220" t="s">
        <v>5766</v>
      </c>
      <c r="D2" s="204">
        <v>5</v>
      </c>
      <c r="F2" s="211" t="s">
        <v>5736</v>
      </c>
      <c r="G2">
        <v>312115</v>
      </c>
      <c r="I2" s="208">
        <v>22</v>
      </c>
      <c r="J2" s="208">
        <v>1</v>
      </c>
      <c r="K2" s="208" t="s">
        <v>5737</v>
      </c>
      <c r="L2" s="3" t="s">
        <v>5775</v>
      </c>
      <c r="M2" s="3" t="s">
        <v>5776</v>
      </c>
      <c r="R2" s="223" t="s">
        <v>5893</v>
      </c>
      <c r="S2" s="223"/>
    </row>
    <row r="3" spans="1:19">
      <c r="A3" s="207">
        <v>23</v>
      </c>
      <c r="B3" s="220" t="s">
        <v>5767</v>
      </c>
      <c r="C3" s="220" t="s">
        <v>5768</v>
      </c>
      <c r="D3" s="204">
        <v>5</v>
      </c>
      <c r="F3" s="211" t="s">
        <v>5738</v>
      </c>
      <c r="G3" s="208">
        <v>119658</v>
      </c>
      <c r="I3" s="208">
        <v>22</v>
      </c>
      <c r="J3" s="208">
        <v>2</v>
      </c>
      <c r="K3" s="208" t="s">
        <v>5737</v>
      </c>
      <c r="L3" s="3" t="s">
        <v>5777</v>
      </c>
      <c r="M3" s="3" t="s">
        <v>5778</v>
      </c>
      <c r="R3" s="223" t="s">
        <v>5894</v>
      </c>
    </row>
    <row r="4" spans="1:19">
      <c r="A4" s="207">
        <v>24</v>
      </c>
      <c r="B4" s="220" t="s">
        <v>5769</v>
      </c>
      <c r="C4" s="220" t="s">
        <v>5770</v>
      </c>
      <c r="D4" s="204">
        <v>5</v>
      </c>
      <c r="F4" s="211" t="s">
        <v>5739</v>
      </c>
      <c r="G4" s="208">
        <v>1394</v>
      </c>
      <c r="I4" s="208">
        <v>22</v>
      </c>
      <c r="J4" s="208">
        <v>3</v>
      </c>
      <c r="K4" s="208" t="s">
        <v>5740</v>
      </c>
      <c r="L4" s="212"/>
      <c r="M4" s="208"/>
      <c r="O4">
        <v>111048</v>
      </c>
      <c r="P4">
        <v>1131</v>
      </c>
    </row>
    <row r="5" spans="1:19">
      <c r="A5" s="207">
        <v>25</v>
      </c>
      <c r="B5" s="220" t="s">
        <v>5771</v>
      </c>
      <c r="C5" s="220" t="s">
        <v>5772</v>
      </c>
      <c r="D5" s="204">
        <v>5</v>
      </c>
      <c r="F5" s="211" t="s">
        <v>5741</v>
      </c>
      <c r="G5">
        <v>45000</v>
      </c>
      <c r="I5" s="208">
        <v>22</v>
      </c>
      <c r="J5" s="208">
        <v>4</v>
      </c>
      <c r="K5" s="208" t="s">
        <v>5737</v>
      </c>
      <c r="L5" s="3" t="s">
        <v>5779</v>
      </c>
      <c r="M5" s="3" t="s">
        <v>5780</v>
      </c>
      <c r="N5">
        <v>150</v>
      </c>
      <c r="O5" s="221"/>
      <c r="R5" s="223" t="s">
        <v>5894</v>
      </c>
    </row>
    <row r="6" spans="1:19">
      <c r="F6" s="211" t="s">
        <v>5742</v>
      </c>
      <c r="G6">
        <v>230</v>
      </c>
      <c r="I6" s="208">
        <v>22</v>
      </c>
      <c r="J6" s="208">
        <v>5</v>
      </c>
      <c r="K6" s="208" t="s">
        <v>5737</v>
      </c>
      <c r="L6" s="3" t="s">
        <v>5781</v>
      </c>
      <c r="M6" s="3" t="s">
        <v>5782</v>
      </c>
      <c r="N6">
        <v>150</v>
      </c>
      <c r="R6" s="223" t="s">
        <v>5894</v>
      </c>
    </row>
    <row r="7" spans="1:19">
      <c r="F7" s="211" t="s">
        <v>5743</v>
      </c>
      <c r="G7">
        <v>19</v>
      </c>
      <c r="I7" s="208">
        <v>22</v>
      </c>
      <c r="J7" s="208">
        <v>6</v>
      </c>
      <c r="K7" s="208" t="s">
        <v>5740</v>
      </c>
      <c r="L7" s="212"/>
      <c r="M7" s="214"/>
      <c r="O7">
        <v>111049</v>
      </c>
      <c r="P7">
        <v>4370</v>
      </c>
    </row>
    <row r="8" spans="1:19">
      <c r="F8" s="211" t="s">
        <v>5744</v>
      </c>
      <c r="G8" s="213" t="s">
        <v>5455</v>
      </c>
      <c r="I8" s="208">
        <v>22</v>
      </c>
      <c r="J8" s="208">
        <v>7</v>
      </c>
      <c r="K8" s="208" t="s">
        <v>5737</v>
      </c>
      <c r="L8" s="3" t="s">
        <v>5783</v>
      </c>
      <c r="M8" s="3" t="s">
        <v>5784</v>
      </c>
      <c r="N8">
        <v>150</v>
      </c>
      <c r="R8" s="223" t="s">
        <v>5894</v>
      </c>
      <c r="S8" s="223" t="s">
        <v>5895</v>
      </c>
    </row>
    <row r="9" spans="1:19">
      <c r="F9" s="211" t="s">
        <v>5745</v>
      </c>
      <c r="G9" s="217" t="s">
        <v>5763</v>
      </c>
      <c r="I9" s="208">
        <v>22</v>
      </c>
      <c r="J9" s="208">
        <v>8</v>
      </c>
      <c r="K9" s="208" t="s">
        <v>5737</v>
      </c>
      <c r="L9" s="3" t="s">
        <v>5785</v>
      </c>
      <c r="M9" s="3" t="s">
        <v>5786</v>
      </c>
      <c r="N9">
        <v>150</v>
      </c>
      <c r="O9" s="221" t="s">
        <v>5865</v>
      </c>
      <c r="R9" s="223" t="s">
        <v>5896</v>
      </c>
    </row>
    <row r="10" spans="1:19">
      <c r="F10" s="211" t="s">
        <v>5746</v>
      </c>
      <c r="G10" t="s">
        <v>5883</v>
      </c>
      <c r="I10" s="208">
        <v>22</v>
      </c>
      <c r="J10" s="208">
        <v>9</v>
      </c>
      <c r="K10" s="208" t="s">
        <v>5740</v>
      </c>
      <c r="L10" s="212"/>
      <c r="M10" s="214"/>
      <c r="O10">
        <v>111050</v>
      </c>
      <c r="P10">
        <v>2541</v>
      </c>
    </row>
    <row r="11" spans="1:19">
      <c r="C11" s="222" t="s">
        <v>5885</v>
      </c>
      <c r="D11" s="222" t="s">
        <v>5884</v>
      </c>
      <c r="F11" s="216" t="s">
        <v>5759</v>
      </c>
      <c r="G11">
        <v>7</v>
      </c>
      <c r="I11" s="208">
        <v>22</v>
      </c>
      <c r="J11" s="208">
        <v>10</v>
      </c>
      <c r="K11" s="208" t="s">
        <v>5737</v>
      </c>
      <c r="L11" s="3" t="s">
        <v>5787</v>
      </c>
      <c r="M11" s="3" t="s">
        <v>5788</v>
      </c>
      <c r="N11">
        <v>150</v>
      </c>
      <c r="R11" s="223" t="s">
        <v>5896</v>
      </c>
    </row>
    <row r="12" spans="1:19">
      <c r="C12" s="222" t="s">
        <v>5886</v>
      </c>
      <c r="F12" s="216" t="s">
        <v>5760</v>
      </c>
      <c r="G12" s="219" t="s">
        <v>5773</v>
      </c>
      <c r="I12" s="208">
        <v>22</v>
      </c>
      <c r="J12" s="208">
        <v>11</v>
      </c>
      <c r="K12" s="208" t="s">
        <v>5737</v>
      </c>
      <c r="L12" s="3" t="s">
        <v>5789</v>
      </c>
      <c r="M12" s="3" t="s">
        <v>5790</v>
      </c>
      <c r="N12">
        <v>150</v>
      </c>
      <c r="R12" s="223" t="s">
        <v>5896</v>
      </c>
    </row>
    <row r="13" spans="1:19">
      <c r="C13" s="222" t="s">
        <v>5869</v>
      </c>
      <c r="F13" s="216" t="s">
        <v>5761</v>
      </c>
      <c r="G13">
        <v>16</v>
      </c>
      <c r="I13" s="208">
        <v>22</v>
      </c>
      <c r="J13" s="208">
        <v>12</v>
      </c>
      <c r="K13" s="208" t="s">
        <v>5740</v>
      </c>
      <c r="L13" s="212"/>
      <c r="M13" s="214"/>
      <c r="O13">
        <v>111051</v>
      </c>
      <c r="P13">
        <v>2002</v>
      </c>
    </row>
    <row r="14" spans="1:19">
      <c r="C14" s="222" t="s">
        <v>5870</v>
      </c>
      <c r="D14">
        <v>1</v>
      </c>
      <c r="F14" s="216" t="s">
        <v>5762</v>
      </c>
      <c r="G14" s="219" t="s">
        <v>5774</v>
      </c>
      <c r="I14" s="208">
        <v>22</v>
      </c>
      <c r="J14" s="208">
        <v>13</v>
      </c>
      <c r="K14" s="208" t="s">
        <v>5737</v>
      </c>
      <c r="L14" s="3" t="s">
        <v>5791</v>
      </c>
      <c r="M14" s="3" t="s">
        <v>5792</v>
      </c>
      <c r="N14">
        <v>150</v>
      </c>
      <c r="R14" s="223" t="s">
        <v>5896</v>
      </c>
      <c r="S14" s="223" t="s">
        <v>5895</v>
      </c>
    </row>
    <row r="15" spans="1:19">
      <c r="C15" s="222" t="s">
        <v>5871</v>
      </c>
      <c r="I15" s="208">
        <v>22</v>
      </c>
      <c r="J15" s="208">
        <v>14</v>
      </c>
      <c r="K15" s="208" t="s">
        <v>5737</v>
      </c>
      <c r="L15" s="3" t="s">
        <v>5793</v>
      </c>
      <c r="M15" s="3" t="s">
        <v>5794</v>
      </c>
      <c r="N15">
        <v>150</v>
      </c>
      <c r="R15" s="223" t="s">
        <v>5896</v>
      </c>
      <c r="S15" s="223" t="s">
        <v>5895</v>
      </c>
    </row>
    <row r="16" spans="1:19">
      <c r="C16" s="222" t="s">
        <v>5872</v>
      </c>
      <c r="D16">
        <v>1</v>
      </c>
      <c r="I16" s="208">
        <v>22</v>
      </c>
      <c r="J16" s="208">
        <v>15</v>
      </c>
      <c r="K16" s="208" t="s">
        <v>5740</v>
      </c>
      <c r="L16" s="212"/>
      <c r="M16" s="214"/>
      <c r="O16">
        <v>111052</v>
      </c>
      <c r="P16">
        <v>2002</v>
      </c>
    </row>
    <row r="17" spans="3:18">
      <c r="C17" s="222" t="s">
        <v>5873</v>
      </c>
      <c r="D17">
        <v>1</v>
      </c>
      <c r="I17" s="208">
        <v>22</v>
      </c>
      <c r="J17" s="208">
        <v>16</v>
      </c>
      <c r="K17" s="208" t="s">
        <v>5737</v>
      </c>
      <c r="L17" s="3" t="s">
        <v>5795</v>
      </c>
      <c r="M17" s="3" t="s">
        <v>5796</v>
      </c>
      <c r="N17">
        <v>150</v>
      </c>
      <c r="R17" s="223" t="s">
        <v>5894</v>
      </c>
    </row>
    <row r="18" spans="3:18">
      <c r="C18" s="222" t="s">
        <v>5874</v>
      </c>
      <c r="I18" s="208">
        <v>22</v>
      </c>
      <c r="J18" s="208">
        <v>17</v>
      </c>
      <c r="K18" s="208" t="s">
        <v>5737</v>
      </c>
      <c r="L18" s="3" t="s">
        <v>5797</v>
      </c>
      <c r="M18" s="3" t="s">
        <v>5798</v>
      </c>
      <c r="N18">
        <v>150</v>
      </c>
      <c r="R18" s="223" t="s">
        <v>5897</v>
      </c>
    </row>
    <row r="19" spans="3:18">
      <c r="C19" s="222" t="s">
        <v>5875</v>
      </c>
      <c r="I19" s="208">
        <v>22</v>
      </c>
      <c r="J19" s="208">
        <v>18</v>
      </c>
      <c r="K19" s="208" t="s">
        <v>5737</v>
      </c>
      <c r="L19" s="3" t="s">
        <v>5799</v>
      </c>
      <c r="M19" s="3" t="s">
        <v>5800</v>
      </c>
      <c r="N19">
        <v>150</v>
      </c>
      <c r="R19" s="223" t="s">
        <v>5898</v>
      </c>
    </row>
    <row r="20" spans="3:18">
      <c r="C20" s="222" t="s">
        <v>5876</v>
      </c>
      <c r="I20" s="208">
        <v>22</v>
      </c>
      <c r="J20" s="208">
        <v>19</v>
      </c>
      <c r="K20" s="208" t="s">
        <v>5737</v>
      </c>
      <c r="L20" s="3" t="s">
        <v>5801</v>
      </c>
      <c r="M20" s="3" t="s">
        <v>5802</v>
      </c>
      <c r="N20">
        <v>150</v>
      </c>
      <c r="R20" s="225" t="s">
        <v>5899</v>
      </c>
    </row>
    <row r="21" spans="3:18">
      <c r="C21" s="222" t="s">
        <v>5877</v>
      </c>
      <c r="I21" s="208">
        <v>22</v>
      </c>
      <c r="J21" s="208">
        <v>20</v>
      </c>
      <c r="K21" s="208" t="s">
        <v>5737</v>
      </c>
      <c r="L21" s="3" t="s">
        <v>5803</v>
      </c>
      <c r="M21" s="3" t="s">
        <v>5804</v>
      </c>
      <c r="N21">
        <v>150</v>
      </c>
      <c r="R21" s="225" t="s">
        <v>5899</v>
      </c>
    </row>
    <row r="22" spans="3:18">
      <c r="C22" s="222" t="s">
        <v>5878</v>
      </c>
      <c r="I22" s="208">
        <v>23</v>
      </c>
      <c r="J22" s="208">
        <v>1</v>
      </c>
      <c r="K22" s="208" t="s">
        <v>5737</v>
      </c>
      <c r="L22" s="3" t="s">
        <v>5805</v>
      </c>
      <c r="M22" s="3" t="s">
        <v>5806</v>
      </c>
      <c r="N22">
        <v>160</v>
      </c>
      <c r="R22" s="223" t="s">
        <v>5900</v>
      </c>
    </row>
    <row r="23" spans="3:18">
      <c r="C23" s="222" t="s">
        <v>5879</v>
      </c>
      <c r="I23" s="208">
        <v>23</v>
      </c>
      <c r="J23" s="208">
        <v>2</v>
      </c>
      <c r="K23" s="208" t="s">
        <v>5740</v>
      </c>
      <c r="L23" s="3"/>
      <c r="M23" s="3"/>
      <c r="O23">
        <v>111053</v>
      </c>
      <c r="P23">
        <v>9070</v>
      </c>
    </row>
    <row r="24" spans="3:18">
      <c r="C24" s="222" t="s">
        <v>5880</v>
      </c>
      <c r="I24" s="208">
        <v>23</v>
      </c>
      <c r="J24" s="208">
        <v>3</v>
      </c>
      <c r="K24" s="208" t="s">
        <v>5737</v>
      </c>
      <c r="L24" s="3" t="s">
        <v>5807</v>
      </c>
      <c r="M24" s="3" t="s">
        <v>5808</v>
      </c>
      <c r="N24">
        <v>160</v>
      </c>
      <c r="R24" s="223" t="s">
        <v>5901</v>
      </c>
    </row>
    <row r="25" spans="3:18">
      <c r="C25" s="222" t="s">
        <v>5881</v>
      </c>
      <c r="I25" s="208">
        <v>23</v>
      </c>
      <c r="J25" s="208">
        <v>4</v>
      </c>
      <c r="K25" s="208" t="s">
        <v>5737</v>
      </c>
      <c r="L25" s="3" t="s">
        <v>5809</v>
      </c>
      <c r="M25" s="3" t="s">
        <v>5810</v>
      </c>
      <c r="N25">
        <v>160</v>
      </c>
      <c r="R25" s="223" t="s">
        <v>5902</v>
      </c>
    </row>
    <row r="26" spans="3:18">
      <c r="C26" s="222" t="s">
        <v>5882</v>
      </c>
      <c r="I26" s="208">
        <v>23</v>
      </c>
      <c r="J26" s="208">
        <v>5</v>
      </c>
      <c r="K26" s="208" t="s">
        <v>5740</v>
      </c>
      <c r="L26" s="3"/>
      <c r="M26" s="3"/>
      <c r="O26">
        <v>111054</v>
      </c>
      <c r="P26">
        <v>1671</v>
      </c>
    </row>
    <row r="27" spans="3:18">
      <c r="I27" s="208">
        <v>23</v>
      </c>
      <c r="J27" s="208">
        <v>6</v>
      </c>
      <c r="K27" s="208" t="s">
        <v>5737</v>
      </c>
      <c r="L27" s="3" t="s">
        <v>5811</v>
      </c>
      <c r="M27" s="3" t="s">
        <v>5812</v>
      </c>
      <c r="N27">
        <v>160</v>
      </c>
      <c r="R27" s="223" t="s">
        <v>5902</v>
      </c>
    </row>
    <row r="28" spans="3:18">
      <c r="I28" s="208">
        <v>23</v>
      </c>
      <c r="J28" s="208">
        <v>7</v>
      </c>
      <c r="K28" s="208" t="s">
        <v>5737</v>
      </c>
      <c r="L28" s="3" t="s">
        <v>5813</v>
      </c>
      <c r="M28" s="3" t="s">
        <v>5814</v>
      </c>
      <c r="N28">
        <v>160</v>
      </c>
      <c r="R28" s="223" t="s">
        <v>5902</v>
      </c>
    </row>
    <row r="29" spans="3:18">
      <c r="I29" s="208">
        <v>23</v>
      </c>
      <c r="J29" s="208">
        <v>8</v>
      </c>
      <c r="K29" s="208" t="s">
        <v>5737</v>
      </c>
      <c r="L29" s="3" t="s">
        <v>5815</v>
      </c>
      <c r="M29" s="3" t="s">
        <v>5816</v>
      </c>
      <c r="N29">
        <v>160</v>
      </c>
      <c r="R29" s="223" t="s">
        <v>5902</v>
      </c>
    </row>
    <row r="30" spans="3:18">
      <c r="I30" s="208">
        <v>23</v>
      </c>
      <c r="J30" s="208">
        <v>9</v>
      </c>
      <c r="K30" s="208" t="s">
        <v>5737</v>
      </c>
      <c r="L30" s="3" t="s">
        <v>5817</v>
      </c>
      <c r="M30" s="3" t="s">
        <v>5818</v>
      </c>
      <c r="N30">
        <v>160</v>
      </c>
      <c r="O30" s="221" t="s">
        <v>5866</v>
      </c>
      <c r="R30" s="223" t="s">
        <v>5902</v>
      </c>
    </row>
    <row r="31" spans="3:18">
      <c r="I31" s="208">
        <v>23</v>
      </c>
      <c r="J31" s="208">
        <v>10</v>
      </c>
      <c r="K31" s="208" t="s">
        <v>5740</v>
      </c>
      <c r="L31" s="3"/>
      <c r="M31" s="3"/>
      <c r="O31">
        <v>111055</v>
      </c>
      <c r="P31">
        <v>1364</v>
      </c>
      <c r="Q31">
        <v>1</v>
      </c>
    </row>
    <row r="32" spans="3:18">
      <c r="I32" s="208">
        <v>23</v>
      </c>
      <c r="J32" s="208">
        <v>11</v>
      </c>
      <c r="K32" s="208" t="s">
        <v>5737</v>
      </c>
      <c r="L32" s="3" t="s">
        <v>5819</v>
      </c>
      <c r="M32" s="3" t="s">
        <v>5820</v>
      </c>
      <c r="N32">
        <v>160</v>
      </c>
      <c r="R32" s="223" t="s">
        <v>5902</v>
      </c>
    </row>
    <row r="33" spans="9:19">
      <c r="I33" s="208">
        <v>23</v>
      </c>
      <c r="J33" s="208">
        <v>12</v>
      </c>
      <c r="K33" s="208" t="s">
        <v>5740</v>
      </c>
      <c r="L33" s="3"/>
      <c r="M33" s="3"/>
      <c r="O33">
        <v>111056</v>
      </c>
      <c r="P33">
        <v>2371</v>
      </c>
    </row>
    <row r="34" spans="9:19">
      <c r="I34" s="208">
        <v>23</v>
      </c>
      <c r="J34" s="208">
        <v>13</v>
      </c>
      <c r="K34" s="208" t="s">
        <v>5737</v>
      </c>
      <c r="L34" s="3" t="s">
        <v>5821</v>
      </c>
      <c r="M34" s="3" t="s">
        <v>5822</v>
      </c>
      <c r="N34">
        <v>160</v>
      </c>
      <c r="R34" s="223" t="s">
        <v>5902</v>
      </c>
      <c r="S34" s="223" t="s">
        <v>5895</v>
      </c>
    </row>
    <row r="35" spans="9:19">
      <c r="I35" s="208">
        <v>23</v>
      </c>
      <c r="J35" s="208">
        <v>14</v>
      </c>
      <c r="K35" s="208" t="s">
        <v>5737</v>
      </c>
      <c r="L35" s="3" t="s">
        <v>5823</v>
      </c>
      <c r="M35" s="3" t="s">
        <v>5824</v>
      </c>
      <c r="N35">
        <v>160</v>
      </c>
      <c r="R35" s="223" t="s">
        <v>5902</v>
      </c>
      <c r="S35" s="223" t="s">
        <v>5895</v>
      </c>
    </row>
    <row r="36" spans="9:19">
      <c r="I36" s="208">
        <v>23</v>
      </c>
      <c r="J36" s="208">
        <v>15</v>
      </c>
      <c r="K36" s="208" t="s">
        <v>5740</v>
      </c>
      <c r="L36" s="3"/>
      <c r="M36" s="3"/>
      <c r="O36">
        <v>111057</v>
      </c>
      <c r="P36">
        <v>1115</v>
      </c>
    </row>
    <row r="37" spans="9:19">
      <c r="I37" s="208">
        <v>24</v>
      </c>
      <c r="J37" s="208">
        <v>1</v>
      </c>
      <c r="K37" s="208" t="s">
        <v>5737</v>
      </c>
      <c r="L37" s="3" t="s">
        <v>5825</v>
      </c>
      <c r="M37" s="3" t="s">
        <v>5826</v>
      </c>
      <c r="N37">
        <v>170</v>
      </c>
      <c r="O37" s="222" t="s">
        <v>5867</v>
      </c>
      <c r="R37" s="223" t="s">
        <v>5897</v>
      </c>
    </row>
    <row r="38" spans="9:19">
      <c r="I38" s="208">
        <v>24</v>
      </c>
      <c r="J38" s="208">
        <v>2</v>
      </c>
      <c r="K38" s="208" t="s">
        <v>5737</v>
      </c>
      <c r="L38" s="3" t="s">
        <v>5827</v>
      </c>
      <c r="M38" s="3" t="s">
        <v>5828</v>
      </c>
      <c r="N38">
        <v>170</v>
      </c>
      <c r="R38" s="223" t="s">
        <v>5903</v>
      </c>
    </row>
    <row r="39" spans="9:19">
      <c r="I39" s="208">
        <v>24</v>
      </c>
      <c r="J39" s="208">
        <v>3</v>
      </c>
      <c r="K39" s="208" t="s">
        <v>5737</v>
      </c>
      <c r="L39" s="3" t="s">
        <v>5829</v>
      </c>
      <c r="M39" s="3" t="s">
        <v>5830</v>
      </c>
      <c r="N39">
        <v>170</v>
      </c>
      <c r="R39" s="223" t="s">
        <v>5903</v>
      </c>
    </row>
    <row r="40" spans="9:19">
      <c r="I40" s="208">
        <v>24</v>
      </c>
      <c r="J40" s="208">
        <v>4</v>
      </c>
      <c r="K40" s="208" t="s">
        <v>5740</v>
      </c>
      <c r="L40" s="3"/>
      <c r="M40" s="3"/>
      <c r="O40">
        <v>111058</v>
      </c>
      <c r="P40">
        <v>3940</v>
      </c>
    </row>
    <row r="41" spans="9:19">
      <c r="I41" s="208">
        <v>24</v>
      </c>
      <c r="J41" s="208">
        <v>5</v>
      </c>
      <c r="K41" s="208" t="s">
        <v>5737</v>
      </c>
      <c r="L41" s="212" t="s">
        <v>5831</v>
      </c>
      <c r="M41" s="214" t="s">
        <v>5832</v>
      </c>
      <c r="N41">
        <v>170</v>
      </c>
      <c r="R41" s="223" t="s">
        <v>5903</v>
      </c>
    </row>
    <row r="42" spans="9:19">
      <c r="I42" s="208">
        <v>24</v>
      </c>
      <c r="J42" s="208">
        <v>6</v>
      </c>
      <c r="K42" s="208" t="s">
        <v>5737</v>
      </c>
      <c r="L42" s="3" t="s">
        <v>5833</v>
      </c>
      <c r="M42" s="3" t="s">
        <v>5834</v>
      </c>
      <c r="N42">
        <v>170</v>
      </c>
      <c r="R42" s="223" t="s">
        <v>5903</v>
      </c>
    </row>
    <row r="43" spans="9:19">
      <c r="I43" s="208">
        <v>24</v>
      </c>
      <c r="J43" s="208">
        <v>7</v>
      </c>
      <c r="K43" s="208" t="s">
        <v>5740</v>
      </c>
      <c r="L43" s="210"/>
      <c r="M43" s="3"/>
      <c r="O43">
        <v>111059</v>
      </c>
      <c r="P43">
        <v>3610</v>
      </c>
    </row>
    <row r="44" spans="9:19">
      <c r="I44" s="208">
        <v>24</v>
      </c>
      <c r="J44" s="208">
        <v>8</v>
      </c>
      <c r="K44" s="208" t="s">
        <v>5737</v>
      </c>
      <c r="L44" s="3" t="s">
        <v>5835</v>
      </c>
      <c r="M44" s="3" t="s">
        <v>5836</v>
      </c>
      <c r="N44">
        <v>170</v>
      </c>
      <c r="R44" s="223" t="s">
        <v>5903</v>
      </c>
    </row>
    <row r="45" spans="9:19">
      <c r="I45" s="208">
        <v>24</v>
      </c>
      <c r="J45" s="208">
        <v>9</v>
      </c>
      <c r="K45" s="208" t="s">
        <v>5737</v>
      </c>
      <c r="L45" s="3" t="s">
        <v>5837</v>
      </c>
      <c r="M45" s="3" t="s">
        <v>5838</v>
      </c>
      <c r="N45">
        <v>170</v>
      </c>
      <c r="R45" s="223" t="s">
        <v>5903</v>
      </c>
    </row>
    <row r="46" spans="9:19">
      <c r="I46" s="208">
        <v>24</v>
      </c>
      <c r="J46" s="208">
        <v>10</v>
      </c>
      <c r="K46" s="208" t="s">
        <v>5740</v>
      </c>
      <c r="L46" s="212"/>
      <c r="M46" s="214"/>
      <c r="O46">
        <v>111060</v>
      </c>
      <c r="P46">
        <v>3610</v>
      </c>
    </row>
    <row r="47" spans="9:19">
      <c r="I47" s="208">
        <v>24</v>
      </c>
      <c r="J47" s="208">
        <v>11</v>
      </c>
      <c r="K47" s="208" t="s">
        <v>5737</v>
      </c>
      <c r="L47" s="3" t="s">
        <v>5839</v>
      </c>
      <c r="M47" s="3" t="s">
        <v>5840</v>
      </c>
      <c r="N47">
        <v>170</v>
      </c>
      <c r="R47" s="223" t="s">
        <v>5903</v>
      </c>
      <c r="S47" s="223" t="s">
        <v>5895</v>
      </c>
    </row>
    <row r="48" spans="9:19">
      <c r="I48" s="208">
        <v>24</v>
      </c>
      <c r="J48" s="208">
        <v>12</v>
      </c>
      <c r="K48" s="208" t="s">
        <v>5737</v>
      </c>
      <c r="L48" s="3" t="s">
        <v>5841</v>
      </c>
      <c r="M48" s="3" t="s">
        <v>5842</v>
      </c>
      <c r="N48">
        <v>170</v>
      </c>
      <c r="R48" s="223" t="s">
        <v>5903</v>
      </c>
      <c r="S48" s="223" t="s">
        <v>5895</v>
      </c>
    </row>
    <row r="49" spans="9:19">
      <c r="I49" s="208">
        <v>24</v>
      </c>
      <c r="J49" s="208">
        <v>13</v>
      </c>
      <c r="K49" s="208" t="s">
        <v>5737</v>
      </c>
      <c r="L49" s="3" t="s">
        <v>5843</v>
      </c>
      <c r="M49" s="3" t="s">
        <v>5844</v>
      </c>
      <c r="N49">
        <v>170</v>
      </c>
      <c r="R49" s="223" t="s">
        <v>5904</v>
      </c>
      <c r="S49" s="223" t="s">
        <v>5895</v>
      </c>
    </row>
    <row r="50" spans="9:19">
      <c r="I50" s="208">
        <v>24</v>
      </c>
      <c r="J50" s="208">
        <v>14</v>
      </c>
      <c r="K50" s="208" t="s">
        <v>5740</v>
      </c>
      <c r="L50" s="3"/>
      <c r="M50" s="3"/>
      <c r="O50">
        <v>111061</v>
      </c>
      <c r="P50">
        <v>2222</v>
      </c>
    </row>
    <row r="51" spans="9:19">
      <c r="I51" s="208">
        <v>24</v>
      </c>
      <c r="J51" s="208">
        <v>15</v>
      </c>
      <c r="K51" s="208" t="s">
        <v>5740</v>
      </c>
      <c r="L51" s="3"/>
      <c r="M51" s="3"/>
      <c r="O51">
        <v>111062</v>
      </c>
      <c r="P51">
        <v>3110</v>
      </c>
      <c r="Q51">
        <v>1</v>
      </c>
    </row>
    <row r="52" spans="9:19">
      <c r="I52" s="208">
        <v>25</v>
      </c>
      <c r="J52" s="208">
        <v>1</v>
      </c>
      <c r="K52" s="208" t="s">
        <v>5737</v>
      </c>
      <c r="L52" s="3" t="s">
        <v>5845</v>
      </c>
      <c r="M52" s="3" t="s">
        <v>5846</v>
      </c>
      <c r="N52">
        <v>180</v>
      </c>
      <c r="R52" s="223" t="s">
        <v>5900</v>
      </c>
      <c r="S52" s="223" t="s">
        <v>5895</v>
      </c>
    </row>
    <row r="53" spans="9:19">
      <c r="I53" s="208">
        <v>25</v>
      </c>
      <c r="J53" s="208">
        <v>2</v>
      </c>
      <c r="K53" s="208" t="s">
        <v>5737</v>
      </c>
      <c r="L53" s="3" t="s">
        <v>5847</v>
      </c>
      <c r="M53" s="3" t="s">
        <v>5848</v>
      </c>
      <c r="N53">
        <v>180</v>
      </c>
      <c r="R53" s="223" t="s">
        <v>5900</v>
      </c>
      <c r="S53" s="223" t="s">
        <v>5895</v>
      </c>
    </row>
    <row r="54" spans="9:19">
      <c r="I54" s="208">
        <v>25</v>
      </c>
      <c r="J54" s="208">
        <v>3</v>
      </c>
      <c r="K54" s="208" t="s">
        <v>5740</v>
      </c>
      <c r="L54" s="212"/>
      <c r="M54" s="214"/>
      <c r="O54">
        <v>111063</v>
      </c>
      <c r="P54">
        <v>3780</v>
      </c>
    </row>
    <row r="55" spans="9:19">
      <c r="I55" s="208">
        <v>25</v>
      </c>
      <c r="J55" s="208">
        <v>4</v>
      </c>
      <c r="K55" s="208" t="s">
        <v>5737</v>
      </c>
      <c r="L55" s="3" t="s">
        <v>5849</v>
      </c>
      <c r="M55" s="3" t="s">
        <v>5850</v>
      </c>
      <c r="N55">
        <v>180</v>
      </c>
      <c r="R55" s="223" t="s">
        <v>5905</v>
      </c>
      <c r="S55" s="223" t="s">
        <v>5895</v>
      </c>
    </row>
    <row r="56" spans="9:19">
      <c r="I56" s="208">
        <v>25</v>
      </c>
      <c r="J56" s="208">
        <v>5</v>
      </c>
      <c r="K56" s="208" t="s">
        <v>5740</v>
      </c>
      <c r="L56" s="3"/>
      <c r="M56" s="3"/>
      <c r="O56">
        <v>111064</v>
      </c>
      <c r="P56">
        <v>1691</v>
      </c>
    </row>
    <row r="57" spans="9:19">
      <c r="I57" s="208">
        <v>25</v>
      </c>
      <c r="J57" s="208">
        <v>6</v>
      </c>
      <c r="K57" s="208" t="s">
        <v>5737</v>
      </c>
      <c r="L57" s="3" t="s">
        <v>5851</v>
      </c>
      <c r="M57" s="3" t="s">
        <v>5852</v>
      </c>
      <c r="N57">
        <v>180</v>
      </c>
      <c r="R57" s="223" t="s">
        <v>5897</v>
      </c>
    </row>
    <row r="58" spans="9:19">
      <c r="I58" s="208">
        <v>25</v>
      </c>
      <c r="J58" s="208">
        <v>7</v>
      </c>
      <c r="K58" s="208" t="s">
        <v>5737</v>
      </c>
      <c r="L58" s="3" t="s">
        <v>5853</v>
      </c>
      <c r="M58" s="3" t="s">
        <v>5854</v>
      </c>
      <c r="N58">
        <v>180</v>
      </c>
      <c r="R58" s="223" t="s">
        <v>5897</v>
      </c>
    </row>
    <row r="59" spans="9:19">
      <c r="I59" s="208">
        <v>25</v>
      </c>
      <c r="J59" s="208">
        <v>8</v>
      </c>
      <c r="K59" s="208" t="s">
        <v>5740</v>
      </c>
      <c r="L59" s="3"/>
      <c r="M59" s="3"/>
      <c r="O59">
        <v>111065</v>
      </c>
      <c r="P59">
        <v>4010</v>
      </c>
    </row>
    <row r="60" spans="9:19">
      <c r="I60" s="208">
        <v>25</v>
      </c>
      <c r="J60" s="208">
        <v>9</v>
      </c>
      <c r="K60" s="208" t="s">
        <v>5737</v>
      </c>
      <c r="L60" s="3" t="s">
        <v>5855</v>
      </c>
      <c r="M60" s="3" t="s">
        <v>5856</v>
      </c>
      <c r="N60">
        <v>180</v>
      </c>
      <c r="R60" s="223" t="s">
        <v>5905</v>
      </c>
      <c r="S60" s="223" t="s">
        <v>5895</v>
      </c>
    </row>
    <row r="61" spans="9:19">
      <c r="I61" s="208">
        <v>25</v>
      </c>
      <c r="J61" s="208">
        <v>10</v>
      </c>
      <c r="K61" s="208" t="s">
        <v>5740</v>
      </c>
      <c r="L61" s="3"/>
      <c r="M61" s="3"/>
      <c r="O61">
        <v>111066</v>
      </c>
      <c r="P61">
        <v>4413</v>
      </c>
    </row>
    <row r="62" spans="9:19">
      <c r="I62" s="208">
        <v>25</v>
      </c>
      <c r="J62" s="208">
        <v>11</v>
      </c>
      <c r="K62" s="208" t="s">
        <v>5737</v>
      </c>
      <c r="L62" s="3" t="s">
        <v>5857</v>
      </c>
      <c r="M62" s="3" t="s">
        <v>5858</v>
      </c>
      <c r="N62">
        <v>180</v>
      </c>
      <c r="R62" s="223" t="s">
        <v>5905</v>
      </c>
    </row>
    <row r="63" spans="9:19">
      <c r="I63" s="208">
        <v>25</v>
      </c>
      <c r="J63" s="208">
        <v>12</v>
      </c>
      <c r="K63" s="208" t="s">
        <v>5737</v>
      </c>
      <c r="L63" s="3" t="s">
        <v>5859</v>
      </c>
      <c r="M63" s="3" t="s">
        <v>5860</v>
      </c>
      <c r="N63">
        <v>180</v>
      </c>
      <c r="R63" s="223" t="s">
        <v>5905</v>
      </c>
    </row>
    <row r="64" spans="9:19">
      <c r="I64" s="208">
        <v>25</v>
      </c>
      <c r="J64" s="208">
        <v>13</v>
      </c>
      <c r="K64" s="208" t="s">
        <v>5737</v>
      </c>
      <c r="L64" s="3" t="s">
        <v>5861</v>
      </c>
      <c r="M64" s="3" t="s">
        <v>5862</v>
      </c>
      <c r="N64">
        <v>180</v>
      </c>
      <c r="R64" s="223" t="s">
        <v>5897</v>
      </c>
    </row>
    <row r="65" spans="9:18">
      <c r="I65" s="208">
        <v>25</v>
      </c>
      <c r="J65" s="208">
        <v>14</v>
      </c>
      <c r="K65" s="208" t="s">
        <v>5737</v>
      </c>
      <c r="L65" s="3" t="s">
        <v>5863</v>
      </c>
      <c r="M65" s="3" t="s">
        <v>5864</v>
      </c>
      <c r="N65">
        <v>180</v>
      </c>
      <c r="O65" s="222" t="s">
        <v>5868</v>
      </c>
      <c r="R65" s="223" t="s">
        <v>5897</v>
      </c>
    </row>
    <row r="66" spans="9:18">
      <c r="I66">
        <v>25</v>
      </c>
      <c r="J66">
        <v>15</v>
      </c>
      <c r="K66" t="s">
        <v>5740</v>
      </c>
      <c r="L66" s="3"/>
      <c r="M66" s="3"/>
      <c r="O66">
        <v>111067</v>
      </c>
      <c r="P66">
        <v>1441</v>
      </c>
      <c r="Q66">
        <v>1</v>
      </c>
    </row>
  </sheetData>
  <phoneticPr fontId="7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Pict="0" macro="[0]!python_主线">
                <anchor moveWithCells="1" sizeWithCells="1">
                  <from>
                    <xdr:col>2</xdr:col>
                    <xdr:colOff>200025</xdr:colOff>
                    <xdr:row>8</xdr:row>
                    <xdr:rowOff>28575</xdr:rowOff>
                  </from>
                  <to>
                    <xdr:col>2</xdr:col>
                    <xdr:colOff>1447800</xdr:colOff>
                    <xdr:row>9</xdr:row>
                    <xdr:rowOff>180975</xdr:rowOff>
                  </to>
                </anchor>
              </controlPr>
            </control>
          </mc:Choice>
        </mc:AlternateContent>
        <mc:AlternateContent xmlns:mc="http://schemas.openxmlformats.org/markup-compatibility/2006">
          <mc:Choice Requires="x14">
            <control shapeId="198658" r:id="rId4" name="Button 2">
              <controlPr defaultSize="0" print="0" autoPict="0" macro="[0]!主线_选择文案文件">
                <anchor moveWithCells="1" sizeWithCells="1">
                  <from>
                    <xdr:col>2</xdr:col>
                    <xdr:colOff>2095500</xdr:colOff>
                    <xdr:row>8</xdr:row>
                    <xdr:rowOff>28575</xdr:rowOff>
                  </from>
                  <to>
                    <xdr:col>2</xdr:col>
                    <xdr:colOff>3124200</xdr:colOff>
                    <xdr:row>9</xdr:row>
                    <xdr:rowOff>180975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40DB8-540E-438F-A0E6-9D278CEA7831}">
  <sheetPr codeName="Sheet29"/>
  <dimension ref="A1"/>
  <sheetViews>
    <sheetView workbookViewId="0">
      <selection activeCell="F23" sqref="F23"/>
    </sheetView>
  </sheetViews>
  <sheetFormatPr defaultRowHeight="16.5"/>
  <sheetData/>
  <phoneticPr fontId="7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7B43F-EFCC-4DAA-97D7-A8A51E654DFF}">
  <sheetPr codeName="Sheet28"/>
  <dimension ref="A1:AO338"/>
  <sheetViews>
    <sheetView workbookViewId="0"/>
  </sheetViews>
  <sheetFormatPr defaultRowHeight="16.5"/>
  <sheetData>
    <row r="1" spans="1:4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73"/>
      <c r="AL1" s="173"/>
      <c r="AM1" s="173"/>
      <c r="AN1" s="173"/>
      <c r="AO1" s="173"/>
    </row>
    <row r="2" spans="1:41">
      <c r="A2" s="173"/>
      <c r="B2" s="174"/>
      <c r="C2" s="174"/>
      <c r="D2" s="174"/>
      <c r="E2" s="174"/>
      <c r="F2" s="174"/>
      <c r="G2" s="174"/>
      <c r="H2" s="174"/>
      <c r="I2" s="174"/>
      <c r="J2" s="174"/>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row>
    <row r="3" spans="1:41">
      <c r="A3" s="173"/>
      <c r="B3" s="174"/>
      <c r="C3" s="174"/>
      <c r="D3" s="174"/>
      <c r="E3" s="174"/>
      <c r="F3" s="174"/>
      <c r="G3" s="174"/>
      <c r="H3" s="174"/>
      <c r="I3" s="174"/>
      <c r="J3" s="174"/>
      <c r="K3" s="178"/>
      <c r="L3" s="174"/>
      <c r="M3" s="173"/>
      <c r="N3" s="173"/>
      <c r="O3" s="173"/>
      <c r="P3" s="173"/>
      <c r="Q3" s="173"/>
      <c r="R3" s="173"/>
      <c r="S3" s="173"/>
      <c r="T3" s="173"/>
      <c r="U3" s="173"/>
      <c r="V3" s="173"/>
      <c r="W3" s="173"/>
      <c r="X3" s="173"/>
      <c r="Y3" s="173"/>
      <c r="Z3" s="173"/>
      <c r="AA3" s="173"/>
      <c r="AB3" s="173"/>
      <c r="AC3" s="173"/>
      <c r="AD3" s="173"/>
      <c r="AE3" s="173"/>
      <c r="AF3" s="173"/>
      <c r="AG3" s="173"/>
      <c r="AH3" s="173"/>
      <c r="AI3" s="173"/>
      <c r="AJ3" s="173"/>
      <c r="AK3" s="173"/>
      <c r="AL3" s="173"/>
      <c r="AM3" s="173"/>
      <c r="AN3" s="173"/>
      <c r="AO3" s="173"/>
    </row>
    <row r="4" spans="1:41">
      <c r="A4" s="173"/>
      <c r="B4" s="173"/>
      <c r="C4" s="173"/>
      <c r="D4" s="173"/>
      <c r="E4" s="173"/>
      <c r="F4" s="173"/>
      <c r="G4" s="173"/>
      <c r="H4" s="173"/>
      <c r="I4" s="173"/>
      <c r="J4" s="173"/>
      <c r="K4" s="173"/>
      <c r="L4" s="173"/>
      <c r="M4" s="173"/>
      <c r="N4" s="173"/>
      <c r="O4" s="173"/>
      <c r="P4" s="173"/>
      <c r="Q4" s="173"/>
      <c r="R4" s="173"/>
      <c r="S4" s="173"/>
      <c r="T4" s="173"/>
      <c r="U4" s="173"/>
      <c r="V4" s="173"/>
      <c r="W4" s="173"/>
      <c r="X4" s="173"/>
      <c r="Y4" s="173"/>
      <c r="Z4" s="173"/>
      <c r="AA4" s="173"/>
      <c r="AB4" s="173"/>
      <c r="AC4" s="173"/>
      <c r="AD4" s="173"/>
      <c r="AE4" s="173"/>
      <c r="AF4" s="173"/>
      <c r="AG4" s="173"/>
      <c r="AH4" s="173"/>
      <c r="AI4" s="173"/>
      <c r="AJ4" s="173"/>
      <c r="AK4" s="173"/>
      <c r="AL4" s="173"/>
      <c r="AM4" s="173"/>
      <c r="AN4" s="173"/>
      <c r="AO4" s="173"/>
    </row>
    <row r="5" spans="1:41">
      <c r="A5" s="173"/>
      <c r="B5" s="173"/>
      <c r="C5" s="173"/>
      <c r="D5" s="173"/>
      <c r="E5" s="173"/>
      <c r="F5" s="173"/>
      <c r="G5" s="173"/>
      <c r="H5" s="173"/>
      <c r="I5" s="173"/>
      <c r="J5" s="173"/>
      <c r="K5" s="173"/>
      <c r="L5" s="173"/>
      <c r="M5" s="173"/>
      <c r="N5" s="173"/>
      <c r="O5" s="173"/>
      <c r="P5" s="173"/>
      <c r="Q5" s="173"/>
      <c r="R5" s="173"/>
      <c r="S5" s="173"/>
      <c r="T5" s="173"/>
      <c r="U5" s="173"/>
      <c r="V5" s="173"/>
      <c r="W5" s="173"/>
      <c r="X5" s="173"/>
      <c r="Y5" s="173"/>
      <c r="Z5" s="173"/>
      <c r="AA5" s="173"/>
      <c r="AB5" s="173"/>
      <c r="AC5" s="173"/>
      <c r="AD5" s="173"/>
      <c r="AE5" s="173"/>
      <c r="AF5" s="173"/>
      <c r="AG5" s="173"/>
      <c r="AH5" s="173"/>
      <c r="AI5" s="173"/>
      <c r="AJ5" s="173"/>
      <c r="AK5" s="173"/>
      <c r="AL5" s="173"/>
      <c r="AM5" s="173"/>
      <c r="AN5" s="173"/>
      <c r="AO5" s="173"/>
    </row>
    <row r="6" spans="1:41">
      <c r="A6" s="173"/>
      <c r="B6" s="174"/>
      <c r="C6" s="174"/>
      <c r="D6" s="174"/>
      <c r="E6" s="174"/>
      <c r="F6" s="174"/>
      <c r="G6" s="173"/>
      <c r="H6" s="173"/>
      <c r="I6" s="173"/>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73"/>
      <c r="AK6" s="173"/>
      <c r="AL6" s="173"/>
      <c r="AM6" s="173"/>
      <c r="AN6" s="173"/>
      <c r="AO6" s="173"/>
    </row>
    <row r="7" spans="1:41">
      <c r="A7" s="173"/>
      <c r="B7" s="174"/>
      <c r="C7" s="174"/>
      <c r="D7" s="174"/>
      <c r="E7" s="174"/>
      <c r="F7" s="174"/>
      <c r="G7" s="174"/>
      <c r="H7" s="173"/>
      <c r="I7" s="173"/>
      <c r="J7" s="173"/>
      <c r="K7" s="173"/>
      <c r="L7" s="173"/>
      <c r="M7" s="173"/>
      <c r="N7" s="173"/>
      <c r="O7" s="173"/>
      <c r="P7" s="173"/>
      <c r="Q7" s="173"/>
      <c r="R7" s="173"/>
      <c r="S7" s="173"/>
      <c r="T7" s="173"/>
      <c r="U7" s="173"/>
      <c r="V7" s="173"/>
      <c r="W7" s="173"/>
      <c r="X7" s="173"/>
      <c r="Y7" s="173"/>
      <c r="Z7" s="173"/>
      <c r="AA7" s="173"/>
      <c r="AB7" s="173"/>
      <c r="AC7" s="173"/>
      <c r="AD7" s="173"/>
      <c r="AE7" s="173"/>
      <c r="AF7" s="173"/>
      <c r="AG7" s="173"/>
      <c r="AH7" s="173"/>
      <c r="AI7" s="173"/>
      <c r="AJ7" s="173"/>
      <c r="AK7" s="173"/>
      <c r="AL7" s="173"/>
      <c r="AM7" s="173"/>
      <c r="AN7" s="173"/>
      <c r="AO7" s="173"/>
    </row>
    <row r="8" spans="1:41">
      <c r="A8" s="173"/>
      <c r="B8" s="173"/>
      <c r="C8" s="173"/>
      <c r="D8" s="173"/>
      <c r="E8" s="173"/>
      <c r="F8" s="173"/>
      <c r="G8" s="173"/>
      <c r="H8" s="173"/>
      <c r="I8" s="173"/>
      <c r="J8" s="173"/>
      <c r="K8" s="173"/>
      <c r="L8" s="173"/>
      <c r="M8" s="173"/>
      <c r="N8" s="173"/>
      <c r="O8" s="173"/>
      <c r="P8" s="173"/>
      <c r="Q8" s="173"/>
      <c r="R8" s="173"/>
      <c r="S8" s="173"/>
      <c r="T8" s="173"/>
      <c r="U8" s="173"/>
      <c r="V8" s="173"/>
      <c r="W8" s="173"/>
      <c r="X8" s="173"/>
      <c r="Y8" s="173"/>
      <c r="Z8" s="173"/>
      <c r="AA8" s="173"/>
      <c r="AB8" s="173"/>
      <c r="AC8" s="173"/>
      <c r="AD8" s="173"/>
      <c r="AE8" s="173"/>
      <c r="AF8" s="173"/>
      <c r="AG8" s="173"/>
      <c r="AH8" s="173"/>
      <c r="AI8" s="173"/>
      <c r="AJ8" s="173"/>
      <c r="AK8" s="173"/>
      <c r="AL8" s="173"/>
      <c r="AM8" s="173"/>
      <c r="AN8" s="173"/>
      <c r="AO8" s="173"/>
    </row>
    <row r="9" spans="1:41">
      <c r="A9" s="173"/>
      <c r="B9" s="173"/>
      <c r="C9" s="173"/>
      <c r="D9" s="173"/>
      <c r="E9" s="173"/>
      <c r="F9" s="173"/>
      <c r="G9" s="173"/>
      <c r="H9" s="173"/>
      <c r="I9" s="173"/>
      <c r="J9" s="173"/>
      <c r="K9" s="173"/>
      <c r="L9" s="173"/>
      <c r="M9" s="173"/>
      <c r="N9" s="173"/>
      <c r="O9" s="173"/>
      <c r="P9" s="173"/>
      <c r="Q9" s="173"/>
      <c r="R9" s="173"/>
      <c r="S9" s="173"/>
      <c r="T9" s="173"/>
      <c r="U9" s="173"/>
      <c r="V9" s="173"/>
      <c r="W9" s="173"/>
      <c r="X9" s="173"/>
      <c r="Y9" s="173"/>
      <c r="Z9" s="173"/>
      <c r="AA9" s="173"/>
      <c r="AB9" s="173"/>
      <c r="AC9" s="173"/>
      <c r="AD9" s="173"/>
      <c r="AE9" s="173"/>
      <c r="AF9" s="173"/>
      <c r="AG9" s="173"/>
      <c r="AH9" s="173"/>
      <c r="AI9" s="173"/>
      <c r="AJ9" s="173"/>
      <c r="AK9" s="173"/>
      <c r="AL9" s="173"/>
      <c r="AM9" s="173"/>
      <c r="AN9" s="173"/>
      <c r="AO9" s="173"/>
    </row>
    <row r="10" spans="1:41">
      <c r="A10" s="173"/>
      <c r="B10" s="174"/>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row>
    <row r="11" spans="1:41">
      <c r="A11" s="173"/>
      <c r="B11" s="174"/>
      <c r="C11" s="174"/>
      <c r="D11" s="173"/>
      <c r="E11" s="173"/>
      <c r="F11" s="173"/>
      <c r="G11" s="173"/>
      <c r="H11" s="173"/>
      <c r="I11" s="173"/>
      <c r="J11" s="173"/>
      <c r="K11" s="173"/>
      <c r="L11" s="173"/>
      <c r="M11" s="174"/>
      <c r="N11" s="173"/>
      <c r="O11" s="173"/>
      <c r="P11" s="173"/>
      <c r="Q11" s="173"/>
      <c r="R11" s="173"/>
      <c r="S11" s="173"/>
      <c r="T11" s="173"/>
      <c r="U11" s="173"/>
      <c r="V11" s="173"/>
      <c r="W11" s="173"/>
      <c r="X11" s="173"/>
      <c r="Y11" s="173"/>
      <c r="Z11" s="173"/>
      <c r="AA11" s="173"/>
      <c r="AB11" s="173"/>
      <c r="AC11" s="173"/>
      <c r="AD11" s="173"/>
      <c r="AE11" s="173"/>
      <c r="AF11" s="173"/>
      <c r="AG11" s="173"/>
      <c r="AH11" s="173"/>
      <c r="AI11" s="173"/>
      <c r="AJ11" s="173"/>
      <c r="AK11" s="173"/>
      <c r="AL11" s="173"/>
      <c r="AM11" s="173"/>
      <c r="AN11" s="173"/>
      <c r="AO11" s="173"/>
    </row>
    <row r="12" spans="1:41">
      <c r="A12" s="173"/>
      <c r="B12" s="173"/>
      <c r="C12" s="173"/>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3"/>
      <c r="AB12" s="173"/>
      <c r="AC12" s="173"/>
      <c r="AD12" s="173"/>
      <c r="AE12" s="173"/>
      <c r="AF12" s="173"/>
      <c r="AG12" s="173"/>
      <c r="AH12" s="173"/>
      <c r="AI12" s="173"/>
      <c r="AJ12" s="173"/>
      <c r="AK12" s="173"/>
      <c r="AL12" s="173"/>
      <c r="AM12" s="173"/>
      <c r="AN12" s="173"/>
      <c r="AO12" s="173"/>
    </row>
    <row r="13" spans="1:41">
      <c r="A13" s="173"/>
      <c r="B13" s="173"/>
      <c r="C13" s="17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row>
    <row r="14" spans="1:41">
      <c r="A14" s="173"/>
      <c r="B14" s="173"/>
      <c r="C14" s="17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3"/>
      <c r="AB14" s="173"/>
      <c r="AC14" s="173"/>
      <c r="AD14" s="173"/>
      <c r="AE14" s="173"/>
      <c r="AF14" s="173"/>
      <c r="AG14" s="173"/>
      <c r="AH14" s="173"/>
      <c r="AI14" s="173"/>
      <c r="AJ14" s="173"/>
      <c r="AK14" s="173"/>
      <c r="AL14" s="173"/>
      <c r="AM14" s="173"/>
      <c r="AN14" s="173"/>
      <c r="AO14" s="173"/>
    </row>
    <row r="15" spans="1:41">
      <c r="A15" s="173"/>
      <c r="B15" s="174"/>
      <c r="C15" s="173"/>
      <c r="D15" s="173"/>
      <c r="E15" s="173"/>
      <c r="F15" s="173"/>
      <c r="G15" s="173"/>
      <c r="H15" s="173"/>
      <c r="I15" s="173"/>
      <c r="J15" s="174"/>
      <c r="K15" s="173"/>
      <c r="L15" s="173"/>
      <c r="M15" s="173"/>
      <c r="N15" s="173"/>
      <c r="O15" s="173"/>
      <c r="P15" s="173"/>
      <c r="Q15" s="173"/>
      <c r="R15" s="173"/>
      <c r="S15" s="173"/>
      <c r="T15" s="173"/>
      <c r="U15" s="173"/>
      <c r="V15" s="173"/>
      <c r="W15" s="173"/>
      <c r="X15" s="173"/>
      <c r="Y15" s="173"/>
      <c r="Z15" s="173"/>
      <c r="AA15" s="173"/>
      <c r="AB15" s="173"/>
      <c r="AC15" s="173"/>
      <c r="AD15" s="173"/>
      <c r="AE15" s="173"/>
      <c r="AF15" s="173"/>
      <c r="AG15" s="173"/>
      <c r="AH15" s="173"/>
      <c r="AI15" s="173"/>
      <c r="AJ15" s="173"/>
      <c r="AK15" s="173"/>
      <c r="AL15" s="173"/>
      <c r="AM15" s="173"/>
      <c r="AN15" s="173"/>
      <c r="AO15" s="173"/>
    </row>
    <row r="16" spans="1:41">
      <c r="A16" s="173"/>
      <c r="B16" s="173"/>
      <c r="C16" s="17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3"/>
      <c r="AB16" s="173"/>
      <c r="AC16" s="173"/>
      <c r="AD16" s="173"/>
      <c r="AE16" s="173"/>
      <c r="AF16" s="173"/>
      <c r="AG16" s="173"/>
      <c r="AH16" s="173"/>
      <c r="AI16" s="173"/>
      <c r="AJ16" s="173"/>
      <c r="AK16" s="173"/>
      <c r="AL16" s="173"/>
      <c r="AM16" s="173"/>
      <c r="AN16" s="173"/>
      <c r="AO16" s="173"/>
    </row>
    <row r="17" spans="1:41">
      <c r="A17" s="173"/>
      <c r="B17" s="173"/>
      <c r="C17" s="173"/>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3"/>
      <c r="AB17" s="173"/>
      <c r="AC17" s="173"/>
      <c r="AD17" s="173"/>
      <c r="AE17" s="173"/>
      <c r="AF17" s="173"/>
      <c r="AG17" s="173"/>
      <c r="AH17" s="173"/>
      <c r="AI17" s="173"/>
      <c r="AJ17" s="173"/>
      <c r="AK17" s="173"/>
      <c r="AL17" s="173"/>
      <c r="AM17" s="173"/>
      <c r="AN17" s="173"/>
      <c r="AO17" s="173"/>
    </row>
    <row r="18" spans="1:41">
      <c r="A18" s="173"/>
      <c r="B18" s="173"/>
      <c r="C18" s="174"/>
      <c r="D18" s="174"/>
      <c r="E18" s="173"/>
      <c r="F18" s="173"/>
      <c r="G18" s="173"/>
      <c r="H18" s="173"/>
      <c r="I18" s="174"/>
      <c r="J18" s="173"/>
      <c r="K18" s="173"/>
      <c r="L18" s="173"/>
      <c r="M18" s="173"/>
      <c r="N18" s="173"/>
      <c r="O18" s="173"/>
      <c r="P18" s="173"/>
      <c r="Q18" s="173"/>
      <c r="R18" s="173"/>
      <c r="S18" s="173"/>
      <c r="T18" s="173"/>
      <c r="U18" s="173"/>
      <c r="V18" s="173"/>
      <c r="W18" s="173"/>
      <c r="X18" s="173"/>
      <c r="Y18" s="173"/>
      <c r="Z18" s="173"/>
      <c r="AA18" s="173"/>
      <c r="AB18" s="173"/>
      <c r="AC18" s="173"/>
      <c r="AD18" s="173"/>
      <c r="AE18" s="173"/>
      <c r="AF18" s="173"/>
      <c r="AG18" s="173"/>
      <c r="AH18" s="173"/>
      <c r="AI18" s="173"/>
      <c r="AJ18" s="173"/>
      <c r="AK18" s="173"/>
      <c r="AL18" s="173"/>
      <c r="AM18" s="173"/>
      <c r="AN18" s="173"/>
      <c r="AO18" s="173"/>
    </row>
    <row r="19" spans="1:41">
      <c r="A19" s="173"/>
      <c r="B19" s="174"/>
      <c r="C19" s="174"/>
      <c r="D19" s="174"/>
      <c r="E19" s="174"/>
      <c r="F19" s="174"/>
      <c r="G19" s="174"/>
      <c r="H19" s="174"/>
      <c r="I19" s="174"/>
      <c r="J19" s="173"/>
      <c r="K19" s="173"/>
      <c r="L19" s="173"/>
      <c r="M19" s="173"/>
      <c r="N19" s="173"/>
      <c r="O19" s="173"/>
      <c r="P19" s="173"/>
      <c r="Q19" s="173"/>
      <c r="R19" s="173"/>
      <c r="S19" s="173"/>
      <c r="T19" s="173"/>
      <c r="U19" s="173"/>
      <c r="V19" s="173"/>
      <c r="W19" s="173"/>
      <c r="X19" s="173"/>
      <c r="Y19" s="173"/>
      <c r="Z19" s="173"/>
      <c r="AA19" s="173"/>
      <c r="AB19" s="173"/>
      <c r="AC19" s="173"/>
      <c r="AD19" s="173"/>
      <c r="AE19" s="173"/>
      <c r="AF19" s="173"/>
      <c r="AG19" s="173"/>
      <c r="AH19" s="173"/>
      <c r="AI19" s="173"/>
      <c r="AJ19" s="173"/>
      <c r="AK19" s="173"/>
      <c r="AL19" s="173"/>
      <c r="AM19" s="173"/>
      <c r="AN19" s="173"/>
      <c r="AO19" s="173"/>
    </row>
    <row r="20" spans="1:41">
      <c r="A20" s="173"/>
      <c r="B20" s="173"/>
      <c r="C20" s="173"/>
      <c r="D20" s="173"/>
      <c r="E20" s="173"/>
      <c r="F20" s="173"/>
      <c r="G20" s="173"/>
      <c r="H20" s="173"/>
      <c r="I20" s="173"/>
      <c r="J20" s="173"/>
      <c r="K20" s="173"/>
      <c r="L20" s="173"/>
      <c r="M20" s="173"/>
      <c r="N20" s="173"/>
      <c r="O20" s="173"/>
      <c r="P20" s="173"/>
      <c r="Q20" s="173"/>
      <c r="R20" s="173"/>
      <c r="S20" s="173"/>
      <c r="T20" s="173"/>
      <c r="U20" s="173"/>
      <c r="V20" s="173"/>
      <c r="W20" s="173"/>
      <c r="X20" s="173"/>
      <c r="Y20" s="173"/>
      <c r="Z20" s="173"/>
      <c r="AA20" s="173"/>
      <c r="AB20" s="173"/>
      <c r="AC20" s="173"/>
      <c r="AD20" s="173"/>
      <c r="AE20" s="173"/>
      <c r="AF20" s="173"/>
      <c r="AG20" s="173"/>
      <c r="AH20" s="173"/>
      <c r="AI20" s="173"/>
      <c r="AJ20" s="173"/>
      <c r="AK20" s="173"/>
      <c r="AL20" s="173"/>
      <c r="AM20" s="173"/>
      <c r="AN20" s="173"/>
      <c r="AO20" s="173"/>
    </row>
    <row r="21" spans="1:41">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3"/>
      <c r="AJ21" s="173"/>
      <c r="AK21" s="173"/>
      <c r="AL21" s="173"/>
      <c r="AM21" s="173"/>
      <c r="AN21" s="173"/>
      <c r="AO21" s="173"/>
    </row>
    <row r="22" spans="1:41">
      <c r="A22" s="173"/>
      <c r="B22" s="174"/>
      <c r="C22" s="174"/>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73"/>
      <c r="AB22" s="173"/>
      <c r="AC22" s="173"/>
      <c r="AD22" s="173"/>
      <c r="AE22" s="173"/>
      <c r="AF22" s="173"/>
      <c r="AG22" s="173"/>
      <c r="AH22" s="173"/>
      <c r="AI22" s="173"/>
      <c r="AJ22" s="173"/>
      <c r="AK22" s="173"/>
      <c r="AL22" s="173"/>
      <c r="AM22" s="173"/>
      <c r="AN22" s="173"/>
      <c r="AO22" s="173"/>
    </row>
    <row r="23" spans="1:41">
      <c r="A23" s="173"/>
      <c r="B23" s="174"/>
      <c r="C23" s="174"/>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73"/>
      <c r="AB23" s="173"/>
      <c r="AC23" s="173"/>
      <c r="AD23" s="173"/>
      <c r="AE23" s="173"/>
      <c r="AF23" s="173"/>
      <c r="AG23" s="173"/>
      <c r="AH23" s="173"/>
      <c r="AI23" s="173"/>
      <c r="AJ23" s="173"/>
      <c r="AK23" s="173"/>
      <c r="AL23" s="173"/>
      <c r="AM23" s="173"/>
      <c r="AN23" s="173"/>
      <c r="AO23" s="173"/>
    </row>
    <row r="24" spans="1:41">
      <c r="A24" s="173"/>
      <c r="B24" s="173"/>
      <c r="C24" s="17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73"/>
      <c r="AB24" s="173"/>
      <c r="AC24" s="173"/>
      <c r="AD24" s="173"/>
      <c r="AE24" s="173"/>
      <c r="AF24" s="173"/>
      <c r="AG24" s="173"/>
      <c r="AH24" s="173"/>
      <c r="AI24" s="173"/>
      <c r="AJ24" s="173"/>
      <c r="AK24" s="173"/>
      <c r="AL24" s="173"/>
      <c r="AM24" s="173"/>
      <c r="AN24" s="173"/>
      <c r="AO24" s="173"/>
    </row>
    <row r="25" spans="1:41">
      <c r="A25" s="173"/>
      <c r="B25" s="173"/>
      <c r="C25" s="173"/>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73"/>
      <c r="AB25" s="173"/>
      <c r="AC25" s="173"/>
      <c r="AD25" s="173"/>
      <c r="AE25" s="173"/>
      <c r="AF25" s="173"/>
      <c r="AG25" s="173"/>
      <c r="AH25" s="173"/>
      <c r="AI25" s="173"/>
      <c r="AJ25" s="173"/>
      <c r="AK25" s="173"/>
      <c r="AL25" s="173"/>
      <c r="AM25" s="173"/>
      <c r="AN25" s="173"/>
      <c r="AO25" s="173"/>
    </row>
    <row r="26" spans="1:41">
      <c r="A26" s="173"/>
      <c r="B26" s="177"/>
      <c r="C26" s="177"/>
      <c r="D26" s="177"/>
      <c r="E26" s="177"/>
      <c r="F26" s="177"/>
      <c r="G26" s="177"/>
      <c r="H26" s="173"/>
      <c r="I26" s="173"/>
      <c r="J26" s="173"/>
      <c r="K26" s="173"/>
      <c r="L26" s="173"/>
      <c r="M26" s="173"/>
      <c r="N26" s="173"/>
      <c r="O26" s="173"/>
      <c r="P26" s="173"/>
      <c r="Q26" s="173"/>
      <c r="R26" s="173"/>
      <c r="S26" s="173"/>
      <c r="T26" s="173"/>
      <c r="U26" s="173"/>
      <c r="V26" s="173"/>
      <c r="W26" s="173"/>
      <c r="X26" s="173"/>
      <c r="Y26" s="173"/>
      <c r="Z26" s="173"/>
      <c r="AA26" s="173"/>
      <c r="AB26" s="173"/>
      <c r="AC26" s="173"/>
      <c r="AD26" s="173"/>
      <c r="AE26" s="173"/>
      <c r="AF26" s="173"/>
      <c r="AG26" s="173"/>
      <c r="AH26" s="173"/>
      <c r="AI26" s="173"/>
      <c r="AJ26" s="173"/>
      <c r="AK26" s="173"/>
      <c r="AL26" s="173"/>
      <c r="AM26" s="173"/>
      <c r="AN26" s="173"/>
      <c r="AO26" s="173"/>
    </row>
    <row r="27" spans="1:41">
      <c r="A27" s="173"/>
      <c r="B27" s="177"/>
      <c r="C27" s="177"/>
      <c r="D27" s="177"/>
      <c r="E27" s="177"/>
      <c r="F27" s="177"/>
      <c r="G27" s="177"/>
      <c r="H27" s="173"/>
      <c r="I27" s="173"/>
      <c r="J27" s="173"/>
      <c r="K27" s="173"/>
      <c r="L27" s="173"/>
      <c r="M27" s="173"/>
      <c r="N27" s="173"/>
      <c r="O27" s="173"/>
      <c r="P27" s="173"/>
      <c r="Q27" s="173"/>
      <c r="R27" s="173"/>
      <c r="S27" s="173"/>
      <c r="T27" s="173"/>
      <c r="U27" s="173"/>
      <c r="V27" s="173"/>
      <c r="W27" s="173"/>
      <c r="X27" s="173"/>
      <c r="Y27" s="173"/>
      <c r="Z27" s="173"/>
      <c r="AA27" s="173"/>
      <c r="AB27" s="173"/>
      <c r="AC27" s="173"/>
      <c r="AD27" s="173"/>
      <c r="AE27" s="173"/>
      <c r="AF27" s="173"/>
      <c r="AG27" s="173"/>
      <c r="AH27" s="173"/>
      <c r="AI27" s="173"/>
      <c r="AJ27" s="173"/>
      <c r="AK27" s="173"/>
      <c r="AL27" s="173"/>
      <c r="AM27" s="173"/>
      <c r="AN27" s="173"/>
      <c r="AO27" s="173"/>
    </row>
    <row r="28" spans="1:41">
      <c r="A28" s="173"/>
      <c r="B28" s="173"/>
      <c r="C28" s="173"/>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73"/>
      <c r="AB28" s="173"/>
      <c r="AC28" s="173"/>
      <c r="AD28" s="173"/>
      <c r="AE28" s="173"/>
      <c r="AF28" s="173"/>
      <c r="AG28" s="173"/>
      <c r="AH28" s="173"/>
      <c r="AI28" s="173"/>
      <c r="AJ28" s="173"/>
      <c r="AK28" s="173"/>
      <c r="AL28" s="173"/>
      <c r="AM28" s="173"/>
      <c r="AN28" s="173"/>
      <c r="AO28" s="173"/>
    </row>
    <row r="29" spans="1:41">
      <c r="A29" s="173"/>
      <c r="B29" s="173"/>
      <c r="C29" s="173"/>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73"/>
      <c r="AB29" s="173"/>
      <c r="AC29" s="173"/>
      <c r="AD29" s="173"/>
      <c r="AE29" s="173"/>
      <c r="AF29" s="173"/>
      <c r="AG29" s="173"/>
      <c r="AH29" s="173"/>
      <c r="AI29" s="173"/>
      <c r="AJ29" s="173"/>
      <c r="AK29" s="173"/>
      <c r="AL29" s="173"/>
      <c r="AM29" s="173"/>
      <c r="AN29" s="173"/>
      <c r="AO29" s="173"/>
    </row>
    <row r="30" spans="1:41">
      <c r="A30" s="173"/>
      <c r="B30" s="177"/>
      <c r="C30" s="177"/>
      <c r="D30" s="177"/>
      <c r="E30" s="177"/>
      <c r="F30" s="177"/>
      <c r="G30" s="173"/>
      <c r="H30" s="173"/>
      <c r="I30" s="173"/>
      <c r="J30" s="173"/>
      <c r="K30" s="173"/>
      <c r="L30" s="173"/>
      <c r="M30" s="173"/>
      <c r="N30" s="173"/>
      <c r="O30" s="173"/>
      <c r="P30" s="173"/>
      <c r="Q30" s="173"/>
      <c r="R30" s="173"/>
      <c r="S30" s="173"/>
      <c r="T30" s="173"/>
      <c r="U30" s="173"/>
      <c r="V30" s="173"/>
      <c r="W30" s="173"/>
      <c r="X30" s="173"/>
      <c r="Y30" s="173"/>
      <c r="Z30" s="173"/>
      <c r="AA30" s="173"/>
      <c r="AB30" s="173"/>
      <c r="AC30" s="173"/>
      <c r="AD30" s="173"/>
      <c r="AE30" s="173"/>
      <c r="AF30" s="173"/>
      <c r="AG30" s="173"/>
      <c r="AH30" s="173"/>
      <c r="AI30" s="173"/>
      <c r="AJ30" s="173"/>
      <c r="AK30" s="173"/>
      <c r="AL30" s="173"/>
      <c r="AM30" s="173"/>
      <c r="AN30" s="173"/>
      <c r="AO30" s="173"/>
    </row>
    <row r="31" spans="1:41">
      <c r="A31" s="173"/>
      <c r="B31" s="177"/>
      <c r="C31" s="177"/>
      <c r="D31" s="177"/>
      <c r="E31" s="177"/>
      <c r="F31" s="177"/>
      <c r="G31" s="173"/>
      <c r="H31" s="173"/>
      <c r="I31" s="173"/>
      <c r="J31" s="173"/>
      <c r="K31" s="173"/>
      <c r="L31" s="173"/>
      <c r="M31" s="173"/>
      <c r="N31" s="173"/>
      <c r="O31" s="173"/>
      <c r="P31" s="173"/>
      <c r="Q31" s="173"/>
      <c r="R31" s="173"/>
      <c r="S31" s="173"/>
      <c r="T31" s="173"/>
      <c r="U31" s="173"/>
      <c r="V31" s="173"/>
      <c r="W31" s="173"/>
      <c r="X31" s="173"/>
      <c r="Y31" s="173"/>
      <c r="Z31" s="173"/>
      <c r="AA31" s="173"/>
      <c r="AB31" s="173"/>
      <c r="AC31" s="173"/>
      <c r="AD31" s="173"/>
      <c r="AE31" s="173"/>
      <c r="AF31" s="173"/>
      <c r="AG31" s="173"/>
      <c r="AH31" s="173"/>
      <c r="AI31" s="173"/>
      <c r="AJ31" s="173"/>
      <c r="AK31" s="173"/>
      <c r="AL31" s="173"/>
      <c r="AM31" s="173"/>
      <c r="AN31" s="173"/>
      <c r="AO31" s="173"/>
    </row>
    <row r="32" spans="1:41">
      <c r="A32" s="173"/>
      <c r="B32" s="173"/>
      <c r="C32" s="173"/>
      <c r="D32" s="173"/>
      <c r="E32" s="173"/>
      <c r="F32" s="173"/>
      <c r="G32" s="173"/>
      <c r="H32" s="173"/>
      <c r="I32" s="173"/>
      <c r="J32" s="173"/>
      <c r="K32" s="173"/>
      <c r="L32" s="173"/>
      <c r="M32" s="173"/>
      <c r="N32" s="173"/>
      <c r="O32" s="173"/>
      <c r="P32" s="173"/>
      <c r="Q32" s="173"/>
      <c r="R32" s="173"/>
      <c r="S32" s="173"/>
      <c r="T32" s="173"/>
      <c r="U32" s="173"/>
      <c r="V32" s="173"/>
      <c r="W32" s="173"/>
      <c r="X32" s="173"/>
      <c r="Y32" s="173"/>
      <c r="Z32" s="173"/>
      <c r="AA32" s="173"/>
      <c r="AB32" s="173"/>
      <c r="AC32" s="173"/>
      <c r="AD32" s="173"/>
      <c r="AE32" s="173"/>
      <c r="AF32" s="173"/>
      <c r="AG32" s="173"/>
      <c r="AH32" s="173"/>
      <c r="AI32" s="173"/>
      <c r="AJ32" s="173"/>
      <c r="AK32" s="173"/>
      <c r="AL32" s="173"/>
      <c r="AM32" s="173"/>
      <c r="AN32" s="173"/>
      <c r="AO32" s="173"/>
    </row>
    <row r="33" spans="1:41">
      <c r="A33" s="173"/>
      <c r="B33" s="173"/>
      <c r="C33" s="17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173"/>
      <c r="AB33" s="173"/>
      <c r="AC33" s="173"/>
      <c r="AD33" s="173"/>
      <c r="AE33" s="173"/>
      <c r="AF33" s="173"/>
      <c r="AG33" s="173"/>
      <c r="AH33" s="173"/>
      <c r="AI33" s="173"/>
      <c r="AJ33" s="173"/>
      <c r="AK33" s="173"/>
      <c r="AL33" s="173"/>
      <c r="AM33" s="173"/>
      <c r="AN33" s="173"/>
      <c r="AO33" s="173"/>
    </row>
    <row r="34" spans="1:41">
      <c r="A34" s="173"/>
      <c r="B34" s="177"/>
      <c r="C34" s="177"/>
      <c r="D34" s="177"/>
      <c r="E34" s="177"/>
      <c r="F34" s="173"/>
      <c r="G34" s="177"/>
      <c r="H34" s="177"/>
      <c r="I34" s="177"/>
      <c r="J34" s="177"/>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row>
    <row r="35" spans="1:41">
      <c r="A35" s="173"/>
      <c r="B35" s="177"/>
      <c r="C35" s="177"/>
      <c r="D35" s="177"/>
      <c r="E35" s="177"/>
      <c r="F35" s="177"/>
      <c r="G35" s="177"/>
      <c r="H35" s="177"/>
      <c r="I35" s="177"/>
      <c r="J35" s="177"/>
      <c r="K35" s="177"/>
      <c r="L35" s="177"/>
      <c r="M35" s="177"/>
      <c r="N35" s="173"/>
      <c r="O35" s="173"/>
      <c r="P35" s="173"/>
      <c r="Q35" s="173"/>
      <c r="R35" s="173"/>
      <c r="S35" s="173"/>
      <c r="T35" s="173"/>
      <c r="U35" s="173"/>
      <c r="V35" s="173"/>
      <c r="W35" s="173"/>
      <c r="X35" s="173"/>
      <c r="Y35" s="173"/>
      <c r="Z35" s="173"/>
      <c r="AA35" s="173"/>
      <c r="AB35" s="173"/>
      <c r="AC35" s="173"/>
      <c r="AD35" s="173"/>
      <c r="AE35" s="173"/>
      <c r="AF35" s="173"/>
      <c r="AG35" s="173"/>
      <c r="AH35" s="173"/>
      <c r="AI35" s="173"/>
      <c r="AJ35" s="173"/>
      <c r="AK35" s="173"/>
      <c r="AL35" s="173"/>
      <c r="AM35" s="173"/>
      <c r="AN35" s="173"/>
      <c r="AO35" s="173"/>
    </row>
    <row r="36" spans="1:41">
      <c r="A36" s="173"/>
      <c r="B36" s="173"/>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173"/>
      <c r="AB36" s="173"/>
      <c r="AC36" s="173"/>
      <c r="AD36" s="173"/>
      <c r="AE36" s="173"/>
      <c r="AF36" s="173"/>
      <c r="AG36" s="173"/>
      <c r="AH36" s="173"/>
      <c r="AI36" s="173"/>
      <c r="AJ36" s="173"/>
      <c r="AK36" s="173"/>
      <c r="AL36" s="173"/>
      <c r="AM36" s="173"/>
      <c r="AN36" s="173"/>
      <c r="AO36" s="173"/>
    </row>
    <row r="37" spans="1:41">
      <c r="A37" s="173"/>
      <c r="B37" s="173"/>
      <c r="C37" s="17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173"/>
      <c r="AB37" s="173"/>
      <c r="AC37" s="173"/>
      <c r="AD37" s="173"/>
      <c r="AE37" s="173"/>
      <c r="AF37" s="173"/>
      <c r="AG37" s="173"/>
      <c r="AH37" s="173"/>
      <c r="AI37" s="173"/>
      <c r="AJ37" s="173"/>
      <c r="AK37" s="173"/>
      <c r="AL37" s="173"/>
      <c r="AM37" s="173"/>
      <c r="AN37" s="173"/>
      <c r="AO37" s="173"/>
    </row>
    <row r="38" spans="1:41">
      <c r="A38" s="173"/>
      <c r="B38" s="178"/>
      <c r="C38" s="173"/>
      <c r="D38" s="173"/>
      <c r="E38" s="173"/>
      <c r="F38" s="173"/>
      <c r="G38" s="173"/>
      <c r="H38" s="173"/>
      <c r="I38" s="173"/>
      <c r="J38" s="173"/>
      <c r="K38" s="173"/>
      <c r="L38" s="173"/>
      <c r="M38" s="173"/>
      <c r="N38" s="173"/>
      <c r="O38" s="173"/>
      <c r="P38" s="173"/>
      <c r="Q38" s="173"/>
      <c r="R38" s="173"/>
      <c r="S38" s="173"/>
      <c r="T38" s="173"/>
      <c r="U38" s="173"/>
      <c r="V38" s="173"/>
      <c r="W38" s="173"/>
      <c r="X38" s="173"/>
      <c r="Y38" s="173"/>
      <c r="Z38" s="173"/>
      <c r="AA38" s="173"/>
      <c r="AB38" s="173"/>
      <c r="AC38" s="173"/>
      <c r="AD38" s="173"/>
      <c r="AE38" s="173"/>
      <c r="AF38" s="173"/>
      <c r="AG38" s="173"/>
      <c r="AH38" s="173"/>
      <c r="AI38" s="173"/>
      <c r="AJ38" s="173"/>
      <c r="AK38" s="173"/>
      <c r="AL38" s="173"/>
      <c r="AM38" s="173"/>
      <c r="AN38" s="173"/>
      <c r="AO38" s="173"/>
    </row>
    <row r="39" spans="1:41">
      <c r="A39" s="173"/>
      <c r="B39" s="177"/>
      <c r="C39" s="173"/>
      <c r="D39" s="177"/>
      <c r="E39" s="177"/>
      <c r="F39" s="177"/>
      <c r="G39" s="173"/>
      <c r="H39" s="173"/>
      <c r="I39" s="173"/>
      <c r="J39" s="173"/>
      <c r="K39" s="173"/>
      <c r="L39" s="173"/>
      <c r="M39" s="173"/>
      <c r="N39" s="173"/>
      <c r="O39" s="173"/>
      <c r="P39" s="173"/>
      <c r="Q39" s="173"/>
      <c r="R39" s="173"/>
      <c r="S39" s="173"/>
      <c r="T39" s="173"/>
      <c r="U39" s="173"/>
      <c r="V39" s="173"/>
      <c r="W39" s="173"/>
      <c r="X39" s="173"/>
      <c r="Y39" s="173"/>
      <c r="Z39" s="173"/>
      <c r="AA39" s="173"/>
      <c r="AB39" s="173"/>
      <c r="AC39" s="173"/>
      <c r="AD39" s="173"/>
      <c r="AE39" s="173"/>
      <c r="AF39" s="173"/>
      <c r="AG39" s="173"/>
      <c r="AH39" s="173"/>
      <c r="AI39" s="173"/>
      <c r="AJ39" s="173"/>
      <c r="AK39" s="173"/>
      <c r="AL39" s="173"/>
      <c r="AM39" s="173"/>
      <c r="AN39" s="173"/>
      <c r="AO39" s="173"/>
    </row>
    <row r="40" spans="1:41">
      <c r="A40" s="173"/>
      <c r="B40" s="173"/>
      <c r="C40" s="17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K40" s="173"/>
      <c r="AL40" s="173"/>
      <c r="AM40" s="173"/>
      <c r="AN40" s="173"/>
      <c r="AO40" s="173"/>
    </row>
    <row r="41" spans="1:41">
      <c r="A41" s="173"/>
      <c r="B41" s="173"/>
      <c r="C41" s="173"/>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73"/>
      <c r="AD41" s="173"/>
      <c r="AE41" s="173"/>
      <c r="AF41" s="173"/>
      <c r="AG41" s="173"/>
      <c r="AH41" s="173"/>
      <c r="AI41" s="173"/>
      <c r="AJ41" s="173"/>
      <c r="AK41" s="173"/>
      <c r="AL41" s="173"/>
      <c r="AM41" s="173"/>
      <c r="AN41" s="173"/>
      <c r="AO41" s="173"/>
    </row>
    <row r="42" spans="1:41">
      <c r="A42" s="173"/>
      <c r="B42" s="177"/>
      <c r="C42" s="177"/>
      <c r="D42" s="177"/>
      <c r="E42" s="177"/>
      <c r="F42" s="173"/>
      <c r="G42" s="173"/>
      <c r="H42" s="173"/>
      <c r="I42" s="173"/>
      <c r="J42" s="173"/>
      <c r="K42" s="173"/>
      <c r="L42" s="173"/>
      <c r="M42" s="173"/>
      <c r="N42" s="173"/>
      <c r="O42" s="173"/>
      <c r="P42" s="173"/>
      <c r="Q42" s="173"/>
      <c r="R42" s="173"/>
      <c r="S42" s="173"/>
      <c r="T42" s="173"/>
      <c r="U42" s="173"/>
      <c r="V42" s="173"/>
      <c r="W42" s="173"/>
      <c r="X42" s="173"/>
      <c r="Y42" s="173"/>
      <c r="Z42" s="173"/>
      <c r="AA42" s="173"/>
      <c r="AB42" s="173"/>
      <c r="AC42" s="173"/>
      <c r="AD42" s="173"/>
      <c r="AE42" s="173"/>
      <c r="AF42" s="173"/>
      <c r="AG42" s="173"/>
      <c r="AH42" s="173"/>
      <c r="AI42" s="173"/>
      <c r="AJ42" s="173"/>
      <c r="AK42" s="173"/>
      <c r="AL42" s="173"/>
      <c r="AM42" s="173"/>
      <c r="AN42" s="173"/>
      <c r="AO42" s="173"/>
    </row>
    <row r="43" spans="1:41">
      <c r="A43" s="173"/>
      <c r="B43" s="177"/>
      <c r="C43" s="173"/>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3"/>
      <c r="AD43" s="173"/>
      <c r="AE43" s="173"/>
      <c r="AF43" s="173"/>
      <c r="AG43" s="173"/>
      <c r="AH43" s="173"/>
      <c r="AI43" s="173"/>
      <c r="AJ43" s="173"/>
      <c r="AK43" s="173"/>
      <c r="AL43" s="173"/>
      <c r="AM43" s="173"/>
      <c r="AN43" s="173"/>
      <c r="AO43" s="173"/>
    </row>
    <row r="44" spans="1:41">
      <c r="A44" s="173"/>
      <c r="B44" s="173"/>
      <c r="C44" s="173"/>
      <c r="D44" s="173"/>
      <c r="E44" s="173"/>
      <c r="F44" s="173"/>
      <c r="G44" s="173"/>
      <c r="H44" s="173"/>
      <c r="I44" s="173"/>
      <c r="J44" s="173"/>
      <c r="K44" s="173"/>
      <c r="L44" s="173"/>
      <c r="M44" s="173"/>
      <c r="N44" s="173"/>
      <c r="O44" s="173"/>
      <c r="P44" s="173"/>
      <c r="Q44" s="173"/>
      <c r="R44" s="173"/>
      <c r="S44" s="173"/>
      <c r="T44" s="173"/>
      <c r="U44" s="173"/>
      <c r="V44" s="173"/>
      <c r="W44" s="173"/>
      <c r="X44" s="173"/>
      <c r="Y44" s="173"/>
      <c r="Z44" s="173"/>
      <c r="AA44" s="173"/>
      <c r="AB44" s="173"/>
      <c r="AC44" s="173"/>
      <c r="AD44" s="173"/>
      <c r="AE44" s="173"/>
      <c r="AF44" s="173"/>
      <c r="AG44" s="173"/>
      <c r="AH44" s="173"/>
      <c r="AI44" s="173"/>
      <c r="AJ44" s="173"/>
      <c r="AK44" s="173"/>
      <c r="AL44" s="173"/>
      <c r="AM44" s="173"/>
      <c r="AN44" s="173"/>
      <c r="AO44" s="173"/>
    </row>
    <row r="45" spans="1:41">
      <c r="A45" s="173"/>
      <c r="B45" s="173"/>
      <c r="C45" s="173"/>
      <c r="D45" s="173"/>
      <c r="E45" s="173"/>
      <c r="F45" s="173"/>
      <c r="G45" s="173"/>
      <c r="H45" s="173"/>
      <c r="I45" s="173"/>
      <c r="J45" s="173"/>
      <c r="K45" s="173"/>
      <c r="L45" s="173"/>
      <c r="M45" s="173"/>
      <c r="N45" s="173"/>
      <c r="O45" s="173"/>
      <c r="P45" s="173"/>
      <c r="Q45" s="173"/>
      <c r="R45" s="173"/>
      <c r="S45" s="173"/>
      <c r="T45" s="173"/>
      <c r="U45" s="173"/>
      <c r="V45" s="173"/>
      <c r="W45" s="173"/>
      <c r="X45" s="173"/>
      <c r="Y45" s="173"/>
      <c r="Z45" s="173"/>
      <c r="AA45" s="173"/>
      <c r="AB45" s="173"/>
      <c r="AC45" s="173"/>
      <c r="AD45" s="173"/>
      <c r="AE45" s="173"/>
      <c r="AF45" s="173"/>
      <c r="AG45" s="173"/>
      <c r="AH45" s="173"/>
      <c r="AI45" s="173"/>
      <c r="AJ45" s="173"/>
      <c r="AK45" s="173"/>
      <c r="AL45" s="173"/>
      <c r="AM45" s="173"/>
      <c r="AN45" s="173"/>
      <c r="AO45" s="173"/>
    </row>
    <row r="46" spans="1:41">
      <c r="A46" s="173"/>
      <c r="B46" s="177"/>
      <c r="C46" s="173"/>
      <c r="D46" s="173"/>
      <c r="E46" s="173"/>
      <c r="F46" s="173"/>
      <c r="G46" s="173"/>
      <c r="H46" s="173"/>
      <c r="I46" s="173"/>
      <c r="J46" s="173"/>
      <c r="K46" s="173"/>
      <c r="L46" s="173"/>
      <c r="M46" s="173"/>
      <c r="N46" s="173"/>
      <c r="O46" s="173"/>
      <c r="P46" s="173"/>
      <c r="Q46" s="173"/>
      <c r="R46" s="173"/>
      <c r="S46" s="173"/>
      <c r="T46" s="173"/>
      <c r="U46" s="173"/>
      <c r="V46" s="173"/>
      <c r="W46" s="173"/>
      <c r="X46" s="173"/>
      <c r="Y46" s="173"/>
      <c r="Z46" s="173"/>
      <c r="AA46" s="173"/>
      <c r="AB46" s="173"/>
      <c r="AC46" s="173"/>
      <c r="AD46" s="173"/>
      <c r="AE46" s="173"/>
      <c r="AF46" s="173"/>
      <c r="AG46" s="173"/>
      <c r="AH46" s="173"/>
      <c r="AI46" s="173"/>
      <c r="AJ46" s="173"/>
      <c r="AK46" s="173"/>
      <c r="AL46" s="173"/>
      <c r="AM46" s="173"/>
      <c r="AN46" s="173"/>
      <c r="AO46" s="173"/>
    </row>
    <row r="47" spans="1:41">
      <c r="A47" s="173"/>
      <c r="B47" s="177"/>
      <c r="C47" s="177"/>
      <c r="D47" s="177"/>
      <c r="E47" s="177"/>
      <c r="F47" s="177"/>
      <c r="G47" s="177"/>
      <c r="H47" s="177"/>
      <c r="I47" s="173"/>
      <c r="J47" s="173"/>
      <c r="K47" s="173"/>
      <c r="L47" s="173"/>
      <c r="M47" s="173"/>
      <c r="N47" s="173"/>
      <c r="O47" s="173"/>
      <c r="P47" s="173"/>
      <c r="Q47" s="173"/>
      <c r="R47" s="173"/>
      <c r="S47" s="173"/>
      <c r="T47" s="173"/>
      <c r="U47" s="173"/>
      <c r="V47" s="173"/>
      <c r="W47" s="173"/>
      <c r="X47" s="173"/>
      <c r="Y47" s="173"/>
      <c r="Z47" s="173"/>
      <c r="AA47" s="173"/>
      <c r="AB47" s="173"/>
      <c r="AC47" s="173"/>
      <c r="AD47" s="173"/>
      <c r="AE47" s="173"/>
      <c r="AF47" s="173"/>
      <c r="AG47" s="173"/>
      <c r="AH47" s="173"/>
      <c r="AI47" s="173"/>
      <c r="AJ47" s="173"/>
      <c r="AK47" s="173"/>
      <c r="AL47" s="173"/>
      <c r="AM47" s="173"/>
      <c r="AN47" s="173"/>
      <c r="AO47" s="173"/>
    </row>
    <row r="48" spans="1:41">
      <c r="A48" s="173"/>
      <c r="B48" s="173"/>
      <c r="C48" s="173"/>
      <c r="D48" s="173"/>
      <c r="E48" s="173"/>
      <c r="F48" s="173"/>
      <c r="G48" s="173"/>
      <c r="H48" s="173"/>
      <c r="I48" s="173"/>
      <c r="J48" s="173"/>
      <c r="K48" s="173"/>
      <c r="L48" s="173"/>
      <c r="M48" s="173"/>
      <c r="N48" s="173"/>
      <c r="O48" s="173"/>
      <c r="P48" s="173"/>
      <c r="Q48" s="173"/>
      <c r="R48" s="173"/>
      <c r="S48" s="173"/>
      <c r="T48" s="173"/>
      <c r="U48" s="173"/>
      <c r="V48" s="173"/>
      <c r="W48" s="173"/>
      <c r="X48" s="173"/>
      <c r="Y48" s="173"/>
      <c r="Z48" s="173"/>
      <c r="AA48" s="173"/>
      <c r="AB48" s="173"/>
      <c r="AC48" s="173"/>
      <c r="AD48" s="173"/>
      <c r="AE48" s="173"/>
      <c r="AF48" s="173"/>
      <c r="AG48" s="173"/>
      <c r="AH48" s="173"/>
      <c r="AI48" s="173"/>
      <c r="AJ48" s="173"/>
      <c r="AK48" s="173"/>
      <c r="AL48" s="173"/>
      <c r="AM48" s="173"/>
      <c r="AN48" s="173"/>
      <c r="AO48" s="173"/>
    </row>
    <row r="49" spans="1:41">
      <c r="A49" s="173"/>
      <c r="B49" s="173"/>
      <c r="C49" s="173"/>
      <c r="D49" s="173"/>
      <c r="E49" s="173"/>
      <c r="F49" s="173"/>
      <c r="G49" s="173"/>
      <c r="H49" s="173"/>
      <c r="I49" s="173"/>
      <c r="J49" s="173"/>
      <c r="K49" s="173"/>
      <c r="L49" s="173"/>
      <c r="M49" s="173"/>
      <c r="N49" s="173"/>
      <c r="O49" s="173"/>
      <c r="P49" s="173"/>
      <c r="Q49" s="173"/>
      <c r="R49" s="173"/>
      <c r="S49" s="173"/>
      <c r="T49" s="173"/>
      <c r="U49" s="173"/>
      <c r="V49" s="173"/>
      <c r="W49" s="173"/>
      <c r="X49" s="173"/>
      <c r="Y49" s="173"/>
      <c r="Z49" s="173"/>
      <c r="AA49" s="173"/>
      <c r="AB49" s="173"/>
      <c r="AC49" s="173"/>
      <c r="AD49" s="173"/>
      <c r="AE49" s="173"/>
      <c r="AF49" s="173"/>
      <c r="AG49" s="173"/>
      <c r="AH49" s="173"/>
      <c r="AI49" s="173"/>
      <c r="AJ49" s="173"/>
      <c r="AK49" s="173"/>
      <c r="AL49" s="173"/>
      <c r="AM49" s="173"/>
      <c r="AN49" s="173"/>
      <c r="AO49" s="173"/>
    </row>
    <row r="50" spans="1:41">
      <c r="A50" s="173"/>
      <c r="B50" s="177"/>
      <c r="C50" s="173"/>
      <c r="D50" s="173"/>
      <c r="E50" s="173"/>
      <c r="F50" s="173"/>
      <c r="G50" s="173"/>
      <c r="H50" s="173"/>
      <c r="I50" s="173"/>
      <c r="J50" s="173"/>
      <c r="K50" s="173"/>
      <c r="L50" s="173"/>
      <c r="M50" s="173"/>
      <c r="N50" s="173"/>
      <c r="O50" s="173"/>
      <c r="P50" s="173"/>
      <c r="Q50" s="173"/>
      <c r="R50" s="173"/>
      <c r="S50" s="173"/>
      <c r="T50" s="173"/>
      <c r="U50" s="173"/>
      <c r="V50" s="173"/>
      <c r="W50" s="173"/>
      <c r="X50" s="173"/>
      <c r="Y50" s="173"/>
      <c r="Z50" s="173"/>
      <c r="AA50" s="173"/>
      <c r="AB50" s="173"/>
      <c r="AC50" s="173"/>
      <c r="AD50" s="173"/>
      <c r="AE50" s="173"/>
      <c r="AF50" s="173"/>
      <c r="AG50" s="173"/>
      <c r="AH50" s="173"/>
      <c r="AI50" s="173"/>
      <c r="AJ50" s="173"/>
      <c r="AK50" s="173"/>
      <c r="AL50" s="173"/>
      <c r="AM50" s="173"/>
      <c r="AN50" s="173"/>
      <c r="AO50" s="173"/>
    </row>
    <row r="51" spans="1:41">
      <c r="A51" s="173"/>
      <c r="B51" s="177"/>
      <c r="C51" s="177"/>
      <c r="D51" s="177"/>
      <c r="E51" s="177"/>
      <c r="F51" s="177"/>
      <c r="G51" s="177"/>
      <c r="H51" s="177"/>
      <c r="I51" s="173"/>
      <c r="J51" s="173"/>
      <c r="K51" s="173"/>
      <c r="L51" s="173"/>
      <c r="M51" s="173"/>
      <c r="N51" s="173"/>
      <c r="O51" s="173"/>
      <c r="P51" s="173"/>
      <c r="Q51" s="173"/>
      <c r="R51" s="173"/>
      <c r="S51" s="173"/>
      <c r="T51" s="173"/>
      <c r="U51" s="173"/>
      <c r="V51" s="173"/>
      <c r="W51" s="173"/>
      <c r="X51" s="173"/>
      <c r="Y51" s="173"/>
      <c r="Z51" s="173"/>
      <c r="AA51" s="173"/>
      <c r="AB51" s="173"/>
      <c r="AC51" s="173"/>
      <c r="AD51" s="173"/>
      <c r="AE51" s="173"/>
      <c r="AF51" s="173"/>
      <c r="AG51" s="173"/>
      <c r="AH51" s="173"/>
      <c r="AI51" s="173"/>
      <c r="AJ51" s="173"/>
      <c r="AK51" s="173"/>
      <c r="AL51" s="173"/>
      <c r="AM51" s="173"/>
      <c r="AN51" s="173"/>
      <c r="AO51" s="173"/>
    </row>
    <row r="52" spans="1:41">
      <c r="A52" s="173"/>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K52" s="173"/>
      <c r="AL52" s="173"/>
      <c r="AM52" s="173"/>
      <c r="AN52" s="173"/>
      <c r="AO52" s="173"/>
    </row>
    <row r="53" spans="1:41">
      <c r="A53" s="173"/>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K53" s="173"/>
      <c r="AL53" s="173"/>
      <c r="AM53" s="173"/>
      <c r="AN53" s="173"/>
      <c r="AO53" s="173"/>
    </row>
    <row r="54" spans="1:41">
      <c r="A54" s="173"/>
      <c r="B54" s="177"/>
      <c r="C54" s="177"/>
      <c r="D54" s="177"/>
      <c r="E54" s="173"/>
      <c r="F54" s="173"/>
      <c r="G54" s="173"/>
      <c r="H54" s="173"/>
      <c r="I54" s="173"/>
      <c r="J54" s="173"/>
      <c r="K54" s="173"/>
      <c r="L54" s="173"/>
      <c r="M54" s="173"/>
      <c r="N54" s="173"/>
      <c r="O54" s="173"/>
      <c r="P54" s="173"/>
      <c r="Q54" s="173"/>
      <c r="R54" s="173"/>
      <c r="S54" s="173"/>
      <c r="T54" s="173"/>
      <c r="U54" s="173"/>
      <c r="V54" s="173"/>
      <c r="W54" s="173"/>
      <c r="X54" s="173"/>
      <c r="Y54" s="173"/>
      <c r="Z54" s="173"/>
      <c r="AA54" s="173"/>
      <c r="AB54" s="173"/>
      <c r="AC54" s="173"/>
      <c r="AD54" s="173"/>
      <c r="AE54" s="173"/>
      <c r="AF54" s="173"/>
      <c r="AG54" s="173"/>
      <c r="AH54" s="173"/>
      <c r="AI54" s="173"/>
      <c r="AJ54" s="173"/>
      <c r="AK54" s="173"/>
      <c r="AL54" s="173"/>
      <c r="AM54" s="173"/>
      <c r="AN54" s="173"/>
      <c r="AO54" s="173"/>
    </row>
    <row r="55" spans="1:41">
      <c r="A55" s="173"/>
      <c r="B55" s="177"/>
      <c r="C55" s="177"/>
      <c r="D55" s="177"/>
      <c r="E55" s="173"/>
      <c r="F55" s="177"/>
      <c r="G55" s="173"/>
      <c r="H55" s="173"/>
      <c r="I55" s="173"/>
      <c r="J55" s="173"/>
      <c r="K55" s="173"/>
      <c r="L55" s="173"/>
      <c r="M55" s="173"/>
      <c r="N55" s="173"/>
      <c r="O55" s="173"/>
      <c r="P55" s="173"/>
      <c r="Q55" s="173"/>
      <c r="R55" s="173"/>
      <c r="S55" s="173"/>
      <c r="T55" s="173"/>
      <c r="U55" s="173"/>
      <c r="V55" s="173"/>
      <c r="W55" s="173"/>
      <c r="X55" s="173"/>
      <c r="Y55" s="173"/>
      <c r="Z55" s="173"/>
      <c r="AA55" s="173"/>
      <c r="AB55" s="173"/>
      <c r="AC55" s="173"/>
      <c r="AD55" s="173"/>
      <c r="AE55" s="173"/>
      <c r="AF55" s="173"/>
      <c r="AG55" s="173"/>
      <c r="AH55" s="173"/>
      <c r="AI55" s="173"/>
      <c r="AJ55" s="173"/>
      <c r="AK55" s="173"/>
      <c r="AL55" s="173"/>
      <c r="AM55" s="173"/>
      <c r="AN55" s="173"/>
      <c r="AO55" s="173"/>
    </row>
    <row r="56" spans="1:41">
      <c r="A56" s="173"/>
      <c r="B56" s="173"/>
      <c r="C56" s="173"/>
      <c r="D56" s="173"/>
      <c r="E56" s="173"/>
      <c r="F56" s="173"/>
      <c r="G56" s="173"/>
      <c r="H56" s="173"/>
      <c r="I56" s="173"/>
      <c r="J56" s="173"/>
      <c r="K56" s="173"/>
      <c r="L56" s="173"/>
      <c r="M56" s="173"/>
      <c r="N56" s="173"/>
      <c r="O56" s="173"/>
      <c r="P56" s="173"/>
      <c r="Q56" s="173"/>
      <c r="R56" s="173"/>
      <c r="S56" s="173"/>
      <c r="T56" s="173"/>
      <c r="U56" s="173"/>
      <c r="V56" s="173"/>
      <c r="W56" s="173"/>
      <c r="X56" s="173"/>
      <c r="Y56" s="173"/>
      <c r="Z56" s="173"/>
      <c r="AA56" s="173"/>
      <c r="AB56" s="173"/>
      <c r="AC56" s="173"/>
      <c r="AD56" s="173"/>
      <c r="AE56" s="173"/>
      <c r="AF56" s="173"/>
      <c r="AG56" s="173"/>
      <c r="AH56" s="173"/>
      <c r="AI56" s="173"/>
      <c r="AJ56" s="173"/>
      <c r="AK56" s="173"/>
      <c r="AL56" s="173"/>
      <c r="AM56" s="173"/>
      <c r="AN56" s="173"/>
      <c r="AO56" s="173"/>
    </row>
    <row r="57" spans="1:41">
      <c r="A57" s="173"/>
      <c r="B57" s="173"/>
      <c r="C57" s="173"/>
      <c r="D57" s="173"/>
      <c r="E57" s="173"/>
      <c r="F57" s="173"/>
      <c r="G57" s="173"/>
      <c r="H57" s="173"/>
      <c r="I57" s="173"/>
      <c r="J57" s="173"/>
      <c r="K57" s="173"/>
      <c r="L57" s="173"/>
      <c r="M57" s="173"/>
      <c r="N57" s="173"/>
      <c r="O57" s="173"/>
      <c r="P57" s="173"/>
      <c r="Q57" s="173"/>
      <c r="R57" s="173"/>
      <c r="S57" s="173"/>
      <c r="T57" s="173"/>
      <c r="U57" s="173"/>
      <c r="V57" s="173"/>
      <c r="W57" s="173"/>
      <c r="X57" s="173"/>
      <c r="Y57" s="173"/>
      <c r="Z57" s="173"/>
      <c r="AA57" s="173"/>
      <c r="AB57" s="173"/>
      <c r="AC57" s="173"/>
      <c r="AD57" s="173"/>
      <c r="AE57" s="173"/>
      <c r="AF57" s="173"/>
      <c r="AG57" s="173"/>
      <c r="AH57" s="173"/>
      <c r="AI57" s="173"/>
      <c r="AJ57" s="173"/>
      <c r="AK57" s="173"/>
      <c r="AL57" s="173"/>
      <c r="AM57" s="173"/>
      <c r="AN57" s="173"/>
      <c r="AO57" s="173"/>
    </row>
    <row r="58" spans="1:41">
      <c r="A58" s="173"/>
      <c r="B58" s="177"/>
      <c r="C58" s="177"/>
      <c r="D58" s="177"/>
      <c r="E58" s="177"/>
      <c r="F58" s="177"/>
      <c r="G58" s="177"/>
      <c r="H58" s="177"/>
      <c r="I58" s="177"/>
      <c r="J58" s="177"/>
      <c r="K58" s="177"/>
      <c r="L58" s="177"/>
      <c r="M58" s="177"/>
      <c r="N58" s="177"/>
      <c r="O58" s="173"/>
      <c r="P58" s="173"/>
      <c r="Q58" s="173"/>
      <c r="R58" s="173"/>
      <c r="S58" s="173"/>
      <c r="T58" s="173"/>
      <c r="U58" s="173"/>
      <c r="V58" s="173"/>
      <c r="W58" s="173"/>
      <c r="X58" s="173"/>
      <c r="Y58" s="173"/>
      <c r="Z58" s="173"/>
      <c r="AA58" s="173"/>
      <c r="AB58" s="173"/>
      <c r="AC58" s="173"/>
      <c r="AD58" s="173"/>
      <c r="AE58" s="173"/>
      <c r="AF58" s="173"/>
      <c r="AG58" s="173"/>
      <c r="AH58" s="173"/>
      <c r="AI58" s="173"/>
      <c r="AJ58" s="173"/>
      <c r="AK58" s="173"/>
      <c r="AL58" s="173"/>
      <c r="AM58" s="173"/>
      <c r="AN58" s="173"/>
      <c r="AO58" s="173"/>
    </row>
    <row r="59" spans="1:41">
      <c r="A59" s="173"/>
      <c r="B59" s="177"/>
      <c r="C59" s="177"/>
      <c r="D59" s="177"/>
      <c r="E59" s="177"/>
      <c r="F59" s="177"/>
      <c r="G59" s="177"/>
      <c r="H59" s="177"/>
      <c r="I59" s="177"/>
      <c r="J59" s="177"/>
      <c r="K59" s="177"/>
      <c r="L59" s="177"/>
      <c r="M59" s="177"/>
      <c r="N59" s="177"/>
      <c r="O59" s="173"/>
      <c r="P59" s="173"/>
      <c r="Q59" s="173"/>
      <c r="R59" s="173"/>
      <c r="S59" s="173"/>
      <c r="T59" s="173"/>
      <c r="U59" s="173"/>
      <c r="V59" s="173"/>
      <c r="W59" s="173"/>
      <c r="X59" s="173"/>
      <c r="Y59" s="173"/>
      <c r="Z59" s="173"/>
      <c r="AA59" s="173"/>
      <c r="AB59" s="173"/>
      <c r="AC59" s="173"/>
      <c r="AD59" s="173"/>
      <c r="AE59" s="173"/>
      <c r="AF59" s="173"/>
      <c r="AG59" s="173"/>
      <c r="AH59" s="173"/>
      <c r="AI59" s="173"/>
      <c r="AJ59" s="173"/>
      <c r="AK59" s="173"/>
      <c r="AL59" s="173"/>
      <c r="AM59" s="173"/>
      <c r="AN59" s="173"/>
      <c r="AO59" s="173"/>
    </row>
    <row r="60" spans="1:41">
      <c r="A60" s="173"/>
      <c r="B60" s="173"/>
      <c r="C60" s="173"/>
      <c r="D60" s="173"/>
      <c r="E60" s="173"/>
      <c r="F60" s="173"/>
      <c r="G60" s="173"/>
      <c r="H60" s="173"/>
      <c r="I60" s="173"/>
      <c r="J60" s="173"/>
      <c r="K60" s="173"/>
      <c r="L60" s="173"/>
      <c r="M60" s="173"/>
      <c r="N60" s="173"/>
      <c r="O60" s="173"/>
      <c r="P60" s="173"/>
      <c r="Q60" s="173"/>
      <c r="R60" s="173"/>
      <c r="S60" s="173"/>
      <c r="T60" s="173"/>
      <c r="U60" s="173"/>
      <c r="V60" s="173"/>
      <c r="W60" s="173"/>
      <c r="X60" s="173"/>
      <c r="Y60" s="173"/>
      <c r="Z60" s="173"/>
      <c r="AA60" s="173"/>
      <c r="AB60" s="173"/>
      <c r="AC60" s="173"/>
      <c r="AD60" s="173"/>
      <c r="AE60" s="173"/>
      <c r="AF60" s="173"/>
      <c r="AG60" s="173"/>
      <c r="AH60" s="173"/>
      <c r="AI60" s="173"/>
      <c r="AJ60" s="173"/>
      <c r="AK60" s="173"/>
      <c r="AL60" s="173"/>
      <c r="AM60" s="173"/>
      <c r="AN60" s="173"/>
      <c r="AO60" s="173"/>
    </row>
    <row r="61" spans="1:41">
      <c r="A61" s="173"/>
      <c r="B61" s="173"/>
      <c r="C61" s="173"/>
      <c r="D61" s="173"/>
      <c r="E61" s="173"/>
      <c r="F61" s="173"/>
      <c r="G61" s="173"/>
      <c r="H61" s="173"/>
      <c r="I61" s="173"/>
      <c r="J61" s="173"/>
      <c r="K61" s="173"/>
      <c r="L61" s="173"/>
      <c r="M61" s="173"/>
      <c r="N61" s="173"/>
      <c r="O61" s="173"/>
      <c r="P61" s="173"/>
      <c r="Q61" s="173"/>
      <c r="R61" s="173"/>
      <c r="S61" s="173"/>
      <c r="T61" s="173"/>
      <c r="U61" s="173"/>
      <c r="V61" s="173"/>
      <c r="W61" s="173"/>
      <c r="X61" s="173"/>
      <c r="Y61" s="173"/>
      <c r="Z61" s="173"/>
      <c r="AA61" s="173"/>
      <c r="AB61" s="173"/>
      <c r="AC61" s="173"/>
      <c r="AD61" s="173"/>
      <c r="AE61" s="173"/>
      <c r="AF61" s="173"/>
      <c r="AG61" s="173"/>
      <c r="AH61" s="173"/>
      <c r="AI61" s="173"/>
      <c r="AJ61" s="173"/>
      <c r="AK61" s="173"/>
      <c r="AL61" s="173"/>
      <c r="AM61" s="173"/>
      <c r="AN61" s="173"/>
      <c r="AO61" s="173"/>
    </row>
    <row r="62" spans="1:41">
      <c r="A62" s="173"/>
      <c r="B62" s="177"/>
      <c r="C62" s="178"/>
      <c r="D62" s="177"/>
      <c r="E62" s="177"/>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173"/>
      <c r="AM62" s="173"/>
      <c r="AN62" s="173"/>
      <c r="AO62" s="173"/>
    </row>
    <row r="63" spans="1:41">
      <c r="A63" s="173"/>
      <c r="B63" s="177"/>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173"/>
      <c r="AM63" s="173"/>
      <c r="AN63" s="173"/>
      <c r="AO63" s="173"/>
    </row>
    <row r="64" spans="1:41">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173"/>
      <c r="AM64" s="173"/>
      <c r="AN64" s="173"/>
      <c r="AO64" s="173"/>
    </row>
    <row r="65" spans="1:41">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173"/>
      <c r="AM65" s="173"/>
      <c r="AN65" s="173"/>
      <c r="AO65" s="173"/>
    </row>
    <row r="66" spans="1:41">
      <c r="A66" s="173"/>
      <c r="B66" s="177"/>
      <c r="C66" s="177"/>
      <c r="D66" s="178"/>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173"/>
      <c r="AM66" s="173"/>
      <c r="AN66" s="173"/>
      <c r="AO66" s="173"/>
    </row>
    <row r="67" spans="1:41">
      <c r="A67" s="173"/>
      <c r="B67" s="177"/>
      <c r="C67" s="177"/>
      <c r="D67" s="178"/>
      <c r="E67" s="173"/>
      <c r="F67" s="177"/>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173"/>
      <c r="AM67" s="173"/>
      <c r="AN67" s="173"/>
      <c r="AO67" s="173"/>
    </row>
    <row r="68" spans="1:41">
      <c r="A68" s="173"/>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73"/>
      <c r="AK68" s="173"/>
      <c r="AL68" s="173"/>
      <c r="AM68" s="173"/>
      <c r="AN68" s="173"/>
      <c r="AO68" s="173"/>
    </row>
    <row r="69" spans="1:41">
      <c r="A69" s="173"/>
      <c r="B69" s="173"/>
      <c r="C69" s="173"/>
      <c r="D69" s="173"/>
      <c r="E69" s="173"/>
      <c r="F69" s="173"/>
      <c r="G69" s="173"/>
      <c r="H69" s="173"/>
      <c r="I69" s="173"/>
      <c r="J69" s="173"/>
      <c r="K69" s="173"/>
      <c r="L69" s="173"/>
      <c r="M69" s="173"/>
      <c r="N69" s="173"/>
      <c r="O69" s="173"/>
      <c r="P69" s="173"/>
      <c r="Q69" s="173"/>
      <c r="R69" s="173"/>
      <c r="S69" s="173"/>
      <c r="T69" s="173"/>
      <c r="U69" s="173"/>
      <c r="V69" s="173"/>
      <c r="W69" s="173"/>
      <c r="X69" s="173"/>
      <c r="Y69" s="173"/>
      <c r="Z69" s="173"/>
      <c r="AA69" s="173"/>
      <c r="AB69" s="173"/>
      <c r="AC69" s="173"/>
      <c r="AD69" s="173"/>
      <c r="AE69" s="173"/>
      <c r="AF69" s="173"/>
      <c r="AG69" s="173"/>
      <c r="AH69" s="173"/>
      <c r="AI69" s="173"/>
      <c r="AJ69" s="173"/>
      <c r="AK69" s="173"/>
      <c r="AL69" s="173"/>
      <c r="AM69" s="173"/>
      <c r="AN69" s="173"/>
      <c r="AO69" s="173"/>
    </row>
    <row r="70" spans="1:41">
      <c r="A70" s="173"/>
      <c r="B70" s="178"/>
      <c r="C70" s="178"/>
      <c r="D70" s="178"/>
      <c r="E70" s="178"/>
      <c r="F70" s="173"/>
      <c r="G70" s="173"/>
      <c r="H70" s="173"/>
      <c r="I70" s="173"/>
      <c r="J70" s="173"/>
      <c r="K70" s="173"/>
      <c r="L70" s="173"/>
      <c r="M70" s="173"/>
      <c r="N70" s="173"/>
      <c r="O70" s="173"/>
      <c r="P70" s="173"/>
      <c r="Q70" s="173"/>
      <c r="R70" s="173"/>
      <c r="S70" s="173"/>
      <c r="T70" s="173"/>
      <c r="U70" s="173"/>
      <c r="V70" s="173"/>
      <c r="W70" s="173"/>
      <c r="X70" s="173"/>
      <c r="Y70" s="173"/>
      <c r="Z70" s="173"/>
      <c r="AA70" s="173"/>
      <c r="AB70" s="173"/>
      <c r="AC70" s="173"/>
      <c r="AD70" s="173"/>
      <c r="AE70" s="173"/>
      <c r="AF70" s="173"/>
      <c r="AG70" s="173"/>
      <c r="AH70" s="173"/>
      <c r="AI70" s="173"/>
      <c r="AJ70" s="173"/>
      <c r="AK70" s="173"/>
      <c r="AL70" s="173"/>
      <c r="AM70" s="173"/>
      <c r="AN70" s="173"/>
      <c r="AO70" s="173"/>
    </row>
    <row r="71" spans="1:41">
      <c r="A71" s="173"/>
      <c r="B71" s="178"/>
      <c r="C71" s="173"/>
      <c r="D71" s="173"/>
      <c r="E71" s="173"/>
      <c r="F71" s="173"/>
      <c r="G71" s="173"/>
      <c r="H71" s="173"/>
      <c r="I71" s="173"/>
      <c r="J71" s="173"/>
      <c r="K71" s="173"/>
      <c r="L71" s="173"/>
      <c r="M71" s="173"/>
      <c r="N71" s="173"/>
      <c r="O71" s="173"/>
      <c r="P71" s="173"/>
      <c r="Q71" s="173"/>
      <c r="R71" s="173"/>
      <c r="S71" s="173"/>
      <c r="T71" s="173"/>
      <c r="U71" s="173"/>
      <c r="V71" s="173"/>
      <c r="W71" s="173"/>
      <c r="X71" s="173"/>
      <c r="Y71" s="173"/>
      <c r="Z71" s="173"/>
      <c r="AA71" s="173"/>
      <c r="AB71" s="173"/>
      <c r="AC71" s="173"/>
      <c r="AD71" s="173"/>
      <c r="AE71" s="173"/>
      <c r="AF71" s="173"/>
      <c r="AG71" s="173"/>
      <c r="AH71" s="173"/>
      <c r="AI71" s="173"/>
      <c r="AJ71" s="173"/>
      <c r="AK71" s="173"/>
      <c r="AL71" s="173"/>
      <c r="AM71" s="173"/>
      <c r="AN71" s="173"/>
      <c r="AO71" s="173"/>
    </row>
    <row r="72" spans="1:41">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173"/>
      <c r="AM72" s="173"/>
      <c r="AN72" s="173"/>
      <c r="AO72" s="173"/>
    </row>
    <row r="73" spans="1:41">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173"/>
      <c r="AM73" s="173"/>
      <c r="AN73" s="173"/>
      <c r="AO73" s="173"/>
    </row>
    <row r="74" spans="1:41">
      <c r="A74" s="173"/>
      <c r="B74" s="178"/>
      <c r="C74" s="178"/>
      <c r="D74" s="178"/>
      <c r="E74" s="178"/>
      <c r="F74" s="178"/>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173"/>
      <c r="AM74" s="173"/>
      <c r="AN74" s="173"/>
      <c r="AO74" s="173"/>
    </row>
    <row r="75" spans="1:41">
      <c r="A75" s="173"/>
      <c r="B75" s="178"/>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173"/>
      <c r="AM75" s="173"/>
      <c r="AN75" s="173"/>
      <c r="AO75" s="173"/>
    </row>
    <row r="76" spans="1:41">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H76" s="173"/>
      <c r="AI76" s="173"/>
      <c r="AJ76" s="173"/>
      <c r="AK76" s="173"/>
      <c r="AL76" s="173"/>
      <c r="AM76" s="173"/>
      <c r="AN76" s="173"/>
      <c r="AO76" s="173"/>
    </row>
    <row r="77" spans="1:41">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H77" s="173"/>
      <c r="AI77" s="173"/>
      <c r="AJ77" s="173"/>
      <c r="AK77" s="173"/>
      <c r="AL77" s="173"/>
      <c r="AM77" s="173"/>
      <c r="AN77" s="173"/>
      <c r="AO77" s="173"/>
    </row>
    <row r="78" spans="1:41">
      <c r="A78" s="173"/>
      <c r="B78" s="178"/>
      <c r="C78" s="178"/>
      <c r="D78" s="178"/>
      <c r="E78" s="178"/>
      <c r="F78" s="178"/>
      <c r="G78" s="173"/>
      <c r="H78" s="173"/>
      <c r="I78" s="173"/>
      <c r="J78" s="173"/>
      <c r="K78" s="173"/>
      <c r="L78" s="173"/>
      <c r="M78" s="173"/>
      <c r="N78" s="173"/>
      <c r="O78" s="173"/>
      <c r="P78" s="173"/>
      <c r="Q78" s="173"/>
      <c r="R78" s="173"/>
      <c r="S78" s="173"/>
      <c r="T78" s="173"/>
      <c r="U78" s="173"/>
      <c r="V78" s="173"/>
      <c r="W78" s="173"/>
      <c r="X78" s="173"/>
      <c r="Y78" s="173"/>
      <c r="Z78" s="173"/>
      <c r="AA78" s="173"/>
      <c r="AB78" s="173"/>
      <c r="AC78" s="173"/>
      <c r="AD78" s="173"/>
      <c r="AE78" s="173"/>
      <c r="AF78" s="173"/>
      <c r="AG78" s="173"/>
      <c r="AH78" s="173"/>
      <c r="AI78" s="173"/>
      <c r="AJ78" s="173"/>
      <c r="AK78" s="173"/>
      <c r="AL78" s="173"/>
      <c r="AM78" s="173"/>
      <c r="AN78" s="173"/>
      <c r="AO78" s="173"/>
    </row>
    <row r="79" spans="1:41">
      <c r="A79" s="173"/>
      <c r="B79" s="178"/>
      <c r="C79" s="173"/>
      <c r="D79" s="173"/>
      <c r="E79" s="173"/>
      <c r="F79" s="173"/>
      <c r="G79" s="173"/>
      <c r="H79" s="173"/>
      <c r="I79" s="173"/>
      <c r="J79" s="173"/>
      <c r="K79" s="173"/>
      <c r="L79" s="173"/>
      <c r="M79" s="173"/>
      <c r="N79" s="173"/>
      <c r="O79" s="173"/>
      <c r="P79" s="173"/>
      <c r="Q79" s="173"/>
      <c r="R79" s="173"/>
      <c r="S79" s="173"/>
      <c r="T79" s="173"/>
      <c r="U79" s="173"/>
      <c r="V79" s="173"/>
      <c r="W79" s="173"/>
      <c r="X79" s="173"/>
      <c r="Y79" s="173"/>
      <c r="Z79" s="173"/>
      <c r="AA79" s="173"/>
      <c r="AB79" s="173"/>
      <c r="AC79" s="173"/>
      <c r="AD79" s="173"/>
      <c r="AE79" s="173"/>
      <c r="AF79" s="173"/>
      <c r="AG79" s="173"/>
      <c r="AH79" s="173"/>
      <c r="AI79" s="173"/>
      <c r="AJ79" s="173"/>
      <c r="AK79" s="173"/>
      <c r="AL79" s="173"/>
      <c r="AM79" s="173"/>
      <c r="AN79" s="173"/>
      <c r="AO79" s="173"/>
    </row>
    <row r="80" spans="1:41">
      <c r="A80" s="173"/>
      <c r="B80" s="173"/>
      <c r="C80" s="173"/>
      <c r="D80" s="173"/>
      <c r="E80" s="173"/>
      <c r="F80" s="173"/>
      <c r="G80" s="173"/>
      <c r="H80" s="173"/>
      <c r="I80" s="173"/>
      <c r="J80" s="173"/>
      <c r="K80" s="173"/>
      <c r="L80" s="173"/>
      <c r="M80" s="173"/>
      <c r="N80" s="173"/>
      <c r="O80" s="173"/>
      <c r="P80" s="173"/>
      <c r="Q80" s="173"/>
      <c r="R80" s="173"/>
      <c r="S80" s="173"/>
      <c r="T80" s="173"/>
      <c r="U80" s="173"/>
      <c r="V80" s="173"/>
      <c r="W80" s="173"/>
      <c r="X80" s="173"/>
      <c r="Y80" s="173"/>
      <c r="Z80" s="173"/>
      <c r="AA80" s="173"/>
      <c r="AB80" s="173"/>
      <c r="AC80" s="173"/>
      <c r="AD80" s="173"/>
      <c r="AE80" s="173"/>
      <c r="AF80" s="173"/>
      <c r="AG80" s="173"/>
      <c r="AH80" s="173"/>
      <c r="AI80" s="173"/>
      <c r="AJ80" s="173"/>
      <c r="AK80" s="173"/>
      <c r="AL80" s="173"/>
      <c r="AM80" s="173"/>
      <c r="AN80" s="173"/>
      <c r="AO80" s="173"/>
    </row>
    <row r="81" spans="1:41">
      <c r="A81" s="173"/>
      <c r="B81" s="173"/>
      <c r="C81" s="173"/>
      <c r="D81" s="173"/>
      <c r="E81" s="173"/>
      <c r="F81" s="173"/>
      <c r="G81" s="173"/>
      <c r="H81" s="173"/>
      <c r="I81" s="173"/>
      <c r="J81" s="173"/>
      <c r="K81" s="173"/>
      <c r="L81" s="173"/>
      <c r="M81" s="173"/>
      <c r="N81" s="173"/>
      <c r="O81" s="173"/>
      <c r="P81" s="173"/>
      <c r="Q81" s="173"/>
      <c r="R81" s="173"/>
      <c r="S81" s="173"/>
      <c r="T81" s="173"/>
      <c r="U81" s="173"/>
      <c r="V81" s="173"/>
      <c r="W81" s="173"/>
      <c r="X81" s="173"/>
      <c r="Y81" s="173"/>
      <c r="Z81" s="173"/>
      <c r="AA81" s="173"/>
      <c r="AB81" s="173"/>
      <c r="AC81" s="173"/>
      <c r="AD81" s="173"/>
      <c r="AE81" s="173"/>
      <c r="AF81" s="173"/>
      <c r="AG81" s="173"/>
      <c r="AH81" s="173"/>
      <c r="AI81" s="173"/>
      <c r="AJ81" s="173"/>
      <c r="AK81" s="173"/>
      <c r="AL81" s="173"/>
      <c r="AM81" s="173"/>
      <c r="AN81" s="173"/>
      <c r="AO81" s="173"/>
    </row>
    <row r="82" spans="1:41">
      <c r="A82" s="173"/>
      <c r="B82" s="178"/>
      <c r="C82" s="178"/>
      <c r="D82" s="178"/>
      <c r="E82" s="178"/>
      <c r="F82" s="178"/>
      <c r="G82" s="178"/>
      <c r="H82" s="178"/>
      <c r="I82" s="178"/>
      <c r="J82" s="173"/>
      <c r="K82" s="178"/>
      <c r="L82" s="178"/>
      <c r="M82" s="173"/>
      <c r="N82" s="173"/>
      <c r="O82" s="178"/>
      <c r="P82" s="178"/>
      <c r="Q82" s="178"/>
      <c r="R82" s="178"/>
      <c r="S82" s="178"/>
      <c r="T82" s="178"/>
      <c r="U82" s="173"/>
      <c r="V82" s="173"/>
      <c r="W82" s="173"/>
      <c r="X82" s="173"/>
      <c r="Y82" s="173"/>
      <c r="Z82" s="173"/>
      <c r="AA82" s="173"/>
      <c r="AB82" s="173"/>
      <c r="AC82" s="173"/>
      <c r="AD82" s="173"/>
      <c r="AE82" s="173"/>
      <c r="AF82" s="173"/>
      <c r="AG82" s="173"/>
      <c r="AH82" s="173"/>
      <c r="AI82" s="173"/>
      <c r="AJ82" s="173"/>
      <c r="AK82" s="173"/>
      <c r="AL82" s="173"/>
      <c r="AM82" s="173"/>
      <c r="AN82" s="173"/>
      <c r="AO82" s="173"/>
    </row>
    <row r="83" spans="1:41">
      <c r="A83" s="173"/>
      <c r="B83" s="178"/>
      <c r="C83" s="178"/>
      <c r="D83" s="178"/>
      <c r="E83" s="178"/>
      <c r="F83" s="178"/>
      <c r="G83" s="178"/>
      <c r="H83" s="178"/>
      <c r="I83" s="178"/>
      <c r="J83" s="178"/>
      <c r="K83" s="178"/>
      <c r="L83" s="178"/>
      <c r="M83" s="178"/>
      <c r="N83" s="178"/>
      <c r="O83" s="178"/>
      <c r="P83" s="178"/>
      <c r="Q83" s="178"/>
      <c r="R83" s="178"/>
      <c r="S83" s="178"/>
      <c r="T83" s="178"/>
      <c r="U83" s="173"/>
      <c r="V83" s="173"/>
      <c r="W83" s="173"/>
      <c r="X83" s="173"/>
      <c r="Y83" s="173"/>
      <c r="Z83" s="173"/>
      <c r="AA83" s="173"/>
      <c r="AB83" s="173"/>
      <c r="AC83" s="173"/>
      <c r="AD83" s="173"/>
      <c r="AE83" s="173"/>
      <c r="AF83" s="173"/>
      <c r="AG83" s="173"/>
      <c r="AH83" s="173"/>
      <c r="AI83" s="173"/>
      <c r="AJ83" s="173"/>
      <c r="AK83" s="173"/>
      <c r="AL83" s="173"/>
      <c r="AM83" s="173"/>
      <c r="AN83" s="173"/>
      <c r="AO83" s="173"/>
    </row>
    <row r="84" spans="1:41">
      <c r="A84" s="173"/>
      <c r="B84" s="173"/>
      <c r="C84" s="173"/>
      <c r="D84" s="173"/>
      <c r="E84" s="173"/>
      <c r="F84" s="173"/>
      <c r="G84" s="173"/>
      <c r="H84" s="173"/>
      <c r="I84" s="173"/>
      <c r="J84" s="173"/>
      <c r="K84" s="173"/>
      <c r="L84" s="173"/>
      <c r="M84" s="173"/>
      <c r="N84" s="173"/>
      <c r="O84" s="173"/>
      <c r="P84" s="173"/>
      <c r="Q84" s="173"/>
      <c r="R84" s="173"/>
      <c r="S84" s="173"/>
      <c r="T84" s="173"/>
      <c r="U84" s="173"/>
      <c r="V84" s="173"/>
      <c r="W84" s="173"/>
      <c r="X84" s="173"/>
      <c r="Y84" s="173"/>
      <c r="Z84" s="173"/>
      <c r="AA84" s="173"/>
      <c r="AB84" s="173"/>
      <c r="AC84" s="173"/>
      <c r="AD84" s="173"/>
      <c r="AE84" s="173"/>
      <c r="AF84" s="173"/>
      <c r="AG84" s="173"/>
      <c r="AH84" s="173"/>
      <c r="AI84" s="173"/>
      <c r="AJ84" s="173"/>
      <c r="AK84" s="173"/>
      <c r="AL84" s="173"/>
      <c r="AM84" s="173"/>
      <c r="AN84" s="173"/>
      <c r="AO84" s="173"/>
    </row>
    <row r="85" spans="1:41">
      <c r="A85" s="173"/>
      <c r="B85" s="173"/>
      <c r="C85" s="173"/>
      <c r="D85" s="173"/>
      <c r="E85" s="173"/>
      <c r="F85" s="173"/>
      <c r="G85" s="173"/>
      <c r="H85" s="173"/>
      <c r="I85" s="173"/>
      <c r="J85" s="173"/>
      <c r="K85" s="173"/>
      <c r="L85" s="173"/>
      <c r="M85" s="173"/>
      <c r="N85" s="173"/>
      <c r="O85" s="173"/>
      <c r="P85" s="173"/>
      <c r="Q85" s="173"/>
      <c r="R85" s="173"/>
      <c r="S85" s="173"/>
      <c r="T85" s="173"/>
      <c r="U85" s="173"/>
      <c r="V85" s="173"/>
      <c r="W85" s="173"/>
      <c r="X85" s="173"/>
      <c r="Y85" s="173"/>
      <c r="Z85" s="173"/>
      <c r="AA85" s="173"/>
      <c r="AB85" s="173"/>
      <c r="AC85" s="173"/>
      <c r="AD85" s="173"/>
      <c r="AE85" s="173"/>
      <c r="AF85" s="173"/>
      <c r="AG85" s="173"/>
      <c r="AH85" s="173"/>
      <c r="AI85" s="173"/>
      <c r="AJ85" s="173"/>
      <c r="AK85" s="173"/>
      <c r="AL85" s="173"/>
      <c r="AM85" s="173"/>
      <c r="AN85" s="173"/>
      <c r="AO85" s="173"/>
    </row>
    <row r="86" spans="1:41">
      <c r="A86" s="173"/>
      <c r="B86" s="178"/>
      <c r="C86" s="178"/>
      <c r="D86" s="178"/>
      <c r="E86" s="173"/>
      <c r="F86" s="173"/>
      <c r="G86" s="173"/>
      <c r="H86" s="173"/>
      <c r="I86" s="173"/>
      <c r="J86" s="173"/>
      <c r="K86" s="173"/>
      <c r="L86" s="173"/>
      <c r="M86" s="173"/>
      <c r="N86" s="173"/>
      <c r="O86" s="173"/>
      <c r="P86" s="173"/>
      <c r="Q86" s="173"/>
      <c r="R86" s="173"/>
      <c r="S86" s="173"/>
      <c r="T86" s="173"/>
      <c r="U86" s="173"/>
      <c r="V86" s="173"/>
      <c r="W86" s="173"/>
      <c r="X86" s="173"/>
      <c r="Y86" s="173"/>
      <c r="Z86" s="173"/>
      <c r="AA86" s="173"/>
      <c r="AB86" s="173"/>
      <c r="AC86" s="173"/>
      <c r="AD86" s="173"/>
      <c r="AE86" s="173"/>
      <c r="AF86" s="173"/>
      <c r="AG86" s="173"/>
      <c r="AH86" s="173"/>
      <c r="AI86" s="173"/>
      <c r="AJ86" s="173"/>
      <c r="AK86" s="173"/>
      <c r="AL86" s="173"/>
      <c r="AM86" s="173"/>
      <c r="AN86" s="173"/>
      <c r="AO86" s="173"/>
    </row>
    <row r="87" spans="1:41">
      <c r="A87" s="173"/>
      <c r="B87" s="178"/>
      <c r="C87" s="178"/>
      <c r="D87" s="178"/>
      <c r="E87" s="173"/>
      <c r="F87" s="173"/>
      <c r="G87" s="173"/>
      <c r="H87" s="173"/>
      <c r="I87" s="173"/>
      <c r="J87" s="173"/>
      <c r="K87" s="173"/>
      <c r="L87" s="173"/>
      <c r="M87" s="173"/>
      <c r="N87" s="173"/>
      <c r="O87" s="173"/>
      <c r="P87" s="173"/>
      <c r="Q87" s="173"/>
      <c r="R87" s="173"/>
      <c r="S87" s="173"/>
      <c r="T87" s="173"/>
      <c r="U87" s="173"/>
      <c r="V87" s="173"/>
      <c r="W87" s="173"/>
      <c r="X87" s="173"/>
      <c r="Y87" s="173"/>
      <c r="Z87" s="173"/>
      <c r="AA87" s="173"/>
      <c r="AB87" s="173"/>
      <c r="AC87" s="173"/>
      <c r="AD87" s="173"/>
      <c r="AE87" s="173"/>
      <c r="AF87" s="173"/>
      <c r="AG87" s="173"/>
      <c r="AH87" s="173"/>
      <c r="AI87" s="173"/>
      <c r="AJ87" s="173"/>
      <c r="AK87" s="173"/>
      <c r="AL87" s="173"/>
      <c r="AM87" s="173"/>
      <c r="AN87" s="173"/>
      <c r="AO87" s="173"/>
    </row>
    <row r="88" spans="1:41">
      <c r="A88" s="173"/>
      <c r="B88" s="173"/>
      <c r="C88" s="173"/>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73"/>
      <c r="AC88" s="173"/>
      <c r="AD88" s="173"/>
      <c r="AE88" s="173"/>
      <c r="AF88" s="173"/>
      <c r="AG88" s="173"/>
      <c r="AH88" s="173"/>
      <c r="AI88" s="173"/>
      <c r="AJ88" s="173"/>
      <c r="AK88" s="173"/>
      <c r="AL88" s="173"/>
      <c r="AM88" s="173"/>
      <c r="AN88" s="173"/>
      <c r="AO88" s="173"/>
    </row>
    <row r="89" spans="1:41">
      <c r="A89" s="173"/>
      <c r="B89" s="173"/>
      <c r="C89" s="173"/>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73"/>
      <c r="AC89" s="173"/>
      <c r="AD89" s="173"/>
      <c r="AE89" s="173"/>
      <c r="AF89" s="173"/>
      <c r="AG89" s="173"/>
      <c r="AH89" s="173"/>
      <c r="AI89" s="173"/>
      <c r="AJ89" s="173"/>
      <c r="AK89" s="173"/>
      <c r="AL89" s="173"/>
      <c r="AM89" s="173"/>
      <c r="AN89" s="173"/>
      <c r="AO89" s="173"/>
    </row>
    <row r="90" spans="1:41">
      <c r="A90" s="173"/>
      <c r="B90" s="178"/>
      <c r="C90" s="178"/>
      <c r="D90" s="178"/>
      <c r="E90" s="178"/>
      <c r="F90" s="173"/>
      <c r="G90" s="173"/>
      <c r="H90" s="173"/>
      <c r="I90" s="173"/>
      <c r="J90" s="173"/>
      <c r="K90" s="173"/>
      <c r="L90" s="173"/>
      <c r="M90" s="173"/>
      <c r="N90" s="173"/>
      <c r="O90" s="173"/>
      <c r="P90" s="173"/>
      <c r="Q90" s="173"/>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row>
    <row r="91" spans="1:41">
      <c r="A91" s="173"/>
      <c r="B91" s="178"/>
      <c r="C91" s="178"/>
      <c r="D91" s="178"/>
      <c r="E91" s="178"/>
      <c r="F91" s="178"/>
      <c r="G91" s="173"/>
      <c r="H91" s="173"/>
      <c r="I91" s="173"/>
      <c r="J91" s="173"/>
      <c r="K91" s="173"/>
      <c r="L91" s="173"/>
      <c r="M91" s="173"/>
      <c r="N91" s="173"/>
      <c r="O91" s="173"/>
      <c r="P91" s="173"/>
      <c r="Q91" s="173"/>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row>
    <row r="92" spans="1:41">
      <c r="A92" s="173"/>
      <c r="B92" s="173"/>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173"/>
      <c r="AC92" s="173"/>
      <c r="AD92" s="173"/>
      <c r="AE92" s="173"/>
      <c r="AF92" s="173"/>
      <c r="AG92" s="173"/>
      <c r="AH92" s="173"/>
      <c r="AI92" s="173"/>
      <c r="AJ92" s="173"/>
      <c r="AK92" s="173"/>
      <c r="AL92" s="173"/>
      <c r="AM92" s="173"/>
      <c r="AN92" s="173"/>
      <c r="AO92" s="173"/>
    </row>
    <row r="93" spans="1:41">
      <c r="A93" s="173"/>
      <c r="B93" s="173"/>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173"/>
      <c r="AC93" s="173"/>
      <c r="AD93" s="173"/>
      <c r="AE93" s="173"/>
      <c r="AF93" s="173"/>
      <c r="AG93" s="173"/>
      <c r="AH93" s="173"/>
      <c r="AI93" s="173"/>
      <c r="AJ93" s="173"/>
      <c r="AK93" s="173"/>
      <c r="AL93" s="173"/>
      <c r="AM93" s="173"/>
      <c r="AN93" s="173"/>
      <c r="AO93" s="173"/>
    </row>
    <row r="94" spans="1:41">
      <c r="A94" s="173"/>
      <c r="B94" s="178"/>
      <c r="C94" s="173"/>
      <c r="D94" s="173"/>
      <c r="E94" s="173"/>
      <c r="F94" s="173"/>
      <c r="G94" s="173"/>
      <c r="H94" s="173"/>
      <c r="I94" s="173"/>
      <c r="J94" s="173"/>
      <c r="K94" s="173"/>
      <c r="L94" s="173"/>
      <c r="M94" s="173"/>
      <c r="N94" s="173"/>
      <c r="O94" s="173"/>
      <c r="P94" s="173"/>
      <c r="Q94" s="173"/>
      <c r="R94" s="173"/>
      <c r="S94" s="173"/>
      <c r="T94" s="173"/>
      <c r="U94" s="173"/>
      <c r="V94" s="173"/>
      <c r="W94" s="173"/>
      <c r="X94" s="173"/>
      <c r="Y94" s="173"/>
      <c r="Z94" s="173"/>
      <c r="AA94" s="173"/>
      <c r="AB94" s="173"/>
      <c r="AC94" s="173"/>
      <c r="AD94" s="173"/>
      <c r="AE94" s="173"/>
      <c r="AF94" s="173"/>
      <c r="AG94" s="173"/>
      <c r="AH94" s="173"/>
      <c r="AI94" s="173"/>
      <c r="AJ94" s="173"/>
      <c r="AK94" s="173"/>
      <c r="AL94" s="173"/>
      <c r="AM94" s="173"/>
      <c r="AN94" s="173"/>
      <c r="AO94" s="173"/>
    </row>
    <row r="95" spans="1:41">
      <c r="A95" s="173"/>
      <c r="B95" s="178"/>
      <c r="C95" s="178"/>
      <c r="D95" s="178"/>
      <c r="E95" s="178"/>
      <c r="F95" s="178"/>
      <c r="G95" s="173"/>
      <c r="H95" s="173"/>
      <c r="I95" s="173"/>
      <c r="J95" s="173"/>
      <c r="K95" s="173"/>
      <c r="L95" s="173"/>
      <c r="M95" s="173"/>
      <c r="N95" s="173"/>
      <c r="O95" s="173"/>
      <c r="P95" s="173"/>
      <c r="Q95" s="173"/>
      <c r="R95" s="173"/>
      <c r="S95" s="173"/>
      <c r="T95" s="173"/>
      <c r="U95" s="173"/>
      <c r="V95" s="173"/>
      <c r="W95" s="173"/>
      <c r="X95" s="173"/>
      <c r="Y95" s="173"/>
      <c r="Z95" s="173"/>
      <c r="AA95" s="173"/>
      <c r="AB95" s="173"/>
      <c r="AC95" s="173"/>
      <c r="AD95" s="173"/>
      <c r="AE95" s="173"/>
      <c r="AF95" s="173"/>
      <c r="AG95" s="173"/>
      <c r="AH95" s="173"/>
      <c r="AI95" s="173"/>
      <c r="AJ95" s="173"/>
      <c r="AK95" s="173"/>
      <c r="AL95" s="173"/>
      <c r="AM95" s="173"/>
      <c r="AN95" s="173"/>
      <c r="AO95" s="173"/>
    </row>
    <row r="96" spans="1:41">
      <c r="A96" s="173"/>
      <c r="B96" s="173"/>
      <c r="C96" s="173"/>
      <c r="D96" s="173"/>
      <c r="E96" s="173"/>
      <c r="F96" s="173"/>
      <c r="G96" s="173"/>
      <c r="H96" s="173"/>
      <c r="I96" s="173"/>
      <c r="J96" s="173"/>
      <c r="K96" s="173"/>
      <c r="L96" s="173"/>
      <c r="M96" s="173"/>
      <c r="N96" s="173"/>
      <c r="O96" s="173"/>
      <c r="P96" s="173"/>
      <c r="Q96" s="173"/>
      <c r="R96" s="173"/>
      <c r="S96" s="173"/>
      <c r="T96" s="173"/>
      <c r="U96" s="173"/>
      <c r="V96" s="173"/>
      <c r="W96" s="173"/>
      <c r="X96" s="173"/>
      <c r="Y96" s="173"/>
      <c r="Z96" s="173"/>
      <c r="AA96" s="173"/>
      <c r="AB96" s="173"/>
      <c r="AC96" s="173"/>
      <c r="AD96" s="173"/>
      <c r="AE96" s="173"/>
      <c r="AF96" s="173"/>
      <c r="AG96" s="173"/>
      <c r="AH96" s="173"/>
      <c r="AI96" s="173"/>
      <c r="AJ96" s="173"/>
      <c r="AK96" s="173"/>
      <c r="AL96" s="173"/>
      <c r="AM96" s="173"/>
      <c r="AN96" s="173"/>
      <c r="AO96" s="173"/>
    </row>
    <row r="97" spans="1:41">
      <c r="A97" s="173"/>
      <c r="B97" s="173"/>
      <c r="C97" s="173"/>
      <c r="D97" s="173"/>
      <c r="E97" s="173"/>
      <c r="F97" s="173"/>
      <c r="G97" s="173"/>
      <c r="H97" s="173"/>
      <c r="I97" s="173"/>
      <c r="J97" s="173"/>
      <c r="K97" s="173"/>
      <c r="L97" s="173"/>
      <c r="M97" s="173"/>
      <c r="N97" s="173"/>
      <c r="O97" s="173"/>
      <c r="P97" s="173"/>
      <c r="Q97" s="173"/>
      <c r="R97" s="173"/>
      <c r="S97" s="173"/>
      <c r="T97" s="173"/>
      <c r="U97" s="173"/>
      <c r="V97" s="173"/>
      <c r="W97" s="173"/>
      <c r="X97" s="173"/>
      <c r="Y97" s="173"/>
      <c r="Z97" s="173"/>
      <c r="AA97" s="173"/>
      <c r="AB97" s="173"/>
      <c r="AC97" s="173"/>
      <c r="AD97" s="173"/>
      <c r="AE97" s="173"/>
      <c r="AF97" s="173"/>
      <c r="AG97" s="173"/>
      <c r="AH97" s="173"/>
      <c r="AI97" s="173"/>
      <c r="AJ97" s="173"/>
      <c r="AK97" s="173"/>
      <c r="AL97" s="173"/>
      <c r="AM97" s="173"/>
      <c r="AN97" s="173"/>
      <c r="AO97" s="173"/>
    </row>
    <row r="98" spans="1:41">
      <c r="A98" s="173"/>
      <c r="B98" s="178"/>
      <c r="C98" s="178"/>
      <c r="D98" s="173"/>
      <c r="E98" s="178"/>
      <c r="F98" s="173"/>
      <c r="G98" s="178"/>
      <c r="H98" s="178"/>
      <c r="I98" s="178"/>
      <c r="J98" s="178"/>
      <c r="K98" s="178"/>
      <c r="L98" s="178"/>
      <c r="M98" s="173"/>
      <c r="N98" s="173"/>
      <c r="O98" s="173"/>
      <c r="P98" s="173"/>
      <c r="Q98" s="173"/>
      <c r="R98" s="173"/>
      <c r="S98" s="173"/>
      <c r="T98" s="173"/>
      <c r="U98" s="173"/>
      <c r="V98" s="173"/>
      <c r="W98" s="173"/>
      <c r="X98" s="173"/>
      <c r="Y98" s="173"/>
      <c r="Z98" s="173"/>
      <c r="AA98" s="173"/>
      <c r="AB98" s="173"/>
      <c r="AC98" s="173"/>
      <c r="AD98" s="173"/>
      <c r="AE98" s="173"/>
      <c r="AF98" s="173"/>
      <c r="AG98" s="173"/>
      <c r="AH98" s="173"/>
      <c r="AI98" s="173"/>
      <c r="AJ98" s="173"/>
      <c r="AK98" s="173"/>
      <c r="AL98" s="173"/>
      <c r="AM98" s="173"/>
      <c r="AN98" s="173"/>
      <c r="AO98" s="173"/>
    </row>
    <row r="99" spans="1:41">
      <c r="A99" s="173"/>
      <c r="B99" s="178"/>
      <c r="C99" s="178"/>
      <c r="D99" s="178"/>
      <c r="E99" s="178"/>
      <c r="F99" s="178"/>
      <c r="G99" s="178"/>
      <c r="H99" s="178"/>
      <c r="I99" s="178"/>
      <c r="J99" s="178"/>
      <c r="K99" s="178"/>
      <c r="L99" s="178"/>
      <c r="M99" s="173"/>
      <c r="N99" s="173"/>
      <c r="O99" s="173"/>
      <c r="P99" s="173"/>
      <c r="Q99" s="173"/>
      <c r="R99" s="173"/>
      <c r="S99" s="173"/>
      <c r="T99" s="173"/>
      <c r="U99" s="173"/>
      <c r="V99" s="173"/>
      <c r="W99" s="173"/>
      <c r="X99" s="173"/>
      <c r="Y99" s="173"/>
      <c r="Z99" s="173"/>
      <c r="AA99" s="173"/>
      <c r="AB99" s="173"/>
      <c r="AC99" s="173"/>
      <c r="AD99" s="173"/>
      <c r="AE99" s="173"/>
      <c r="AF99" s="173"/>
      <c r="AG99" s="173"/>
      <c r="AH99" s="173"/>
      <c r="AI99" s="173"/>
      <c r="AJ99" s="173"/>
      <c r="AK99" s="173"/>
      <c r="AL99" s="173"/>
      <c r="AM99" s="173"/>
      <c r="AN99" s="173"/>
      <c r="AO99" s="173"/>
    </row>
    <row r="100" spans="1:41">
      <c r="A100" s="173"/>
      <c r="B100" s="173"/>
      <c r="C100" s="173"/>
      <c r="D100" s="173"/>
      <c r="E100" s="173"/>
      <c r="F100" s="173"/>
      <c r="G100" s="173"/>
      <c r="H100" s="173"/>
      <c r="I100" s="173"/>
      <c r="J100" s="173"/>
      <c r="K100" s="173"/>
      <c r="L100" s="173"/>
      <c r="M100" s="173"/>
      <c r="N100" s="173"/>
      <c r="O100" s="173"/>
      <c r="P100" s="173"/>
      <c r="Q100" s="173"/>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row>
    <row r="101" spans="1:41">
      <c r="A101" s="173"/>
      <c r="B101" s="173"/>
      <c r="C101" s="173"/>
      <c r="D101" s="173"/>
      <c r="E101" s="173"/>
      <c r="F101" s="173"/>
      <c r="G101" s="173"/>
      <c r="H101" s="173"/>
      <c r="I101" s="173"/>
      <c r="J101" s="173"/>
      <c r="K101" s="173"/>
      <c r="L101" s="173"/>
      <c r="M101" s="173"/>
      <c r="N101" s="173"/>
      <c r="O101" s="173"/>
      <c r="P101" s="173"/>
      <c r="Q101" s="173"/>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row>
    <row r="102" spans="1:41">
      <c r="A102" s="173"/>
      <c r="B102" s="178"/>
      <c r="C102" s="173"/>
      <c r="D102" s="178"/>
      <c r="E102" s="173"/>
      <c r="F102" s="173"/>
      <c r="G102" s="173"/>
      <c r="H102" s="173"/>
      <c r="I102" s="173"/>
      <c r="J102" s="173"/>
      <c r="K102" s="173"/>
      <c r="L102" s="173"/>
      <c r="M102" s="173"/>
      <c r="N102" s="173"/>
      <c r="O102" s="173"/>
      <c r="P102" s="173"/>
      <c r="Q102" s="173"/>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row>
    <row r="103" spans="1:41">
      <c r="A103" s="173"/>
      <c r="B103" s="178"/>
      <c r="C103" s="178"/>
      <c r="D103" s="178"/>
      <c r="E103" s="178"/>
      <c r="F103" s="178"/>
      <c r="G103" s="178"/>
      <c r="H103" s="178"/>
      <c r="I103" s="178"/>
      <c r="J103" s="178"/>
      <c r="K103" s="173"/>
      <c r="L103" s="173"/>
      <c r="M103" s="173"/>
      <c r="N103" s="173"/>
      <c r="O103" s="173"/>
      <c r="P103" s="173"/>
      <c r="Q103" s="17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row>
    <row r="104" spans="1:41">
      <c r="A104" s="173"/>
      <c r="B104" s="173"/>
      <c r="C104" s="173"/>
      <c r="D104" s="173"/>
      <c r="E104" s="173"/>
      <c r="F104" s="173"/>
      <c r="G104" s="173"/>
      <c r="H104" s="173"/>
      <c r="I104" s="173"/>
      <c r="J104" s="173"/>
      <c r="K104" s="173"/>
      <c r="L104" s="173"/>
      <c r="M104" s="173"/>
      <c r="N104" s="173"/>
      <c r="O104" s="173"/>
      <c r="P104" s="173"/>
      <c r="Q104" s="173"/>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row>
    <row r="105" spans="1:41">
      <c r="A105" s="173"/>
      <c r="B105" s="173"/>
      <c r="C105" s="173"/>
      <c r="D105" s="173"/>
      <c r="E105" s="173"/>
      <c r="F105" s="173"/>
      <c r="G105" s="173"/>
      <c r="H105" s="173"/>
      <c r="I105" s="173"/>
      <c r="J105" s="173"/>
      <c r="K105" s="173"/>
      <c r="L105" s="173"/>
      <c r="M105" s="173"/>
      <c r="N105" s="173"/>
      <c r="O105" s="173"/>
      <c r="P105" s="173"/>
      <c r="Q105" s="173"/>
      <c r="R105" s="173"/>
      <c r="S105" s="173"/>
      <c r="T105" s="173"/>
      <c r="U105" s="173"/>
      <c r="V105" s="173"/>
      <c r="W105" s="173"/>
      <c r="X105" s="173"/>
      <c r="Y105" s="173"/>
      <c r="Z105" s="173"/>
      <c r="AA105" s="173"/>
      <c r="AB105" s="173"/>
      <c r="AC105" s="173"/>
      <c r="AD105" s="173"/>
      <c r="AE105" s="173"/>
      <c r="AF105" s="173"/>
      <c r="AG105" s="173"/>
      <c r="AH105" s="173"/>
      <c r="AI105" s="173"/>
      <c r="AJ105" s="173"/>
      <c r="AK105" s="173"/>
      <c r="AL105" s="173"/>
      <c r="AM105" s="173"/>
      <c r="AN105" s="173"/>
      <c r="AO105" s="173"/>
    </row>
    <row r="106" spans="1:41">
      <c r="A106" s="173"/>
      <c r="B106" s="178"/>
      <c r="C106" s="178"/>
      <c r="D106" s="173"/>
      <c r="E106" s="173"/>
      <c r="F106" s="173"/>
      <c r="G106" s="173"/>
      <c r="H106" s="173"/>
      <c r="I106" s="173"/>
      <c r="J106" s="173"/>
      <c r="K106" s="173"/>
      <c r="L106" s="173"/>
      <c r="M106" s="173"/>
      <c r="N106" s="173"/>
      <c r="O106" s="173"/>
      <c r="P106" s="173"/>
      <c r="Q106" s="173"/>
      <c r="R106" s="173"/>
      <c r="S106" s="173"/>
      <c r="T106" s="173"/>
      <c r="U106" s="173"/>
      <c r="V106" s="173"/>
      <c r="W106" s="173"/>
      <c r="X106" s="173"/>
      <c r="Y106" s="173"/>
      <c r="Z106" s="173"/>
      <c r="AA106" s="173"/>
      <c r="AB106" s="173"/>
      <c r="AC106" s="173"/>
      <c r="AD106" s="173"/>
      <c r="AE106" s="173"/>
      <c r="AF106" s="173"/>
      <c r="AG106" s="173"/>
      <c r="AH106" s="173"/>
      <c r="AI106" s="173"/>
      <c r="AJ106" s="173"/>
      <c r="AK106" s="173"/>
      <c r="AL106" s="173"/>
      <c r="AM106" s="173"/>
      <c r="AN106" s="173"/>
      <c r="AO106" s="173"/>
    </row>
    <row r="107" spans="1:41">
      <c r="A107" s="173"/>
      <c r="B107" s="178"/>
      <c r="C107" s="178"/>
      <c r="D107" s="178"/>
      <c r="E107" s="178"/>
      <c r="F107" s="178"/>
      <c r="G107" s="178"/>
      <c r="H107" s="178"/>
      <c r="I107" s="178"/>
      <c r="J107" s="173"/>
      <c r="K107" s="173"/>
      <c r="L107" s="173"/>
      <c r="M107" s="173"/>
      <c r="N107" s="173"/>
      <c r="O107" s="173"/>
      <c r="P107" s="173"/>
      <c r="Q107" s="173"/>
      <c r="R107" s="173"/>
      <c r="S107" s="173"/>
      <c r="T107" s="173"/>
      <c r="U107" s="173"/>
      <c r="V107" s="173"/>
      <c r="W107" s="173"/>
      <c r="X107" s="173"/>
      <c r="Y107" s="173"/>
      <c r="Z107" s="173"/>
      <c r="AA107" s="173"/>
      <c r="AB107" s="173"/>
      <c r="AC107" s="173"/>
      <c r="AD107" s="173"/>
      <c r="AE107" s="173"/>
      <c r="AF107" s="173"/>
      <c r="AG107" s="173"/>
      <c r="AH107" s="173"/>
      <c r="AI107" s="173"/>
      <c r="AJ107" s="173"/>
      <c r="AK107" s="173"/>
      <c r="AL107" s="173"/>
      <c r="AM107" s="173"/>
      <c r="AN107" s="173"/>
      <c r="AO107" s="173"/>
    </row>
    <row r="108" spans="1:41">
      <c r="A108" s="173"/>
      <c r="B108" s="173"/>
      <c r="C108" s="173"/>
      <c r="D108" s="173"/>
      <c r="E108" s="173"/>
      <c r="F108" s="173"/>
      <c r="G108" s="173"/>
      <c r="H108" s="173"/>
      <c r="I108" s="173"/>
      <c r="J108" s="173"/>
      <c r="K108" s="173"/>
      <c r="L108" s="173"/>
      <c r="M108" s="173"/>
      <c r="N108" s="173"/>
      <c r="O108" s="173"/>
      <c r="P108" s="173"/>
      <c r="Q108" s="173"/>
      <c r="R108" s="173"/>
      <c r="S108" s="173"/>
      <c r="T108" s="173"/>
      <c r="U108" s="173"/>
      <c r="V108" s="173"/>
      <c r="W108" s="173"/>
      <c r="X108" s="173"/>
      <c r="Y108" s="173"/>
      <c r="Z108" s="173"/>
      <c r="AA108" s="173"/>
      <c r="AB108" s="173"/>
      <c r="AC108" s="173"/>
      <c r="AD108" s="173"/>
      <c r="AE108" s="173"/>
      <c r="AF108" s="173"/>
      <c r="AG108" s="173"/>
      <c r="AH108" s="173"/>
      <c r="AI108" s="173"/>
      <c r="AJ108" s="173"/>
      <c r="AK108" s="173"/>
      <c r="AL108" s="173"/>
      <c r="AM108" s="173"/>
      <c r="AN108" s="173"/>
      <c r="AO108" s="173"/>
    </row>
    <row r="109" spans="1:41">
      <c r="A109" s="173"/>
      <c r="B109" s="173"/>
      <c r="C109" s="173"/>
      <c r="D109" s="173"/>
      <c r="E109" s="173"/>
      <c r="F109" s="173"/>
      <c r="G109" s="173"/>
      <c r="H109" s="173"/>
      <c r="I109" s="173"/>
      <c r="J109" s="173"/>
      <c r="K109" s="173"/>
      <c r="L109" s="173"/>
      <c r="M109" s="173"/>
      <c r="N109" s="173"/>
      <c r="O109" s="173"/>
      <c r="P109" s="173"/>
      <c r="Q109" s="173"/>
      <c r="R109" s="173"/>
      <c r="S109" s="173"/>
      <c r="T109" s="173"/>
      <c r="U109" s="173"/>
      <c r="V109" s="173"/>
      <c r="W109" s="173"/>
      <c r="X109" s="173"/>
      <c r="Y109" s="173"/>
      <c r="Z109" s="173"/>
      <c r="AA109" s="173"/>
      <c r="AB109" s="173"/>
      <c r="AC109" s="173"/>
      <c r="AD109" s="173"/>
      <c r="AE109" s="173"/>
      <c r="AF109" s="173"/>
      <c r="AG109" s="173"/>
      <c r="AH109" s="173"/>
      <c r="AI109" s="173"/>
      <c r="AJ109" s="173"/>
      <c r="AK109" s="173"/>
      <c r="AL109" s="173"/>
      <c r="AM109" s="173"/>
      <c r="AN109" s="173"/>
      <c r="AO109" s="173"/>
    </row>
    <row r="110" spans="1:41">
      <c r="A110" s="173"/>
      <c r="B110" s="178"/>
      <c r="C110" s="178"/>
      <c r="D110" s="178"/>
      <c r="E110" s="178"/>
      <c r="F110" s="178"/>
      <c r="G110" s="173"/>
      <c r="H110" s="173"/>
      <c r="I110" s="173"/>
      <c r="J110" s="173"/>
      <c r="K110" s="173"/>
      <c r="L110" s="173"/>
      <c r="M110" s="173"/>
      <c r="N110" s="173"/>
      <c r="O110" s="173"/>
      <c r="P110" s="173"/>
      <c r="Q110" s="173"/>
      <c r="R110" s="173"/>
      <c r="S110" s="173"/>
      <c r="T110" s="173"/>
      <c r="U110" s="173"/>
      <c r="V110" s="173"/>
      <c r="W110" s="173"/>
      <c r="X110" s="173"/>
      <c r="Y110" s="173"/>
      <c r="Z110" s="173"/>
      <c r="AA110" s="173"/>
      <c r="AB110" s="173"/>
      <c r="AC110" s="173"/>
      <c r="AD110" s="173"/>
      <c r="AE110" s="173"/>
      <c r="AF110" s="173"/>
      <c r="AG110" s="173"/>
      <c r="AH110" s="173"/>
      <c r="AI110" s="173"/>
      <c r="AJ110" s="173"/>
      <c r="AK110" s="173"/>
      <c r="AL110" s="173"/>
      <c r="AM110" s="173"/>
      <c r="AN110" s="173"/>
      <c r="AO110" s="173"/>
    </row>
    <row r="111" spans="1:41">
      <c r="A111" s="173"/>
      <c r="B111" s="178"/>
      <c r="C111" s="173"/>
      <c r="D111" s="173"/>
      <c r="E111" s="173"/>
      <c r="F111" s="173"/>
      <c r="G111" s="173"/>
      <c r="H111" s="173"/>
      <c r="I111" s="173"/>
      <c r="J111" s="173"/>
      <c r="K111" s="173"/>
      <c r="L111" s="173"/>
      <c r="M111" s="173"/>
      <c r="N111" s="173"/>
      <c r="O111" s="173"/>
      <c r="P111" s="173"/>
      <c r="Q111" s="173"/>
      <c r="R111" s="173"/>
      <c r="S111" s="173"/>
      <c r="T111" s="173"/>
      <c r="U111" s="173"/>
      <c r="V111" s="173"/>
      <c r="W111" s="173"/>
      <c r="X111" s="173"/>
      <c r="Y111" s="173"/>
      <c r="Z111" s="173"/>
      <c r="AA111" s="173"/>
      <c r="AB111" s="173"/>
      <c r="AC111" s="173"/>
      <c r="AD111" s="173"/>
      <c r="AE111" s="173"/>
      <c r="AF111" s="173"/>
      <c r="AG111" s="173"/>
      <c r="AH111" s="173"/>
      <c r="AI111" s="173"/>
      <c r="AJ111" s="173"/>
      <c r="AK111" s="173"/>
      <c r="AL111" s="173"/>
      <c r="AM111" s="173"/>
      <c r="AN111" s="173"/>
      <c r="AO111" s="173"/>
    </row>
    <row r="112" spans="1:41">
      <c r="A112" s="173"/>
      <c r="B112" s="173"/>
      <c r="C112" s="173"/>
      <c r="D112" s="173"/>
      <c r="E112" s="173"/>
      <c r="F112" s="173"/>
      <c r="G112" s="173"/>
      <c r="H112" s="173"/>
      <c r="I112" s="173"/>
      <c r="J112" s="173"/>
      <c r="K112" s="173"/>
      <c r="L112" s="173"/>
      <c r="M112" s="173"/>
      <c r="N112" s="173"/>
      <c r="O112" s="173"/>
      <c r="P112" s="173"/>
      <c r="Q112" s="173"/>
      <c r="R112" s="173"/>
      <c r="S112" s="173"/>
      <c r="T112" s="173"/>
      <c r="U112" s="173"/>
      <c r="V112" s="173"/>
      <c r="W112" s="173"/>
      <c r="X112" s="173"/>
      <c r="Y112" s="173"/>
      <c r="Z112" s="173"/>
      <c r="AA112" s="173"/>
      <c r="AB112" s="173"/>
      <c r="AC112" s="173"/>
      <c r="AD112" s="173"/>
      <c r="AE112" s="173"/>
      <c r="AF112" s="173"/>
      <c r="AG112" s="173"/>
      <c r="AH112" s="173"/>
      <c r="AI112" s="173"/>
      <c r="AJ112" s="173"/>
      <c r="AK112" s="173"/>
      <c r="AL112" s="173"/>
      <c r="AM112" s="173"/>
      <c r="AN112" s="173"/>
      <c r="AO112" s="173"/>
    </row>
    <row r="113" spans="1:41">
      <c r="A113" s="173"/>
      <c r="B113" s="173"/>
      <c r="C113" s="173"/>
      <c r="D113" s="173"/>
      <c r="E113" s="173"/>
      <c r="F113" s="173"/>
      <c r="G113" s="173"/>
      <c r="H113" s="173"/>
      <c r="I113" s="173"/>
      <c r="J113" s="173"/>
      <c r="K113" s="173"/>
      <c r="L113" s="173"/>
      <c r="M113" s="173"/>
      <c r="N113" s="173"/>
      <c r="O113" s="173"/>
      <c r="P113" s="173"/>
      <c r="Q113" s="173"/>
      <c r="R113" s="173"/>
      <c r="S113" s="173"/>
      <c r="T113" s="173"/>
      <c r="U113" s="173"/>
      <c r="V113" s="173"/>
      <c r="W113" s="173"/>
      <c r="X113" s="173"/>
      <c r="Y113" s="173"/>
      <c r="Z113" s="173"/>
      <c r="AA113" s="173"/>
      <c r="AB113" s="173"/>
      <c r="AC113" s="173"/>
      <c r="AD113" s="173"/>
      <c r="AE113" s="173"/>
      <c r="AF113" s="173"/>
      <c r="AG113" s="173"/>
      <c r="AH113" s="173"/>
      <c r="AI113" s="173"/>
      <c r="AJ113" s="173"/>
      <c r="AK113" s="173"/>
      <c r="AL113" s="173"/>
      <c r="AM113" s="173"/>
      <c r="AN113" s="173"/>
      <c r="AO113" s="173"/>
    </row>
    <row r="114" spans="1:41">
      <c r="A114" s="173"/>
      <c r="B114" s="178"/>
      <c r="C114" s="173"/>
      <c r="D114" s="173"/>
      <c r="E114" s="173"/>
      <c r="F114" s="173"/>
      <c r="G114" s="173"/>
      <c r="H114" s="173"/>
      <c r="I114" s="173"/>
      <c r="J114" s="173"/>
      <c r="K114" s="173"/>
      <c r="L114" s="173"/>
      <c r="M114" s="173"/>
      <c r="N114" s="173"/>
      <c r="O114" s="173"/>
      <c r="P114" s="173"/>
      <c r="Q114" s="173"/>
      <c r="R114" s="173"/>
      <c r="S114" s="173"/>
      <c r="T114" s="173"/>
      <c r="U114" s="173"/>
      <c r="V114" s="173"/>
      <c r="W114" s="173"/>
      <c r="X114" s="173"/>
      <c r="Y114" s="173"/>
      <c r="Z114" s="173"/>
      <c r="AA114" s="173"/>
      <c r="AB114" s="173"/>
      <c r="AC114" s="173"/>
      <c r="AD114" s="173"/>
      <c r="AE114" s="173"/>
      <c r="AF114" s="173"/>
      <c r="AG114" s="173"/>
      <c r="AH114" s="173"/>
      <c r="AI114" s="173"/>
      <c r="AJ114" s="173"/>
      <c r="AK114" s="173"/>
      <c r="AL114" s="173"/>
      <c r="AM114" s="173"/>
      <c r="AN114" s="173"/>
      <c r="AO114" s="173"/>
    </row>
    <row r="115" spans="1:41">
      <c r="A115" s="173"/>
      <c r="B115" s="178"/>
      <c r="C115" s="178"/>
      <c r="D115" s="178"/>
      <c r="E115" s="178"/>
      <c r="F115" s="178"/>
      <c r="G115" s="178"/>
      <c r="H115" s="178"/>
      <c r="I115" s="178"/>
      <c r="J115" s="173"/>
      <c r="K115" s="173"/>
      <c r="L115" s="173"/>
      <c r="M115" s="173"/>
      <c r="N115" s="173"/>
      <c r="O115" s="173"/>
      <c r="P115" s="173"/>
      <c r="Q115" s="173"/>
      <c r="R115" s="173"/>
      <c r="S115" s="173"/>
      <c r="T115" s="173"/>
      <c r="U115" s="173"/>
      <c r="V115" s="173"/>
      <c r="W115" s="173"/>
      <c r="X115" s="173"/>
      <c r="Y115" s="173"/>
      <c r="Z115" s="173"/>
      <c r="AA115" s="173"/>
      <c r="AB115" s="173"/>
      <c r="AC115" s="173"/>
      <c r="AD115" s="173"/>
      <c r="AE115" s="173"/>
      <c r="AF115" s="173"/>
      <c r="AG115" s="173"/>
      <c r="AH115" s="173"/>
      <c r="AI115" s="173"/>
      <c r="AJ115" s="173"/>
      <c r="AK115" s="173"/>
      <c r="AL115" s="173"/>
      <c r="AM115" s="173"/>
      <c r="AN115" s="173"/>
      <c r="AO115" s="173"/>
    </row>
    <row r="116" spans="1:41">
      <c r="A116" s="173"/>
      <c r="B116" s="173"/>
      <c r="C116" s="173"/>
      <c r="D116" s="173"/>
      <c r="E116" s="173"/>
      <c r="F116" s="173"/>
      <c r="G116" s="173"/>
      <c r="H116" s="173"/>
      <c r="I116" s="173"/>
      <c r="J116" s="173"/>
      <c r="K116" s="173"/>
      <c r="L116" s="173"/>
      <c r="M116" s="173"/>
      <c r="N116" s="173"/>
      <c r="O116" s="173"/>
      <c r="P116" s="173"/>
      <c r="Q116" s="173"/>
      <c r="R116" s="173"/>
      <c r="S116" s="173"/>
      <c r="T116" s="173"/>
      <c r="U116" s="173"/>
      <c r="V116" s="173"/>
      <c r="W116" s="173"/>
      <c r="X116" s="173"/>
      <c r="Y116" s="173"/>
      <c r="Z116" s="173"/>
      <c r="AA116" s="173"/>
      <c r="AB116" s="173"/>
      <c r="AC116" s="173"/>
      <c r="AD116" s="173"/>
      <c r="AE116" s="173"/>
      <c r="AF116" s="173"/>
      <c r="AG116" s="173"/>
      <c r="AH116" s="173"/>
      <c r="AI116" s="173"/>
      <c r="AJ116" s="173"/>
      <c r="AK116" s="173"/>
      <c r="AL116" s="173"/>
      <c r="AM116" s="173"/>
      <c r="AN116" s="173"/>
      <c r="AO116" s="173"/>
    </row>
    <row r="117" spans="1:41">
      <c r="A117" s="173"/>
      <c r="B117" s="173"/>
      <c r="C117" s="173"/>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73"/>
      <c r="AB117" s="173"/>
      <c r="AC117" s="173"/>
      <c r="AD117" s="173"/>
      <c r="AE117" s="173"/>
      <c r="AF117" s="173"/>
      <c r="AG117" s="173"/>
      <c r="AH117" s="173"/>
      <c r="AI117" s="173"/>
      <c r="AJ117" s="173"/>
      <c r="AK117" s="173"/>
      <c r="AL117" s="173"/>
      <c r="AM117" s="173"/>
      <c r="AN117" s="173"/>
      <c r="AO117" s="173"/>
    </row>
    <row r="118" spans="1:41">
      <c r="A118" s="173"/>
      <c r="B118" s="178"/>
      <c r="C118" s="178"/>
      <c r="D118" s="178"/>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173"/>
      <c r="AB118" s="173"/>
      <c r="AC118" s="173"/>
      <c r="AD118" s="173"/>
      <c r="AE118" s="173"/>
      <c r="AF118" s="173"/>
      <c r="AG118" s="173"/>
      <c r="AH118" s="173"/>
      <c r="AI118" s="173"/>
      <c r="AJ118" s="173"/>
      <c r="AK118" s="173"/>
      <c r="AL118" s="173"/>
      <c r="AM118" s="173"/>
      <c r="AN118" s="173"/>
      <c r="AO118" s="173"/>
    </row>
    <row r="119" spans="1:41">
      <c r="A119" s="173"/>
      <c r="B119" s="178"/>
      <c r="C119" s="17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173"/>
      <c r="AB119" s="173"/>
      <c r="AC119" s="173"/>
      <c r="AD119" s="173"/>
      <c r="AE119" s="173"/>
      <c r="AF119" s="173"/>
      <c r="AG119" s="173"/>
      <c r="AH119" s="173"/>
      <c r="AI119" s="173"/>
      <c r="AJ119" s="173"/>
      <c r="AK119" s="173"/>
      <c r="AL119" s="173"/>
      <c r="AM119" s="173"/>
      <c r="AN119" s="173"/>
      <c r="AO119" s="173"/>
    </row>
    <row r="120" spans="1:41">
      <c r="A120" s="173"/>
      <c r="B120" s="173"/>
      <c r="C120" s="17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row>
    <row r="121" spans="1:41">
      <c r="A121" s="173"/>
      <c r="B121" s="173"/>
      <c r="C121" s="173"/>
      <c r="D121" s="173"/>
      <c r="E121" s="173"/>
      <c r="F121" s="173"/>
      <c r="G121" s="173"/>
      <c r="H121" s="173"/>
      <c r="I121" s="173"/>
      <c r="J121" s="173"/>
      <c r="K121" s="173"/>
      <c r="L121" s="173"/>
      <c r="M121" s="173"/>
      <c r="N121" s="173"/>
      <c r="O121" s="173"/>
      <c r="P121" s="173"/>
      <c r="Q121" s="173"/>
      <c r="R121" s="173"/>
      <c r="S121" s="173"/>
      <c r="T121" s="173"/>
      <c r="U121" s="173"/>
      <c r="V121" s="173"/>
      <c r="W121" s="173"/>
      <c r="X121" s="173"/>
      <c r="Y121" s="173"/>
      <c r="Z121" s="173"/>
      <c r="AA121" s="173"/>
      <c r="AB121" s="173"/>
      <c r="AC121" s="173"/>
      <c r="AD121" s="173"/>
      <c r="AE121" s="173"/>
      <c r="AF121" s="173"/>
      <c r="AG121" s="173"/>
      <c r="AH121" s="173"/>
      <c r="AI121" s="173"/>
      <c r="AJ121" s="173"/>
      <c r="AK121" s="173"/>
      <c r="AL121" s="173"/>
      <c r="AM121" s="173"/>
      <c r="AN121" s="173"/>
      <c r="AO121" s="173"/>
    </row>
    <row r="122" spans="1:41">
      <c r="A122" s="173"/>
      <c r="B122" s="178"/>
      <c r="C122" s="173"/>
      <c r="D122" s="173"/>
      <c r="E122" s="173"/>
      <c r="F122" s="173"/>
      <c r="G122" s="173"/>
      <c r="H122" s="173"/>
      <c r="I122" s="173"/>
      <c r="J122" s="173"/>
      <c r="K122" s="173"/>
      <c r="L122" s="173"/>
      <c r="M122" s="173"/>
      <c r="N122" s="173"/>
      <c r="O122" s="173"/>
      <c r="P122" s="173"/>
      <c r="Q122" s="173"/>
      <c r="R122" s="173"/>
      <c r="S122" s="173"/>
      <c r="T122" s="173"/>
      <c r="U122" s="173"/>
      <c r="V122" s="173"/>
      <c r="W122" s="173"/>
      <c r="X122" s="173"/>
      <c r="Y122" s="173"/>
      <c r="Z122" s="173"/>
      <c r="AA122" s="173"/>
      <c r="AB122" s="173"/>
      <c r="AC122" s="173"/>
      <c r="AD122" s="173"/>
      <c r="AE122" s="173"/>
      <c r="AF122" s="173"/>
      <c r="AG122" s="173"/>
      <c r="AH122" s="173"/>
      <c r="AI122" s="173"/>
      <c r="AJ122" s="173"/>
      <c r="AK122" s="173"/>
      <c r="AL122" s="173"/>
      <c r="AM122" s="173"/>
      <c r="AN122" s="173"/>
      <c r="AO122" s="173"/>
    </row>
    <row r="123" spans="1:41">
      <c r="A123" s="173"/>
      <c r="B123" s="178"/>
      <c r="C123" s="178"/>
      <c r="D123" s="178"/>
      <c r="E123" s="178"/>
      <c r="F123" s="178"/>
      <c r="G123" s="178"/>
      <c r="H123" s="178"/>
      <c r="I123" s="178"/>
      <c r="J123" s="178"/>
      <c r="K123" s="173"/>
      <c r="L123" s="173"/>
      <c r="M123" s="173"/>
      <c r="N123" s="173"/>
      <c r="O123" s="173"/>
      <c r="P123" s="173"/>
      <c r="Q123" s="173"/>
      <c r="R123" s="173"/>
      <c r="S123" s="173"/>
      <c r="T123" s="173"/>
      <c r="U123" s="173"/>
      <c r="V123" s="173"/>
      <c r="W123" s="173"/>
      <c r="X123" s="173"/>
      <c r="Y123" s="173"/>
      <c r="Z123" s="173"/>
      <c r="AA123" s="173"/>
      <c r="AB123" s="173"/>
      <c r="AC123" s="173"/>
      <c r="AD123" s="173"/>
      <c r="AE123" s="173"/>
      <c r="AF123" s="173"/>
      <c r="AG123" s="173"/>
      <c r="AH123" s="173"/>
      <c r="AI123" s="173"/>
      <c r="AJ123" s="173"/>
      <c r="AK123" s="173"/>
      <c r="AL123" s="173"/>
      <c r="AM123" s="173"/>
      <c r="AN123" s="173"/>
      <c r="AO123" s="173"/>
    </row>
    <row r="124" spans="1:41">
      <c r="A124" s="173"/>
      <c r="B124" s="173"/>
      <c r="C124" s="173"/>
      <c r="D124" s="173"/>
      <c r="E124" s="173"/>
      <c r="F124" s="173"/>
      <c r="G124" s="173"/>
      <c r="H124" s="173"/>
      <c r="I124" s="173"/>
      <c r="J124" s="173"/>
      <c r="K124" s="173"/>
      <c r="L124" s="173"/>
      <c r="M124" s="173"/>
      <c r="N124" s="173"/>
      <c r="O124" s="173"/>
      <c r="P124" s="173"/>
      <c r="Q124" s="173"/>
      <c r="R124" s="173"/>
      <c r="S124" s="173"/>
      <c r="T124" s="173"/>
      <c r="U124" s="173"/>
      <c r="V124" s="173"/>
      <c r="W124" s="173"/>
      <c r="X124" s="173"/>
      <c r="Y124" s="173"/>
      <c r="Z124" s="173"/>
      <c r="AA124" s="173"/>
      <c r="AB124" s="173"/>
      <c r="AC124" s="173"/>
      <c r="AD124" s="173"/>
      <c r="AE124" s="173"/>
      <c r="AF124" s="173"/>
      <c r="AG124" s="173"/>
      <c r="AH124" s="173"/>
      <c r="AI124" s="173"/>
      <c r="AJ124" s="173"/>
      <c r="AK124" s="173"/>
      <c r="AL124" s="173"/>
      <c r="AM124" s="173"/>
      <c r="AN124" s="173"/>
      <c r="AO124" s="173"/>
    </row>
    <row r="125" spans="1:41">
      <c r="A125" s="173"/>
      <c r="B125" s="173"/>
      <c r="C125" s="173"/>
      <c r="D125" s="173"/>
      <c r="E125" s="173"/>
      <c r="F125" s="173"/>
      <c r="G125" s="173"/>
      <c r="H125" s="173"/>
      <c r="I125" s="173"/>
      <c r="J125" s="173"/>
      <c r="K125" s="173"/>
      <c r="L125" s="173"/>
      <c r="M125" s="173"/>
      <c r="N125" s="173"/>
      <c r="O125" s="173"/>
      <c r="P125" s="173"/>
      <c r="Q125" s="173"/>
      <c r="R125" s="173"/>
      <c r="S125" s="173"/>
      <c r="T125" s="173"/>
      <c r="U125" s="173"/>
      <c r="V125" s="173"/>
      <c r="W125" s="173"/>
      <c r="X125" s="173"/>
      <c r="Y125" s="173"/>
      <c r="Z125" s="173"/>
      <c r="AA125" s="173"/>
      <c r="AB125" s="173"/>
      <c r="AC125" s="173"/>
      <c r="AD125" s="173"/>
      <c r="AE125" s="173"/>
      <c r="AF125" s="173"/>
      <c r="AG125" s="173"/>
      <c r="AH125" s="173"/>
      <c r="AI125" s="173"/>
      <c r="AJ125" s="173"/>
      <c r="AK125" s="173"/>
      <c r="AL125" s="173"/>
      <c r="AM125" s="173"/>
      <c r="AN125" s="173"/>
      <c r="AO125" s="173"/>
    </row>
    <row r="126" spans="1:41">
      <c r="A126" s="173"/>
      <c r="B126" s="178"/>
      <c r="C126" s="178"/>
      <c r="D126" s="178"/>
      <c r="E126" s="178"/>
      <c r="F126" s="173"/>
      <c r="G126" s="173"/>
      <c r="H126" s="173"/>
      <c r="I126" s="173"/>
      <c r="J126" s="173"/>
      <c r="K126" s="173"/>
      <c r="L126" s="173"/>
      <c r="M126" s="173"/>
      <c r="N126" s="173"/>
      <c r="O126" s="173"/>
      <c r="P126" s="173"/>
      <c r="Q126" s="173"/>
      <c r="R126" s="173"/>
      <c r="S126" s="173"/>
      <c r="T126" s="173"/>
      <c r="U126" s="173"/>
      <c r="V126" s="173"/>
      <c r="W126" s="173"/>
      <c r="X126" s="173"/>
      <c r="Y126" s="173"/>
      <c r="Z126" s="173"/>
      <c r="AA126" s="173"/>
      <c r="AB126" s="173"/>
      <c r="AC126" s="173"/>
      <c r="AD126" s="173"/>
      <c r="AE126" s="173"/>
      <c r="AF126" s="173"/>
      <c r="AG126" s="173"/>
      <c r="AH126" s="173"/>
      <c r="AI126" s="173"/>
      <c r="AJ126" s="173"/>
      <c r="AK126" s="173"/>
      <c r="AL126" s="173"/>
      <c r="AM126" s="173"/>
      <c r="AN126" s="173"/>
      <c r="AO126" s="173"/>
    </row>
    <row r="127" spans="1:41">
      <c r="A127" s="173"/>
      <c r="B127" s="178"/>
      <c r="C127" s="178"/>
      <c r="D127" s="178"/>
      <c r="E127" s="178"/>
      <c r="F127" s="173"/>
      <c r="G127" s="173"/>
      <c r="H127" s="173"/>
      <c r="I127" s="173"/>
      <c r="J127" s="173"/>
      <c r="K127" s="173"/>
      <c r="L127" s="173"/>
      <c r="M127" s="173"/>
      <c r="N127" s="173"/>
      <c r="O127" s="173"/>
      <c r="P127" s="173"/>
      <c r="Q127" s="173"/>
      <c r="R127" s="173"/>
      <c r="S127" s="173"/>
      <c r="T127" s="173"/>
      <c r="U127" s="173"/>
      <c r="V127" s="173"/>
      <c r="W127" s="173"/>
      <c r="X127" s="173"/>
      <c r="Y127" s="173"/>
      <c r="Z127" s="173"/>
      <c r="AA127" s="173"/>
      <c r="AB127" s="173"/>
      <c r="AC127" s="173"/>
      <c r="AD127" s="173"/>
      <c r="AE127" s="173"/>
      <c r="AF127" s="173"/>
      <c r="AG127" s="173"/>
      <c r="AH127" s="173"/>
      <c r="AI127" s="173"/>
      <c r="AJ127" s="173"/>
      <c r="AK127" s="173"/>
      <c r="AL127" s="173"/>
      <c r="AM127" s="173"/>
      <c r="AN127" s="173"/>
      <c r="AO127" s="173"/>
    </row>
    <row r="128" spans="1:41">
      <c r="A128" s="173"/>
      <c r="B128" s="173"/>
      <c r="C128" s="173"/>
      <c r="D128" s="173"/>
      <c r="E128" s="173"/>
      <c r="F128" s="173"/>
      <c r="G128" s="173"/>
      <c r="H128" s="173"/>
      <c r="I128" s="173"/>
      <c r="J128" s="173"/>
      <c r="K128" s="173"/>
      <c r="L128" s="173"/>
      <c r="M128" s="173"/>
      <c r="N128" s="173"/>
      <c r="O128" s="173"/>
      <c r="P128" s="173"/>
      <c r="Q128" s="173"/>
      <c r="R128" s="173"/>
      <c r="S128" s="173"/>
      <c r="T128" s="173"/>
      <c r="U128" s="173"/>
      <c r="V128" s="173"/>
      <c r="W128" s="173"/>
      <c r="X128" s="173"/>
      <c r="Y128" s="173"/>
      <c r="Z128" s="173"/>
      <c r="AA128" s="173"/>
      <c r="AB128" s="173"/>
      <c r="AC128" s="173"/>
      <c r="AD128" s="173"/>
      <c r="AE128" s="173"/>
      <c r="AF128" s="173"/>
      <c r="AG128" s="173"/>
      <c r="AH128" s="173"/>
      <c r="AI128" s="173"/>
      <c r="AJ128" s="173"/>
      <c r="AK128" s="173"/>
      <c r="AL128" s="173"/>
      <c r="AM128" s="173"/>
      <c r="AN128" s="173"/>
      <c r="AO128" s="173"/>
    </row>
    <row r="129" spans="1:41">
      <c r="A129" s="173"/>
      <c r="B129" s="173"/>
      <c r="C129" s="173"/>
      <c r="D129" s="173"/>
      <c r="E129" s="173"/>
      <c r="F129" s="173"/>
      <c r="G129" s="173"/>
      <c r="H129" s="173"/>
      <c r="I129" s="173"/>
      <c r="J129" s="173"/>
      <c r="K129" s="173"/>
      <c r="L129" s="173"/>
      <c r="M129" s="173"/>
      <c r="N129" s="173"/>
      <c r="O129" s="173"/>
      <c r="P129" s="173"/>
      <c r="Q129" s="173"/>
      <c r="R129" s="173"/>
      <c r="S129" s="173"/>
      <c r="T129" s="173"/>
      <c r="U129" s="173"/>
      <c r="V129" s="173"/>
      <c r="W129" s="173"/>
      <c r="X129" s="173"/>
      <c r="Y129" s="173"/>
      <c r="Z129" s="173"/>
      <c r="AA129" s="173"/>
      <c r="AB129" s="173"/>
      <c r="AC129" s="173"/>
      <c r="AD129" s="173"/>
      <c r="AE129" s="173"/>
      <c r="AF129" s="173"/>
      <c r="AG129" s="173"/>
      <c r="AH129" s="173"/>
      <c r="AI129" s="173"/>
      <c r="AJ129" s="173"/>
      <c r="AK129" s="173"/>
      <c r="AL129" s="173"/>
      <c r="AM129" s="173"/>
      <c r="AN129" s="173"/>
      <c r="AO129" s="173"/>
    </row>
    <row r="130" spans="1:41">
      <c r="A130" s="173"/>
      <c r="B130" s="178"/>
      <c r="C130" s="173"/>
      <c r="D130" s="173"/>
      <c r="E130" s="173"/>
      <c r="F130" s="173"/>
      <c r="G130" s="173"/>
      <c r="H130" s="173"/>
      <c r="I130" s="173"/>
      <c r="J130" s="173"/>
      <c r="K130" s="173"/>
      <c r="L130" s="173"/>
      <c r="M130" s="173"/>
      <c r="N130" s="173"/>
      <c r="O130" s="173"/>
      <c r="P130" s="173"/>
      <c r="Q130" s="173"/>
      <c r="R130" s="173"/>
      <c r="S130" s="173"/>
      <c r="T130" s="173"/>
      <c r="U130" s="173"/>
      <c r="V130" s="173"/>
      <c r="W130" s="173"/>
      <c r="X130" s="173"/>
      <c r="Y130" s="173"/>
      <c r="Z130" s="173"/>
      <c r="AA130" s="173"/>
      <c r="AB130" s="173"/>
      <c r="AC130" s="173"/>
      <c r="AD130" s="173"/>
      <c r="AE130" s="173"/>
      <c r="AF130" s="173"/>
      <c r="AG130" s="173"/>
      <c r="AH130" s="173"/>
      <c r="AI130" s="173"/>
      <c r="AJ130" s="173"/>
      <c r="AK130" s="173"/>
      <c r="AL130" s="173"/>
      <c r="AM130" s="173"/>
      <c r="AN130" s="173"/>
      <c r="AO130" s="173"/>
    </row>
    <row r="131" spans="1:41">
      <c r="A131" s="173"/>
      <c r="B131" s="178"/>
      <c r="C131" s="178"/>
      <c r="D131" s="178"/>
      <c r="E131" s="173"/>
      <c r="F131" s="173"/>
      <c r="G131" s="173"/>
      <c r="H131" s="173"/>
      <c r="I131" s="173"/>
      <c r="J131" s="173"/>
      <c r="K131" s="173"/>
      <c r="L131" s="173"/>
      <c r="M131" s="173"/>
      <c r="N131" s="173"/>
      <c r="O131" s="173"/>
      <c r="P131" s="173"/>
      <c r="Q131" s="173"/>
      <c r="R131" s="173"/>
      <c r="S131" s="173"/>
      <c r="T131" s="173"/>
      <c r="U131" s="173"/>
      <c r="V131" s="173"/>
      <c r="W131" s="173"/>
      <c r="X131" s="173"/>
      <c r="Y131" s="173"/>
      <c r="Z131" s="173"/>
      <c r="AA131" s="173"/>
      <c r="AB131" s="173"/>
      <c r="AC131" s="173"/>
      <c r="AD131" s="173"/>
      <c r="AE131" s="173"/>
      <c r="AF131" s="173"/>
      <c r="AG131" s="173"/>
      <c r="AH131" s="173"/>
      <c r="AI131" s="173"/>
      <c r="AJ131" s="173"/>
      <c r="AK131" s="173"/>
      <c r="AL131" s="173"/>
      <c r="AM131" s="173"/>
      <c r="AN131" s="173"/>
      <c r="AO131" s="173"/>
    </row>
    <row r="132" spans="1:41">
      <c r="A132" s="173"/>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173"/>
      <c r="AM132" s="173"/>
      <c r="AN132" s="173"/>
      <c r="AO132" s="173"/>
    </row>
    <row r="133" spans="1:41">
      <c r="A133" s="173"/>
      <c r="B133" s="173"/>
      <c r="C133" s="173"/>
      <c r="D133" s="173"/>
      <c r="E133" s="173"/>
      <c r="F133" s="173"/>
      <c r="G133" s="173"/>
      <c r="H133" s="173"/>
      <c r="I133" s="173"/>
      <c r="J133" s="173"/>
      <c r="K133" s="173"/>
      <c r="L133" s="173"/>
      <c r="M133" s="173"/>
      <c r="N133" s="173"/>
      <c r="O133" s="173"/>
      <c r="P133" s="173"/>
      <c r="Q133" s="173"/>
      <c r="R133" s="173"/>
      <c r="S133" s="173"/>
      <c r="T133" s="173"/>
      <c r="U133" s="173"/>
      <c r="V133" s="173"/>
      <c r="W133" s="173"/>
      <c r="X133" s="173"/>
      <c r="Y133" s="173"/>
      <c r="Z133" s="173"/>
      <c r="AA133" s="173"/>
      <c r="AB133" s="173"/>
      <c r="AC133" s="173"/>
      <c r="AD133" s="173"/>
      <c r="AE133" s="173"/>
      <c r="AF133" s="173"/>
      <c r="AG133" s="173"/>
      <c r="AH133" s="173"/>
      <c r="AI133" s="173"/>
      <c r="AJ133" s="173"/>
      <c r="AK133" s="173"/>
      <c r="AL133" s="173"/>
      <c r="AM133" s="173"/>
      <c r="AN133" s="173"/>
      <c r="AO133" s="173"/>
    </row>
    <row r="134" spans="1:41">
      <c r="A134" s="173"/>
      <c r="B134" s="178"/>
      <c r="C134" s="178"/>
      <c r="D134" s="178"/>
      <c r="E134" s="178"/>
      <c r="F134" s="173"/>
      <c r="G134" s="173"/>
      <c r="H134" s="173"/>
      <c r="I134" s="173"/>
      <c r="J134" s="173"/>
      <c r="K134" s="173"/>
      <c r="L134" s="173"/>
      <c r="M134" s="173"/>
      <c r="N134" s="173"/>
      <c r="O134" s="173"/>
      <c r="P134" s="173"/>
      <c r="Q134" s="173"/>
      <c r="R134" s="173"/>
      <c r="S134" s="173"/>
      <c r="T134" s="173"/>
      <c r="U134" s="173"/>
      <c r="V134" s="173"/>
      <c r="W134" s="173"/>
      <c r="X134" s="173"/>
      <c r="Y134" s="173"/>
      <c r="Z134" s="173"/>
      <c r="AA134" s="173"/>
      <c r="AB134" s="173"/>
      <c r="AC134" s="173"/>
      <c r="AD134" s="173"/>
      <c r="AE134" s="173"/>
      <c r="AF134" s="173"/>
      <c r="AG134" s="173"/>
      <c r="AH134" s="173"/>
      <c r="AI134" s="173"/>
      <c r="AJ134" s="173"/>
      <c r="AK134" s="173"/>
      <c r="AL134" s="173"/>
      <c r="AM134" s="173"/>
      <c r="AN134" s="173"/>
      <c r="AO134" s="173"/>
    </row>
    <row r="135" spans="1:41">
      <c r="A135" s="173"/>
      <c r="B135" s="178"/>
      <c r="C135" s="173"/>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73"/>
      <c r="AB135" s="173"/>
      <c r="AC135" s="173"/>
      <c r="AD135" s="173"/>
      <c r="AE135" s="173"/>
      <c r="AF135" s="173"/>
      <c r="AG135" s="173"/>
      <c r="AH135" s="173"/>
      <c r="AI135" s="173"/>
      <c r="AJ135" s="173"/>
      <c r="AK135" s="173"/>
      <c r="AL135" s="173"/>
      <c r="AM135" s="173"/>
      <c r="AN135" s="173"/>
      <c r="AO135" s="173"/>
    </row>
    <row r="136" spans="1:41">
      <c r="A136" s="173"/>
      <c r="B136" s="173"/>
      <c r="C136" s="173"/>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73"/>
      <c r="AB136" s="173"/>
      <c r="AC136" s="173"/>
      <c r="AD136" s="173"/>
      <c r="AE136" s="173"/>
      <c r="AF136" s="173"/>
      <c r="AG136" s="173"/>
      <c r="AH136" s="173"/>
      <c r="AI136" s="173"/>
      <c r="AJ136" s="173"/>
      <c r="AK136" s="173"/>
      <c r="AL136" s="173"/>
      <c r="AM136" s="173"/>
      <c r="AN136" s="173"/>
      <c r="AO136" s="173"/>
    </row>
    <row r="137" spans="1:41">
      <c r="A137" s="173"/>
      <c r="B137" s="173"/>
      <c r="C137" s="173"/>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73"/>
      <c r="AB137" s="173"/>
      <c r="AC137" s="173"/>
      <c r="AD137" s="173"/>
      <c r="AE137" s="173"/>
      <c r="AF137" s="173"/>
      <c r="AG137" s="173"/>
      <c r="AH137" s="173"/>
      <c r="AI137" s="173"/>
      <c r="AJ137" s="173"/>
      <c r="AK137" s="173"/>
      <c r="AL137" s="173"/>
      <c r="AM137" s="173"/>
      <c r="AN137" s="173"/>
      <c r="AO137" s="173"/>
    </row>
    <row r="138" spans="1:41">
      <c r="A138" s="173"/>
      <c r="B138" s="178"/>
      <c r="C138" s="178"/>
      <c r="D138" s="178"/>
      <c r="E138" s="178"/>
      <c r="F138" s="178"/>
      <c r="G138" s="178"/>
      <c r="H138" s="178"/>
      <c r="I138" s="173"/>
      <c r="J138" s="173"/>
      <c r="K138" s="173"/>
      <c r="L138" s="173"/>
      <c r="M138" s="173"/>
      <c r="N138" s="173"/>
      <c r="O138" s="173"/>
      <c r="P138" s="173"/>
      <c r="Q138" s="173"/>
      <c r="R138" s="173"/>
      <c r="S138" s="173"/>
      <c r="T138" s="173"/>
      <c r="U138" s="173"/>
      <c r="V138" s="173"/>
      <c r="W138" s="173"/>
      <c r="X138" s="173"/>
      <c r="Y138" s="173"/>
      <c r="Z138" s="173"/>
      <c r="AA138" s="173"/>
      <c r="AB138" s="173"/>
      <c r="AC138" s="173"/>
      <c r="AD138" s="173"/>
      <c r="AE138" s="173"/>
      <c r="AF138" s="173"/>
      <c r="AG138" s="173"/>
      <c r="AH138" s="173"/>
      <c r="AI138" s="173"/>
      <c r="AJ138" s="173"/>
      <c r="AK138" s="173"/>
      <c r="AL138" s="173"/>
      <c r="AM138" s="173"/>
      <c r="AN138" s="173"/>
      <c r="AO138" s="173"/>
    </row>
    <row r="139" spans="1:41">
      <c r="A139" s="173"/>
      <c r="B139" s="178"/>
      <c r="C139" s="178"/>
      <c r="D139" s="178"/>
      <c r="E139" s="178"/>
      <c r="F139" s="178"/>
      <c r="G139" s="178"/>
      <c r="H139" s="178"/>
      <c r="I139" s="178"/>
      <c r="J139" s="178"/>
      <c r="K139" s="173"/>
      <c r="L139" s="173"/>
      <c r="M139" s="173"/>
      <c r="N139" s="173"/>
      <c r="O139" s="173"/>
      <c r="P139" s="173"/>
      <c r="Q139" s="173"/>
      <c r="R139" s="173"/>
      <c r="S139" s="173"/>
      <c r="T139" s="173"/>
      <c r="U139" s="173"/>
      <c r="V139" s="173"/>
      <c r="W139" s="173"/>
      <c r="X139" s="173"/>
      <c r="Y139" s="173"/>
      <c r="Z139" s="173"/>
      <c r="AA139" s="173"/>
      <c r="AB139" s="173"/>
      <c r="AC139" s="173"/>
      <c r="AD139" s="173"/>
      <c r="AE139" s="173"/>
      <c r="AF139" s="173"/>
      <c r="AG139" s="173"/>
      <c r="AH139" s="173"/>
      <c r="AI139" s="173"/>
      <c r="AJ139" s="173"/>
      <c r="AK139" s="173"/>
      <c r="AL139" s="173"/>
      <c r="AM139" s="173"/>
      <c r="AN139" s="173"/>
      <c r="AO139" s="173"/>
    </row>
    <row r="140" spans="1:41">
      <c r="A140" s="173"/>
      <c r="B140" s="173"/>
      <c r="C140" s="173"/>
      <c r="D140" s="173"/>
      <c r="E140" s="173"/>
      <c r="F140" s="173"/>
      <c r="G140" s="173"/>
      <c r="H140" s="173"/>
      <c r="I140" s="173"/>
      <c r="J140" s="173"/>
      <c r="K140" s="173"/>
      <c r="L140" s="173"/>
      <c r="M140" s="173"/>
      <c r="N140" s="173"/>
      <c r="O140" s="173"/>
      <c r="P140" s="173"/>
      <c r="Q140" s="173"/>
      <c r="R140" s="173"/>
      <c r="S140" s="173"/>
      <c r="T140" s="173"/>
      <c r="U140" s="173"/>
      <c r="V140" s="173"/>
      <c r="W140" s="173"/>
      <c r="X140" s="173"/>
      <c r="Y140" s="173"/>
      <c r="Z140" s="173"/>
      <c r="AA140" s="173"/>
      <c r="AB140" s="173"/>
      <c r="AC140" s="173"/>
      <c r="AD140" s="173"/>
      <c r="AE140" s="173"/>
      <c r="AF140" s="173"/>
      <c r="AG140" s="173"/>
      <c r="AH140" s="173"/>
      <c r="AI140" s="173"/>
      <c r="AJ140" s="173"/>
      <c r="AK140" s="173"/>
      <c r="AL140" s="173"/>
      <c r="AM140" s="173"/>
      <c r="AN140" s="173"/>
      <c r="AO140" s="173"/>
    </row>
    <row r="141" spans="1:41">
      <c r="A141" s="173"/>
      <c r="B141" s="173"/>
      <c r="C141" s="173"/>
      <c r="D141" s="173"/>
      <c r="E141" s="173"/>
      <c r="F141" s="173"/>
      <c r="G141" s="173"/>
      <c r="H141" s="173"/>
      <c r="I141" s="173"/>
      <c r="J141" s="173"/>
      <c r="K141" s="173"/>
      <c r="L141" s="173"/>
      <c r="M141" s="173"/>
      <c r="N141" s="173"/>
      <c r="O141" s="173"/>
      <c r="P141" s="173"/>
      <c r="Q141" s="173"/>
      <c r="R141" s="173"/>
      <c r="S141" s="173"/>
      <c r="T141" s="173"/>
      <c r="U141" s="173"/>
      <c r="V141" s="173"/>
      <c r="W141" s="173"/>
      <c r="X141" s="173"/>
      <c r="Y141" s="173"/>
      <c r="Z141" s="173"/>
      <c r="AA141" s="173"/>
      <c r="AB141" s="173"/>
      <c r="AC141" s="173"/>
      <c r="AD141" s="173"/>
      <c r="AE141" s="173"/>
      <c r="AF141" s="173"/>
      <c r="AG141" s="173"/>
      <c r="AH141" s="173"/>
      <c r="AI141" s="173"/>
      <c r="AJ141" s="173"/>
      <c r="AK141" s="173"/>
      <c r="AL141" s="173"/>
      <c r="AM141" s="173"/>
      <c r="AN141" s="173"/>
      <c r="AO141" s="173"/>
    </row>
    <row r="142" spans="1:41">
      <c r="A142" s="173"/>
      <c r="B142" s="173"/>
      <c r="C142" s="173"/>
      <c r="D142" s="173"/>
      <c r="E142" s="173"/>
      <c r="F142" s="173"/>
      <c r="G142" s="173"/>
      <c r="H142" s="173"/>
      <c r="I142" s="173"/>
      <c r="J142" s="173"/>
      <c r="K142" s="173"/>
      <c r="L142" s="173"/>
      <c r="M142" s="173"/>
      <c r="N142" s="173"/>
      <c r="O142" s="173"/>
      <c r="P142" s="173"/>
      <c r="Q142" s="173"/>
      <c r="R142" s="173"/>
      <c r="S142" s="173"/>
      <c r="T142" s="173"/>
      <c r="U142" s="173"/>
      <c r="V142" s="173"/>
      <c r="W142" s="173"/>
      <c r="X142" s="173"/>
      <c r="Y142" s="173"/>
      <c r="Z142" s="173"/>
      <c r="AA142" s="173"/>
      <c r="AB142" s="173"/>
      <c r="AC142" s="173"/>
      <c r="AD142" s="173"/>
      <c r="AE142" s="173"/>
      <c r="AF142" s="173"/>
      <c r="AG142" s="173"/>
      <c r="AH142" s="173"/>
      <c r="AI142" s="173"/>
      <c r="AJ142" s="173"/>
      <c r="AK142" s="173"/>
      <c r="AL142" s="173"/>
      <c r="AM142" s="173"/>
      <c r="AN142" s="173"/>
      <c r="AO142" s="173"/>
    </row>
    <row r="143" spans="1:41">
      <c r="A143" s="173"/>
      <c r="B143" s="178"/>
      <c r="C143" s="178"/>
      <c r="D143" s="178"/>
      <c r="E143" s="178"/>
      <c r="F143" s="173"/>
      <c r="G143" s="173"/>
      <c r="H143" s="173"/>
      <c r="I143" s="173"/>
      <c r="J143" s="173"/>
      <c r="K143" s="173"/>
      <c r="L143" s="173"/>
      <c r="M143" s="173"/>
      <c r="N143" s="173"/>
      <c r="O143" s="173"/>
      <c r="P143" s="173"/>
      <c r="Q143" s="173"/>
      <c r="R143" s="173"/>
      <c r="S143" s="173"/>
      <c r="T143" s="173"/>
      <c r="U143" s="173"/>
      <c r="V143" s="173"/>
      <c r="W143" s="173"/>
      <c r="X143" s="173"/>
      <c r="Y143" s="173"/>
      <c r="Z143" s="173"/>
      <c r="AA143" s="173"/>
      <c r="AB143" s="173"/>
      <c r="AC143" s="173"/>
      <c r="AD143" s="173"/>
      <c r="AE143" s="173"/>
      <c r="AF143" s="173"/>
      <c r="AG143" s="173"/>
      <c r="AH143" s="173"/>
      <c r="AI143" s="173"/>
      <c r="AJ143" s="173"/>
      <c r="AK143" s="173"/>
      <c r="AL143" s="173"/>
      <c r="AM143" s="173"/>
      <c r="AN143" s="173"/>
      <c r="AO143" s="173"/>
    </row>
    <row r="144" spans="1:41">
      <c r="A144" s="173"/>
      <c r="B144" s="173"/>
      <c r="C144" s="173"/>
      <c r="D144" s="173"/>
      <c r="E144" s="173"/>
      <c r="F144" s="173"/>
      <c r="G144" s="173"/>
      <c r="H144" s="173"/>
      <c r="I144" s="173"/>
      <c r="J144" s="173"/>
      <c r="K144" s="173"/>
      <c r="L144" s="173"/>
      <c r="M144" s="173"/>
      <c r="N144" s="173"/>
      <c r="O144" s="173"/>
      <c r="P144" s="173"/>
      <c r="Q144" s="173"/>
      <c r="R144" s="173"/>
      <c r="S144" s="173"/>
      <c r="T144" s="173"/>
      <c r="U144" s="173"/>
      <c r="V144" s="173"/>
      <c r="W144" s="173"/>
      <c r="X144" s="173"/>
      <c r="Y144" s="173"/>
      <c r="Z144" s="173"/>
      <c r="AA144" s="173"/>
      <c r="AB144" s="173"/>
      <c r="AC144" s="173"/>
      <c r="AD144" s="173"/>
      <c r="AE144" s="173"/>
      <c r="AF144" s="173"/>
      <c r="AG144" s="173"/>
      <c r="AH144" s="173"/>
      <c r="AI144" s="173"/>
      <c r="AJ144" s="173"/>
      <c r="AK144" s="173"/>
      <c r="AL144" s="173"/>
      <c r="AM144" s="173"/>
      <c r="AN144" s="173"/>
      <c r="AO144" s="173"/>
    </row>
    <row r="145" spans="1:41">
      <c r="A145" s="173"/>
      <c r="B145" s="173"/>
      <c r="C145" s="173"/>
      <c r="D145" s="173"/>
      <c r="E145" s="173"/>
      <c r="F145" s="173"/>
      <c r="G145" s="173"/>
      <c r="H145" s="173"/>
      <c r="I145" s="173"/>
      <c r="J145" s="173"/>
      <c r="K145" s="173"/>
      <c r="L145" s="173"/>
      <c r="M145" s="173"/>
      <c r="N145" s="173"/>
      <c r="O145" s="173"/>
      <c r="P145" s="173"/>
      <c r="Q145" s="173"/>
      <c r="R145" s="173"/>
      <c r="S145" s="173"/>
      <c r="T145" s="173"/>
      <c r="U145" s="173"/>
      <c r="V145" s="173"/>
      <c r="W145" s="173"/>
      <c r="X145" s="173"/>
      <c r="Y145" s="173"/>
      <c r="Z145" s="173"/>
      <c r="AA145" s="173"/>
      <c r="AB145" s="173"/>
      <c r="AC145" s="173"/>
      <c r="AD145" s="173"/>
      <c r="AE145" s="173"/>
      <c r="AF145" s="173"/>
      <c r="AG145" s="173"/>
      <c r="AH145" s="173"/>
      <c r="AI145" s="173"/>
      <c r="AJ145" s="173"/>
      <c r="AK145" s="173"/>
      <c r="AL145" s="173"/>
      <c r="AM145" s="173"/>
      <c r="AN145" s="173"/>
      <c r="AO145" s="173"/>
    </row>
    <row r="146" spans="1:41">
      <c r="A146" s="173"/>
      <c r="B146" s="178"/>
      <c r="C146" s="178"/>
      <c r="D146" s="178"/>
      <c r="E146" s="178"/>
      <c r="F146" s="173"/>
      <c r="G146" s="173"/>
      <c r="H146" s="173"/>
      <c r="I146" s="173"/>
      <c r="J146" s="173"/>
      <c r="K146" s="173"/>
      <c r="L146" s="173"/>
      <c r="M146" s="173"/>
      <c r="N146" s="173"/>
      <c r="O146" s="173"/>
      <c r="P146" s="173"/>
      <c r="Q146" s="173"/>
      <c r="R146" s="173"/>
      <c r="S146" s="173"/>
      <c r="T146" s="173"/>
      <c r="U146" s="173"/>
      <c r="V146" s="173"/>
      <c r="W146" s="173"/>
      <c r="X146" s="173"/>
      <c r="Y146" s="173"/>
      <c r="Z146" s="173"/>
      <c r="AA146" s="173"/>
      <c r="AB146" s="173"/>
      <c r="AC146" s="173"/>
      <c r="AD146" s="173"/>
      <c r="AE146" s="173"/>
      <c r="AF146" s="173"/>
      <c r="AG146" s="173"/>
      <c r="AH146" s="173"/>
      <c r="AI146" s="173"/>
      <c r="AJ146" s="173"/>
      <c r="AK146" s="173"/>
      <c r="AL146" s="173"/>
      <c r="AM146" s="173"/>
      <c r="AN146" s="173"/>
      <c r="AO146" s="173"/>
    </row>
    <row r="147" spans="1:41">
      <c r="A147" s="173"/>
      <c r="B147" s="178"/>
      <c r="C147" s="173"/>
      <c r="D147" s="173"/>
      <c r="E147" s="173"/>
      <c r="F147" s="173"/>
      <c r="G147" s="173"/>
      <c r="H147" s="173"/>
      <c r="I147" s="173"/>
      <c r="J147" s="173"/>
      <c r="K147" s="173"/>
      <c r="L147" s="173"/>
      <c r="M147" s="173"/>
      <c r="N147" s="173"/>
      <c r="O147" s="173"/>
      <c r="P147" s="173"/>
      <c r="Q147" s="173"/>
      <c r="R147" s="173"/>
      <c r="S147" s="173"/>
      <c r="T147" s="173"/>
      <c r="U147" s="173"/>
      <c r="V147" s="173"/>
      <c r="W147" s="173"/>
      <c r="X147" s="173"/>
      <c r="Y147" s="173"/>
      <c r="Z147" s="173"/>
      <c r="AA147" s="173"/>
      <c r="AB147" s="173"/>
      <c r="AC147" s="173"/>
      <c r="AD147" s="173"/>
      <c r="AE147" s="173"/>
      <c r="AF147" s="173"/>
      <c r="AG147" s="173"/>
      <c r="AH147" s="173"/>
      <c r="AI147" s="173"/>
      <c r="AJ147" s="173"/>
      <c r="AK147" s="173"/>
      <c r="AL147" s="173"/>
      <c r="AM147" s="173"/>
      <c r="AN147" s="173"/>
      <c r="AO147" s="173"/>
    </row>
    <row r="148" spans="1:41">
      <c r="A148" s="173"/>
      <c r="B148" s="173"/>
      <c r="C148" s="173"/>
      <c r="D148" s="173"/>
      <c r="E148" s="173"/>
      <c r="F148" s="173"/>
      <c r="G148" s="173"/>
      <c r="H148" s="173"/>
      <c r="I148" s="173"/>
      <c r="J148" s="173"/>
      <c r="K148" s="173"/>
      <c r="L148" s="173"/>
      <c r="M148" s="173"/>
      <c r="N148" s="173"/>
      <c r="O148" s="173"/>
      <c r="P148" s="173"/>
      <c r="Q148" s="173"/>
      <c r="R148" s="173"/>
      <c r="S148" s="173"/>
      <c r="T148" s="173"/>
      <c r="U148" s="173"/>
      <c r="V148" s="173"/>
      <c r="W148" s="173"/>
      <c r="X148" s="173"/>
      <c r="Y148" s="173"/>
      <c r="Z148" s="173"/>
      <c r="AA148" s="173"/>
      <c r="AB148" s="173"/>
      <c r="AC148" s="173"/>
      <c r="AD148" s="173"/>
      <c r="AE148" s="173"/>
      <c r="AF148" s="173"/>
      <c r="AG148" s="173"/>
      <c r="AH148" s="173"/>
      <c r="AI148" s="173"/>
      <c r="AJ148" s="173"/>
      <c r="AK148" s="173"/>
      <c r="AL148" s="173"/>
      <c r="AM148" s="173"/>
      <c r="AN148" s="173"/>
      <c r="AO148" s="173"/>
    </row>
    <row r="149" spans="1:41">
      <c r="A149" s="173"/>
      <c r="B149" s="173"/>
      <c r="C149" s="173"/>
      <c r="D149" s="173"/>
      <c r="E149" s="173"/>
      <c r="F149" s="173"/>
      <c r="G149" s="173"/>
      <c r="H149" s="173"/>
      <c r="I149" s="173"/>
      <c r="J149" s="173"/>
      <c r="K149" s="173"/>
      <c r="L149" s="173"/>
      <c r="M149" s="173"/>
      <c r="N149" s="173"/>
      <c r="O149" s="173"/>
      <c r="P149" s="173"/>
      <c r="Q149" s="173"/>
      <c r="R149" s="173"/>
      <c r="S149" s="173"/>
      <c r="T149" s="173"/>
      <c r="U149" s="173"/>
      <c r="V149" s="173"/>
      <c r="W149" s="173"/>
      <c r="X149" s="173"/>
      <c r="Y149" s="173"/>
      <c r="Z149" s="173"/>
      <c r="AA149" s="173"/>
      <c r="AB149" s="173"/>
      <c r="AC149" s="173"/>
      <c r="AD149" s="173"/>
      <c r="AE149" s="173"/>
      <c r="AF149" s="173"/>
      <c r="AG149" s="173"/>
      <c r="AH149" s="173"/>
      <c r="AI149" s="173"/>
      <c r="AJ149" s="173"/>
      <c r="AK149" s="173"/>
      <c r="AL149" s="173"/>
      <c r="AM149" s="173"/>
      <c r="AN149" s="173"/>
      <c r="AO149" s="173"/>
    </row>
    <row r="150" spans="1:41">
      <c r="A150" s="173"/>
      <c r="B150" s="178"/>
      <c r="C150" s="178"/>
      <c r="D150" s="178"/>
      <c r="E150" s="178"/>
      <c r="F150" s="178"/>
      <c r="G150" s="173"/>
      <c r="H150" s="173"/>
      <c r="I150" s="173"/>
      <c r="J150" s="173"/>
      <c r="K150" s="173"/>
      <c r="L150" s="173"/>
      <c r="M150" s="173"/>
      <c r="N150" s="173"/>
      <c r="O150" s="173"/>
      <c r="P150" s="173"/>
      <c r="Q150" s="173"/>
      <c r="R150" s="173"/>
      <c r="S150" s="173"/>
      <c r="T150" s="173"/>
      <c r="U150" s="173"/>
      <c r="V150" s="173"/>
      <c r="W150" s="173"/>
      <c r="X150" s="173"/>
      <c r="Y150" s="173"/>
      <c r="Z150" s="173"/>
      <c r="AA150" s="173"/>
      <c r="AB150" s="173"/>
      <c r="AC150" s="173"/>
      <c r="AD150" s="173"/>
      <c r="AE150" s="173"/>
      <c r="AF150" s="173"/>
      <c r="AG150" s="173"/>
      <c r="AH150" s="173"/>
      <c r="AI150" s="173"/>
      <c r="AJ150" s="173"/>
      <c r="AK150" s="173"/>
      <c r="AL150" s="173"/>
      <c r="AM150" s="173"/>
      <c r="AN150" s="173"/>
      <c r="AO150" s="173"/>
    </row>
    <row r="151" spans="1:41">
      <c r="A151" s="173"/>
      <c r="B151" s="178"/>
      <c r="C151" s="173"/>
      <c r="D151" s="173"/>
      <c r="E151" s="173"/>
      <c r="F151" s="173"/>
      <c r="G151" s="173"/>
      <c r="H151" s="173"/>
      <c r="I151" s="173"/>
      <c r="J151" s="173"/>
      <c r="K151" s="173"/>
      <c r="L151" s="173"/>
      <c r="M151" s="173"/>
      <c r="N151" s="173"/>
      <c r="O151" s="173"/>
      <c r="P151" s="173"/>
      <c r="Q151" s="173"/>
      <c r="R151" s="173"/>
      <c r="S151" s="173"/>
      <c r="T151" s="173"/>
      <c r="U151" s="173"/>
      <c r="V151" s="173"/>
      <c r="W151" s="173"/>
      <c r="X151" s="173"/>
      <c r="Y151" s="173"/>
      <c r="Z151" s="173"/>
      <c r="AA151" s="173"/>
      <c r="AB151" s="173"/>
      <c r="AC151" s="173"/>
      <c r="AD151" s="173"/>
      <c r="AE151" s="173"/>
      <c r="AF151" s="173"/>
      <c r="AG151" s="173"/>
      <c r="AH151" s="173"/>
      <c r="AI151" s="173"/>
      <c r="AJ151" s="173"/>
      <c r="AK151" s="173"/>
      <c r="AL151" s="173"/>
      <c r="AM151" s="173"/>
      <c r="AN151" s="173"/>
      <c r="AO151" s="173"/>
    </row>
    <row r="152" spans="1:41">
      <c r="A152" s="173"/>
      <c r="B152" s="173"/>
      <c r="C152" s="173"/>
      <c r="D152" s="173"/>
      <c r="E152" s="173"/>
      <c r="F152" s="173"/>
      <c r="G152" s="173"/>
      <c r="H152" s="173"/>
      <c r="I152" s="173"/>
      <c r="J152" s="173"/>
      <c r="K152" s="173"/>
      <c r="L152" s="173"/>
      <c r="M152" s="173"/>
      <c r="N152" s="173"/>
      <c r="O152" s="173"/>
      <c r="P152" s="173"/>
      <c r="Q152" s="173"/>
      <c r="R152" s="173"/>
      <c r="S152" s="173"/>
      <c r="T152" s="173"/>
      <c r="U152" s="173"/>
      <c r="V152" s="173"/>
      <c r="W152" s="173"/>
      <c r="X152" s="173"/>
      <c r="Y152" s="173"/>
      <c r="Z152" s="173"/>
      <c r="AA152" s="173"/>
      <c r="AB152" s="173"/>
      <c r="AC152" s="173"/>
      <c r="AD152" s="173"/>
      <c r="AE152" s="173"/>
      <c r="AF152" s="173"/>
      <c r="AG152" s="173"/>
      <c r="AH152" s="173"/>
      <c r="AI152" s="173"/>
      <c r="AJ152" s="173"/>
      <c r="AK152" s="173"/>
      <c r="AL152" s="173"/>
      <c r="AM152" s="173"/>
      <c r="AN152" s="173"/>
      <c r="AO152" s="173"/>
    </row>
    <row r="153" spans="1:41">
      <c r="A153" s="173"/>
      <c r="B153" s="173"/>
      <c r="C153" s="173"/>
      <c r="D153" s="173"/>
      <c r="E153" s="173"/>
      <c r="F153" s="173"/>
      <c r="G153" s="173"/>
      <c r="H153" s="173"/>
      <c r="I153" s="173"/>
      <c r="J153" s="173"/>
      <c r="K153" s="173"/>
      <c r="L153" s="173"/>
      <c r="M153" s="173"/>
      <c r="N153" s="173"/>
      <c r="O153" s="173"/>
      <c r="P153" s="173"/>
      <c r="Q153" s="173"/>
      <c r="R153" s="173"/>
      <c r="S153" s="173"/>
      <c r="T153" s="173"/>
      <c r="U153" s="173"/>
      <c r="V153" s="173"/>
      <c r="W153" s="173"/>
      <c r="X153" s="173"/>
      <c r="Y153" s="173"/>
      <c r="Z153" s="173"/>
      <c r="AA153" s="173"/>
      <c r="AB153" s="173"/>
      <c r="AC153" s="173"/>
      <c r="AD153" s="173"/>
      <c r="AE153" s="173"/>
      <c r="AF153" s="173"/>
      <c r="AG153" s="173"/>
      <c r="AH153" s="173"/>
      <c r="AI153" s="173"/>
      <c r="AJ153" s="173"/>
      <c r="AK153" s="173"/>
      <c r="AL153" s="173"/>
      <c r="AM153" s="173"/>
      <c r="AN153" s="173"/>
      <c r="AO153" s="173"/>
    </row>
    <row r="154" spans="1:41">
      <c r="A154" s="173"/>
      <c r="B154" s="178"/>
      <c r="C154" s="178"/>
      <c r="D154" s="173"/>
      <c r="E154" s="178"/>
      <c r="F154" s="178"/>
      <c r="G154" s="178"/>
      <c r="H154" s="178"/>
      <c r="I154" s="173"/>
      <c r="J154" s="173"/>
      <c r="K154" s="173"/>
      <c r="L154" s="173"/>
      <c r="M154" s="173"/>
      <c r="N154" s="173"/>
      <c r="O154" s="173"/>
      <c r="P154" s="173"/>
      <c r="Q154" s="173"/>
      <c r="R154" s="173"/>
      <c r="S154" s="173"/>
      <c r="T154" s="173"/>
      <c r="U154" s="173"/>
      <c r="V154" s="173"/>
      <c r="W154" s="173"/>
      <c r="X154" s="173"/>
      <c r="Y154" s="173"/>
      <c r="Z154" s="173"/>
      <c r="AA154" s="173"/>
      <c r="AB154" s="173"/>
      <c r="AC154" s="173"/>
      <c r="AD154" s="173"/>
      <c r="AE154" s="173"/>
      <c r="AF154" s="173"/>
      <c r="AG154" s="173"/>
      <c r="AH154" s="173"/>
      <c r="AI154" s="173"/>
      <c r="AJ154" s="173"/>
      <c r="AK154" s="173"/>
      <c r="AL154" s="173"/>
      <c r="AM154" s="173"/>
      <c r="AN154" s="173"/>
      <c r="AO154" s="173"/>
    </row>
    <row r="155" spans="1:41">
      <c r="A155" s="173"/>
      <c r="B155" s="178"/>
      <c r="C155" s="178"/>
      <c r="D155" s="178"/>
      <c r="E155" s="178"/>
      <c r="F155" s="178"/>
      <c r="G155" s="178"/>
      <c r="H155" s="178"/>
      <c r="I155" s="173"/>
      <c r="J155" s="173"/>
      <c r="K155" s="173"/>
      <c r="L155" s="173"/>
      <c r="M155" s="173"/>
      <c r="N155" s="173"/>
      <c r="O155" s="173"/>
      <c r="P155" s="173"/>
      <c r="Q155" s="173"/>
      <c r="R155" s="173"/>
      <c r="S155" s="173"/>
      <c r="T155" s="173"/>
      <c r="U155" s="173"/>
      <c r="V155" s="173"/>
      <c r="W155" s="173"/>
      <c r="X155" s="173"/>
      <c r="Y155" s="173"/>
      <c r="Z155" s="173"/>
      <c r="AA155" s="173"/>
      <c r="AB155" s="173"/>
      <c r="AC155" s="173"/>
      <c r="AD155" s="173"/>
      <c r="AE155" s="173"/>
      <c r="AF155" s="173"/>
      <c r="AG155" s="173"/>
      <c r="AH155" s="173"/>
      <c r="AI155" s="173"/>
      <c r="AJ155" s="173"/>
      <c r="AK155" s="173"/>
      <c r="AL155" s="173"/>
      <c r="AM155" s="173"/>
      <c r="AN155" s="173"/>
      <c r="AO155" s="173"/>
    </row>
    <row r="156" spans="1:41">
      <c r="A156" s="173"/>
      <c r="B156" s="173"/>
      <c r="C156" s="173"/>
      <c r="D156" s="173"/>
      <c r="E156" s="173"/>
      <c r="F156" s="173"/>
      <c r="G156" s="173"/>
      <c r="H156" s="173"/>
      <c r="I156" s="173"/>
      <c r="J156" s="173"/>
      <c r="K156" s="173"/>
      <c r="L156" s="173"/>
      <c r="M156" s="173"/>
      <c r="N156" s="173"/>
      <c r="O156" s="173"/>
      <c r="P156" s="173"/>
      <c r="Q156" s="173"/>
      <c r="R156" s="173"/>
      <c r="S156" s="173"/>
      <c r="T156" s="173"/>
      <c r="U156" s="173"/>
      <c r="V156" s="173"/>
      <c r="W156" s="173"/>
      <c r="X156" s="173"/>
      <c r="Y156" s="173"/>
      <c r="Z156" s="173"/>
      <c r="AA156" s="173"/>
      <c r="AB156" s="173"/>
      <c r="AC156" s="173"/>
      <c r="AD156" s="173"/>
      <c r="AE156" s="173"/>
      <c r="AF156" s="173"/>
      <c r="AG156" s="173"/>
      <c r="AH156" s="173"/>
      <c r="AI156" s="173"/>
      <c r="AJ156" s="173"/>
      <c r="AK156" s="173"/>
      <c r="AL156" s="173"/>
      <c r="AM156" s="173"/>
      <c r="AN156" s="173"/>
      <c r="AO156" s="173"/>
    </row>
    <row r="157" spans="1:41">
      <c r="A157" s="173"/>
      <c r="B157" s="173"/>
      <c r="C157" s="173"/>
      <c r="D157" s="173"/>
      <c r="E157" s="173"/>
      <c r="F157" s="173"/>
      <c r="G157" s="173"/>
      <c r="H157" s="173"/>
      <c r="I157" s="173"/>
      <c r="J157" s="173"/>
      <c r="K157" s="173"/>
      <c r="L157" s="173"/>
      <c r="M157" s="173"/>
      <c r="N157" s="173"/>
      <c r="O157" s="173"/>
      <c r="P157" s="173"/>
      <c r="Q157" s="173"/>
      <c r="R157" s="173"/>
      <c r="S157" s="173"/>
      <c r="T157" s="173"/>
      <c r="U157" s="173"/>
      <c r="V157" s="173"/>
      <c r="W157" s="173"/>
      <c r="X157" s="173"/>
      <c r="Y157" s="173"/>
      <c r="Z157" s="173"/>
      <c r="AA157" s="173"/>
      <c r="AB157" s="173"/>
      <c r="AC157" s="173"/>
      <c r="AD157" s="173"/>
      <c r="AE157" s="173"/>
      <c r="AF157" s="173"/>
      <c r="AG157" s="173"/>
      <c r="AH157" s="173"/>
      <c r="AI157" s="173"/>
      <c r="AJ157" s="173"/>
      <c r="AK157" s="173"/>
      <c r="AL157" s="173"/>
      <c r="AM157" s="173"/>
      <c r="AN157" s="173"/>
      <c r="AO157" s="173"/>
    </row>
    <row r="158" spans="1:41">
      <c r="A158" s="173"/>
      <c r="B158" s="178"/>
      <c r="C158" s="178"/>
      <c r="D158" s="178"/>
      <c r="E158" s="178"/>
      <c r="F158" s="178"/>
      <c r="G158" s="173"/>
      <c r="H158" s="173"/>
      <c r="I158" s="173"/>
      <c r="J158" s="173"/>
      <c r="K158" s="173"/>
      <c r="L158" s="173"/>
      <c r="M158" s="173"/>
      <c r="N158" s="173"/>
      <c r="O158" s="173"/>
      <c r="P158" s="173"/>
      <c r="Q158" s="173"/>
      <c r="R158" s="173"/>
      <c r="S158" s="173"/>
      <c r="T158" s="173"/>
      <c r="U158" s="173"/>
      <c r="V158" s="173"/>
      <c r="W158" s="173"/>
      <c r="X158" s="173"/>
      <c r="Y158" s="173"/>
      <c r="Z158" s="173"/>
      <c r="AA158" s="173"/>
      <c r="AB158" s="173"/>
      <c r="AC158" s="173"/>
      <c r="AD158" s="173"/>
      <c r="AE158" s="173"/>
      <c r="AF158" s="173"/>
      <c r="AG158" s="173"/>
      <c r="AH158" s="173"/>
      <c r="AI158" s="173"/>
      <c r="AJ158" s="173"/>
      <c r="AK158" s="173"/>
      <c r="AL158" s="173"/>
      <c r="AM158" s="173"/>
      <c r="AN158" s="173"/>
      <c r="AO158" s="173"/>
    </row>
    <row r="159" spans="1:41">
      <c r="A159" s="173"/>
      <c r="B159" s="178"/>
      <c r="C159" s="178"/>
      <c r="D159" s="178"/>
      <c r="E159" s="178"/>
      <c r="F159" s="178"/>
      <c r="G159" s="173"/>
      <c r="H159" s="173"/>
      <c r="I159" s="173"/>
      <c r="J159" s="173"/>
      <c r="K159" s="173"/>
      <c r="L159" s="173"/>
      <c r="M159" s="173"/>
      <c r="N159" s="173"/>
      <c r="O159" s="173"/>
      <c r="P159" s="173"/>
      <c r="Q159" s="173"/>
      <c r="R159" s="173"/>
      <c r="S159" s="173"/>
      <c r="T159" s="173"/>
      <c r="U159" s="173"/>
      <c r="V159" s="173"/>
      <c r="W159" s="173"/>
      <c r="X159" s="173"/>
      <c r="Y159" s="173"/>
      <c r="Z159" s="173"/>
      <c r="AA159" s="173"/>
      <c r="AB159" s="173"/>
      <c r="AC159" s="173"/>
      <c r="AD159" s="173"/>
      <c r="AE159" s="173"/>
      <c r="AF159" s="173"/>
      <c r="AG159" s="173"/>
      <c r="AH159" s="173"/>
      <c r="AI159" s="173"/>
      <c r="AJ159" s="173"/>
      <c r="AK159" s="173"/>
      <c r="AL159" s="173"/>
      <c r="AM159" s="173"/>
      <c r="AN159" s="173"/>
      <c r="AO159" s="173"/>
    </row>
    <row r="160" spans="1:41">
      <c r="A160" s="173"/>
      <c r="B160" s="173"/>
      <c r="C160" s="173"/>
      <c r="D160" s="173"/>
      <c r="E160" s="173"/>
      <c r="F160" s="173"/>
      <c r="G160" s="173"/>
      <c r="H160" s="173"/>
      <c r="I160" s="173"/>
      <c r="J160" s="173"/>
      <c r="K160" s="173"/>
      <c r="L160" s="173"/>
      <c r="M160" s="173"/>
      <c r="N160" s="173"/>
      <c r="O160" s="173"/>
      <c r="P160" s="173"/>
      <c r="Q160" s="173"/>
      <c r="R160" s="173"/>
      <c r="S160" s="173"/>
      <c r="T160" s="173"/>
      <c r="U160" s="173"/>
      <c r="V160" s="173"/>
      <c r="W160" s="173"/>
      <c r="X160" s="173"/>
      <c r="Y160" s="173"/>
      <c r="Z160" s="173"/>
      <c r="AA160" s="173"/>
      <c r="AB160" s="173"/>
      <c r="AC160" s="173"/>
      <c r="AD160" s="173"/>
      <c r="AE160" s="173"/>
      <c r="AF160" s="173"/>
      <c r="AG160" s="173"/>
      <c r="AH160" s="173"/>
      <c r="AI160" s="173"/>
      <c r="AJ160" s="173"/>
      <c r="AK160" s="173"/>
      <c r="AL160" s="173"/>
      <c r="AM160" s="173"/>
      <c r="AN160" s="173"/>
      <c r="AO160" s="173"/>
    </row>
    <row r="161" spans="1:41">
      <c r="A161" s="173"/>
      <c r="B161" s="173"/>
      <c r="C161" s="173"/>
      <c r="D161" s="173"/>
      <c r="E161" s="173"/>
      <c r="F161" s="173"/>
      <c r="G161" s="173"/>
      <c r="H161" s="173"/>
      <c r="I161" s="173"/>
      <c r="J161" s="173"/>
      <c r="K161" s="173"/>
      <c r="L161" s="173"/>
      <c r="M161" s="173"/>
      <c r="N161" s="173"/>
      <c r="O161" s="173"/>
      <c r="P161" s="173"/>
      <c r="Q161" s="173"/>
      <c r="R161" s="173"/>
      <c r="S161" s="173"/>
      <c r="T161" s="173"/>
      <c r="U161" s="173"/>
      <c r="V161" s="173"/>
      <c r="W161" s="173"/>
      <c r="X161" s="173"/>
      <c r="Y161" s="173"/>
      <c r="Z161" s="173"/>
      <c r="AA161" s="173"/>
      <c r="AB161" s="173"/>
      <c r="AC161" s="173"/>
      <c r="AD161" s="173"/>
      <c r="AE161" s="173"/>
      <c r="AF161" s="173"/>
      <c r="AG161" s="173"/>
      <c r="AH161" s="173"/>
      <c r="AI161" s="173"/>
      <c r="AJ161" s="173"/>
      <c r="AK161" s="173"/>
      <c r="AL161" s="173"/>
      <c r="AM161" s="173"/>
      <c r="AN161" s="173"/>
      <c r="AO161" s="173"/>
    </row>
    <row r="162" spans="1:41">
      <c r="A162" s="173"/>
      <c r="B162" s="181"/>
      <c r="C162" s="181"/>
      <c r="D162" s="181"/>
      <c r="E162" s="181"/>
      <c r="F162" s="181"/>
      <c r="G162" s="181"/>
      <c r="H162" s="181"/>
      <c r="I162" s="181"/>
      <c r="J162" s="181"/>
      <c r="K162" s="181"/>
      <c r="L162" s="181"/>
      <c r="M162" s="181"/>
      <c r="N162" s="181"/>
      <c r="O162" s="173"/>
      <c r="P162" s="173"/>
      <c r="Q162" s="173"/>
      <c r="R162" s="173"/>
      <c r="S162" s="173"/>
      <c r="T162" s="173"/>
      <c r="U162" s="173"/>
      <c r="V162" s="173"/>
      <c r="W162" s="173"/>
      <c r="X162" s="173"/>
      <c r="Y162" s="173"/>
      <c r="Z162" s="173"/>
      <c r="AA162" s="173"/>
      <c r="AB162" s="173"/>
      <c r="AC162" s="173"/>
      <c r="AD162" s="173"/>
      <c r="AE162" s="173"/>
      <c r="AF162" s="173"/>
      <c r="AG162" s="173"/>
      <c r="AH162" s="173"/>
      <c r="AI162" s="173"/>
      <c r="AJ162" s="173"/>
      <c r="AK162" s="173"/>
      <c r="AL162" s="173"/>
      <c r="AM162" s="173"/>
      <c r="AN162" s="173"/>
      <c r="AO162" s="173"/>
    </row>
    <row r="163" spans="1:41">
      <c r="A163" s="173"/>
      <c r="B163" s="181"/>
      <c r="C163" s="181"/>
      <c r="D163" s="181"/>
      <c r="E163" s="181"/>
      <c r="F163" s="181"/>
      <c r="G163" s="181"/>
      <c r="H163" s="181"/>
      <c r="I163" s="181"/>
      <c r="J163" s="181"/>
      <c r="K163" s="181"/>
      <c r="L163" s="181"/>
      <c r="M163" s="181"/>
      <c r="N163" s="181"/>
      <c r="O163" s="181"/>
      <c r="P163" s="181"/>
      <c r="Q163" s="173"/>
      <c r="R163" s="173"/>
      <c r="S163" s="173"/>
      <c r="T163" s="173"/>
      <c r="U163" s="173"/>
      <c r="V163" s="173"/>
      <c r="W163" s="173"/>
      <c r="X163" s="173"/>
      <c r="Y163" s="173"/>
      <c r="Z163" s="173"/>
      <c r="AA163" s="173"/>
      <c r="AB163" s="173"/>
      <c r="AC163" s="173"/>
      <c r="AD163" s="173"/>
      <c r="AE163" s="173"/>
      <c r="AF163" s="173"/>
      <c r="AG163" s="173"/>
      <c r="AH163" s="173"/>
      <c r="AI163" s="173"/>
      <c r="AJ163" s="173"/>
      <c r="AK163" s="173"/>
      <c r="AL163" s="173"/>
      <c r="AM163" s="173"/>
      <c r="AN163" s="173"/>
      <c r="AO163" s="173"/>
    </row>
    <row r="164" spans="1:41">
      <c r="A164" s="173"/>
      <c r="B164" s="173"/>
      <c r="C164" s="173"/>
      <c r="D164" s="173"/>
      <c r="E164" s="173"/>
      <c r="F164" s="173"/>
      <c r="G164" s="173"/>
      <c r="H164" s="173"/>
      <c r="I164" s="173"/>
      <c r="J164" s="173"/>
      <c r="K164" s="173"/>
      <c r="L164" s="173"/>
      <c r="M164" s="173"/>
      <c r="N164" s="173"/>
      <c r="O164" s="173"/>
      <c r="P164" s="173"/>
      <c r="Q164" s="173"/>
      <c r="R164" s="173"/>
      <c r="S164" s="173"/>
      <c r="T164" s="173"/>
      <c r="U164" s="173"/>
      <c r="V164" s="173"/>
      <c r="W164" s="173"/>
      <c r="X164" s="173"/>
      <c r="Y164" s="173"/>
      <c r="Z164" s="173"/>
      <c r="AA164" s="173"/>
      <c r="AB164" s="173"/>
      <c r="AC164" s="173"/>
      <c r="AD164" s="173"/>
      <c r="AE164" s="173"/>
      <c r="AF164" s="173"/>
      <c r="AG164" s="173"/>
      <c r="AH164" s="173"/>
      <c r="AI164" s="173"/>
      <c r="AJ164" s="173"/>
      <c r="AK164" s="173"/>
      <c r="AL164" s="173"/>
      <c r="AM164" s="173"/>
      <c r="AN164" s="173"/>
      <c r="AO164" s="173"/>
    </row>
    <row r="165" spans="1:41">
      <c r="A165" s="173"/>
      <c r="B165" s="173"/>
      <c r="C165" s="173"/>
      <c r="D165" s="173"/>
      <c r="E165" s="173"/>
      <c r="F165" s="173"/>
      <c r="G165" s="173"/>
      <c r="H165" s="173"/>
      <c r="I165" s="173"/>
      <c r="J165" s="173"/>
      <c r="K165" s="173"/>
      <c r="L165" s="173"/>
      <c r="M165" s="173"/>
      <c r="N165" s="173"/>
      <c r="O165" s="173"/>
      <c r="P165" s="173"/>
      <c r="Q165" s="173"/>
      <c r="R165" s="173"/>
      <c r="S165" s="173"/>
      <c r="T165" s="173"/>
      <c r="U165" s="173"/>
      <c r="V165" s="173"/>
      <c r="W165" s="173"/>
      <c r="X165" s="173"/>
      <c r="Y165" s="173"/>
      <c r="Z165" s="173"/>
      <c r="AA165" s="173"/>
      <c r="AB165" s="173"/>
      <c r="AC165" s="173"/>
      <c r="AD165" s="173"/>
      <c r="AE165" s="173"/>
      <c r="AF165" s="173"/>
      <c r="AG165" s="173"/>
      <c r="AH165" s="173"/>
      <c r="AI165" s="173"/>
      <c r="AJ165" s="173"/>
      <c r="AK165" s="173"/>
      <c r="AL165" s="173"/>
      <c r="AM165" s="173"/>
      <c r="AN165" s="173"/>
      <c r="AO165" s="173"/>
    </row>
    <row r="166" spans="1:41">
      <c r="A166" s="173"/>
      <c r="B166" s="181"/>
      <c r="C166" s="181"/>
      <c r="D166" s="181"/>
      <c r="E166" s="181"/>
      <c r="F166" s="173"/>
      <c r="G166" s="173"/>
      <c r="H166" s="173"/>
      <c r="I166" s="173"/>
      <c r="J166" s="173"/>
      <c r="K166" s="173"/>
      <c r="L166" s="173"/>
      <c r="M166" s="173"/>
      <c r="N166" s="173"/>
      <c r="O166" s="173"/>
      <c r="P166" s="173"/>
      <c r="Q166" s="173"/>
      <c r="R166" s="173"/>
      <c r="S166" s="173"/>
      <c r="T166" s="173"/>
      <c r="U166" s="173"/>
      <c r="V166" s="173"/>
      <c r="W166" s="173"/>
      <c r="X166" s="173"/>
      <c r="Y166" s="173"/>
      <c r="Z166" s="173"/>
      <c r="AA166" s="173"/>
      <c r="AB166" s="173"/>
      <c r="AC166" s="173"/>
      <c r="AD166" s="173"/>
      <c r="AE166" s="173"/>
      <c r="AF166" s="173"/>
      <c r="AG166" s="173"/>
      <c r="AH166" s="173"/>
      <c r="AI166" s="173"/>
      <c r="AJ166" s="173"/>
      <c r="AK166" s="173"/>
      <c r="AL166" s="173"/>
      <c r="AM166" s="173"/>
      <c r="AN166" s="173"/>
      <c r="AO166" s="173"/>
    </row>
    <row r="167" spans="1:41">
      <c r="A167" s="173"/>
      <c r="B167" s="181"/>
      <c r="C167" s="181"/>
      <c r="D167" s="181"/>
      <c r="E167" s="181"/>
      <c r="F167" s="173"/>
      <c r="G167" s="173"/>
      <c r="H167" s="173"/>
      <c r="I167" s="173"/>
      <c r="J167" s="173"/>
      <c r="K167" s="173"/>
      <c r="L167" s="173"/>
      <c r="M167" s="173"/>
      <c r="N167" s="173"/>
      <c r="O167" s="173"/>
      <c r="P167" s="173"/>
      <c r="Q167" s="173"/>
      <c r="R167" s="173"/>
      <c r="S167" s="173"/>
      <c r="T167" s="173"/>
      <c r="U167" s="173"/>
      <c r="V167" s="173"/>
      <c r="W167" s="173"/>
      <c r="X167" s="173"/>
      <c r="Y167" s="173"/>
      <c r="Z167" s="173"/>
      <c r="AA167" s="173"/>
      <c r="AB167" s="173"/>
      <c r="AC167" s="173"/>
      <c r="AD167" s="173"/>
      <c r="AE167" s="173"/>
      <c r="AF167" s="173"/>
      <c r="AG167" s="173"/>
      <c r="AH167" s="173"/>
      <c r="AI167" s="173"/>
      <c r="AJ167" s="173"/>
      <c r="AK167" s="173"/>
      <c r="AL167" s="173"/>
      <c r="AM167" s="173"/>
      <c r="AN167" s="173"/>
      <c r="AO167" s="173"/>
    </row>
    <row r="168" spans="1:41">
      <c r="A168" s="173"/>
      <c r="B168" s="173"/>
      <c r="C168" s="173"/>
      <c r="D168" s="173"/>
      <c r="E168" s="173"/>
      <c r="F168" s="173"/>
      <c r="G168" s="173"/>
      <c r="H168" s="173"/>
      <c r="I168" s="173"/>
      <c r="J168" s="173"/>
      <c r="K168" s="173"/>
      <c r="L168" s="173"/>
      <c r="M168" s="173"/>
      <c r="N168" s="173"/>
      <c r="O168" s="173"/>
      <c r="P168" s="173"/>
      <c r="Q168" s="173"/>
      <c r="R168" s="173"/>
      <c r="S168" s="173"/>
      <c r="T168" s="173"/>
      <c r="U168" s="173"/>
      <c r="V168" s="173"/>
      <c r="W168" s="173"/>
      <c r="X168" s="173"/>
      <c r="Y168" s="173"/>
      <c r="Z168" s="173"/>
      <c r="AA168" s="173"/>
      <c r="AB168" s="173"/>
      <c r="AC168" s="173"/>
      <c r="AD168" s="173"/>
      <c r="AE168" s="173"/>
      <c r="AF168" s="173"/>
      <c r="AG168" s="173"/>
      <c r="AH168" s="173"/>
      <c r="AI168" s="173"/>
      <c r="AJ168" s="173"/>
      <c r="AK168" s="173"/>
      <c r="AL168" s="173"/>
      <c r="AM168" s="173"/>
      <c r="AN168" s="173"/>
      <c r="AO168" s="173"/>
    </row>
    <row r="169" spans="1:41">
      <c r="A169" s="173"/>
      <c r="B169" s="173"/>
      <c r="C169" s="173"/>
      <c r="D169" s="173"/>
      <c r="E169" s="173"/>
      <c r="F169" s="173"/>
      <c r="G169" s="173"/>
      <c r="H169" s="173"/>
      <c r="I169" s="173"/>
      <c r="J169" s="173"/>
      <c r="K169" s="173"/>
      <c r="L169" s="173"/>
      <c r="M169" s="173"/>
      <c r="N169" s="173"/>
      <c r="O169" s="173"/>
      <c r="P169" s="173"/>
      <c r="Q169" s="173"/>
      <c r="R169" s="173"/>
      <c r="S169" s="173"/>
      <c r="T169" s="173"/>
      <c r="U169" s="173"/>
      <c r="V169" s="173"/>
      <c r="W169" s="173"/>
      <c r="X169" s="173"/>
      <c r="Y169" s="173"/>
      <c r="Z169" s="173"/>
      <c r="AA169" s="173"/>
      <c r="AB169" s="173"/>
      <c r="AC169" s="173"/>
      <c r="AD169" s="173"/>
      <c r="AE169" s="173"/>
      <c r="AF169" s="173"/>
      <c r="AG169" s="173"/>
      <c r="AH169" s="173"/>
      <c r="AI169" s="173"/>
      <c r="AJ169" s="173"/>
      <c r="AK169" s="173"/>
      <c r="AL169" s="173"/>
      <c r="AM169" s="173"/>
      <c r="AN169" s="173"/>
      <c r="AO169" s="173"/>
    </row>
    <row r="170" spans="1:41">
      <c r="A170" s="173"/>
      <c r="B170" s="181"/>
      <c r="C170" s="173"/>
      <c r="D170" s="173"/>
      <c r="E170" s="173"/>
      <c r="F170" s="173"/>
      <c r="G170" s="173"/>
      <c r="H170" s="173"/>
      <c r="I170" s="173"/>
      <c r="J170" s="173"/>
      <c r="K170" s="173"/>
      <c r="L170" s="173"/>
      <c r="M170" s="173"/>
      <c r="N170" s="173"/>
      <c r="O170" s="173"/>
      <c r="P170" s="173"/>
      <c r="Q170" s="173"/>
      <c r="R170" s="173"/>
      <c r="S170" s="173"/>
      <c r="T170" s="173"/>
      <c r="U170" s="173"/>
      <c r="V170" s="173"/>
      <c r="W170" s="173"/>
      <c r="X170" s="173"/>
      <c r="Y170" s="173"/>
      <c r="Z170" s="173"/>
      <c r="AA170" s="173"/>
      <c r="AB170" s="173"/>
      <c r="AC170" s="173"/>
      <c r="AD170" s="173"/>
      <c r="AE170" s="173"/>
      <c r="AF170" s="173"/>
      <c r="AG170" s="173"/>
      <c r="AH170" s="173"/>
      <c r="AI170" s="173"/>
      <c r="AJ170" s="173"/>
      <c r="AK170" s="173"/>
      <c r="AL170" s="173"/>
      <c r="AM170" s="173"/>
      <c r="AN170" s="173"/>
      <c r="AO170" s="173"/>
    </row>
    <row r="171" spans="1:41">
      <c r="A171" s="173"/>
      <c r="B171" s="181"/>
      <c r="C171" s="181"/>
      <c r="D171" s="181"/>
      <c r="E171" s="181"/>
      <c r="F171" s="181"/>
      <c r="G171" s="181"/>
      <c r="H171" s="173"/>
      <c r="I171" s="173"/>
      <c r="J171" s="173"/>
      <c r="K171" s="173"/>
      <c r="L171" s="173"/>
      <c r="M171" s="173"/>
      <c r="N171" s="173"/>
      <c r="O171" s="173"/>
      <c r="P171" s="173"/>
      <c r="Q171" s="173"/>
      <c r="R171" s="173"/>
      <c r="S171" s="173"/>
      <c r="T171" s="173"/>
      <c r="U171" s="173"/>
      <c r="V171" s="173"/>
      <c r="W171" s="173"/>
      <c r="X171" s="173"/>
      <c r="Y171" s="173"/>
      <c r="Z171" s="173"/>
      <c r="AA171" s="173"/>
      <c r="AB171" s="173"/>
      <c r="AC171" s="173"/>
      <c r="AD171" s="173"/>
      <c r="AE171" s="173"/>
      <c r="AF171" s="173"/>
      <c r="AG171" s="173"/>
      <c r="AH171" s="173"/>
      <c r="AI171" s="173"/>
      <c r="AJ171" s="173"/>
      <c r="AK171" s="173"/>
      <c r="AL171" s="173"/>
      <c r="AM171" s="173"/>
      <c r="AN171" s="173"/>
      <c r="AO171" s="173"/>
    </row>
    <row r="172" spans="1:41">
      <c r="A172" s="173"/>
      <c r="B172" s="173"/>
      <c r="C172" s="173"/>
      <c r="D172" s="173"/>
      <c r="E172" s="173"/>
      <c r="F172" s="173"/>
      <c r="G172" s="173"/>
      <c r="H172" s="173"/>
      <c r="I172" s="173"/>
      <c r="J172" s="173"/>
      <c r="K172" s="173"/>
      <c r="L172" s="173"/>
      <c r="M172" s="173"/>
      <c r="N172" s="173"/>
      <c r="O172" s="173"/>
      <c r="P172" s="173"/>
      <c r="Q172" s="173"/>
      <c r="R172" s="173"/>
      <c r="S172" s="173"/>
      <c r="T172" s="173"/>
      <c r="U172" s="173"/>
      <c r="V172" s="173"/>
      <c r="W172" s="173"/>
      <c r="X172" s="173"/>
      <c r="Y172" s="173"/>
      <c r="Z172" s="173"/>
      <c r="AA172" s="173"/>
      <c r="AB172" s="173"/>
      <c r="AC172" s="173"/>
      <c r="AD172" s="173"/>
      <c r="AE172" s="173"/>
      <c r="AF172" s="173"/>
      <c r="AG172" s="173"/>
      <c r="AH172" s="173"/>
      <c r="AI172" s="173"/>
      <c r="AJ172" s="173"/>
      <c r="AK172" s="173"/>
      <c r="AL172" s="173"/>
      <c r="AM172" s="173"/>
      <c r="AN172" s="173"/>
      <c r="AO172" s="173"/>
    </row>
    <row r="173" spans="1:41">
      <c r="A173" s="173"/>
      <c r="B173" s="173"/>
      <c r="C173" s="173"/>
      <c r="D173" s="173"/>
      <c r="E173" s="173"/>
      <c r="F173" s="173"/>
      <c r="G173" s="173"/>
      <c r="H173" s="173"/>
      <c r="I173" s="173"/>
      <c r="J173" s="173"/>
      <c r="K173" s="173"/>
      <c r="L173" s="173"/>
      <c r="M173" s="173"/>
      <c r="N173" s="173"/>
      <c r="O173" s="173"/>
      <c r="P173" s="173"/>
      <c r="Q173" s="173"/>
      <c r="R173" s="173"/>
      <c r="S173" s="173"/>
      <c r="T173" s="173"/>
      <c r="U173" s="173"/>
      <c r="V173" s="173"/>
      <c r="W173" s="173"/>
      <c r="X173" s="173"/>
      <c r="Y173" s="173"/>
      <c r="Z173" s="173"/>
      <c r="AA173" s="173"/>
      <c r="AB173" s="173"/>
      <c r="AC173" s="173"/>
      <c r="AD173" s="173"/>
      <c r="AE173" s="173"/>
      <c r="AF173" s="173"/>
      <c r="AG173" s="173"/>
      <c r="AH173" s="173"/>
      <c r="AI173" s="173"/>
      <c r="AJ173" s="173"/>
      <c r="AK173" s="173"/>
      <c r="AL173" s="173"/>
      <c r="AM173" s="173"/>
      <c r="AN173" s="173"/>
      <c r="AO173" s="173"/>
    </row>
    <row r="174" spans="1:41">
      <c r="A174" s="173"/>
      <c r="B174" s="173"/>
      <c r="C174" s="173"/>
      <c r="D174" s="173"/>
      <c r="E174" s="173"/>
      <c r="F174" s="173"/>
      <c r="G174" s="173"/>
      <c r="H174" s="173"/>
      <c r="I174" s="173"/>
      <c r="J174" s="173"/>
      <c r="K174" s="173"/>
      <c r="L174" s="173"/>
      <c r="M174" s="173"/>
      <c r="N174" s="173"/>
      <c r="O174" s="173"/>
      <c r="P174" s="173"/>
      <c r="Q174" s="173"/>
      <c r="R174" s="173"/>
      <c r="S174" s="173"/>
      <c r="T174" s="173"/>
      <c r="U174" s="173"/>
      <c r="V174" s="173"/>
      <c r="W174" s="173"/>
      <c r="X174" s="173"/>
      <c r="Y174" s="173"/>
      <c r="Z174" s="173"/>
      <c r="AA174" s="173"/>
      <c r="AB174" s="173"/>
      <c r="AC174" s="173"/>
      <c r="AD174" s="173"/>
      <c r="AE174" s="173"/>
      <c r="AF174" s="173"/>
      <c r="AG174" s="173"/>
      <c r="AH174" s="173"/>
      <c r="AI174" s="173"/>
      <c r="AJ174" s="173"/>
      <c r="AK174" s="173"/>
      <c r="AL174" s="173"/>
      <c r="AM174" s="173"/>
      <c r="AN174" s="173"/>
      <c r="AO174" s="173"/>
    </row>
    <row r="175" spans="1:41">
      <c r="A175" s="173"/>
      <c r="B175" s="181"/>
      <c r="C175" s="181"/>
      <c r="D175" s="181"/>
      <c r="E175" s="181"/>
      <c r="F175" s="181"/>
      <c r="G175" s="181"/>
      <c r="H175" s="181"/>
      <c r="I175" s="173"/>
      <c r="J175" s="173"/>
      <c r="K175" s="173"/>
      <c r="L175" s="173"/>
      <c r="M175" s="173"/>
      <c r="N175" s="173"/>
      <c r="O175" s="173"/>
      <c r="P175" s="173"/>
      <c r="Q175" s="173"/>
      <c r="R175" s="173"/>
      <c r="S175" s="173"/>
      <c r="T175" s="173"/>
      <c r="U175" s="173"/>
      <c r="V175" s="173"/>
      <c r="W175" s="173"/>
      <c r="X175" s="173"/>
      <c r="Y175" s="173"/>
      <c r="Z175" s="173"/>
      <c r="AA175" s="173"/>
      <c r="AB175" s="173"/>
      <c r="AC175" s="173"/>
      <c r="AD175" s="173"/>
      <c r="AE175" s="173"/>
      <c r="AF175" s="173"/>
      <c r="AG175" s="173"/>
      <c r="AH175" s="173"/>
      <c r="AI175" s="173"/>
      <c r="AJ175" s="173"/>
      <c r="AK175" s="173"/>
      <c r="AL175" s="173"/>
      <c r="AM175" s="173"/>
      <c r="AN175" s="173"/>
      <c r="AO175" s="173"/>
    </row>
    <row r="176" spans="1:41">
      <c r="A176" s="173"/>
      <c r="B176" s="173"/>
      <c r="C176" s="173"/>
      <c r="D176" s="173"/>
      <c r="E176" s="173"/>
      <c r="F176" s="173"/>
      <c r="G176" s="173"/>
      <c r="H176" s="173"/>
      <c r="I176" s="173"/>
      <c r="J176" s="173"/>
      <c r="K176" s="173"/>
      <c r="L176" s="173"/>
      <c r="M176" s="173"/>
      <c r="N176" s="173"/>
      <c r="O176" s="173"/>
      <c r="P176" s="173"/>
      <c r="Q176" s="173"/>
      <c r="R176" s="173"/>
      <c r="S176" s="173"/>
      <c r="T176" s="173"/>
      <c r="U176" s="173"/>
      <c r="V176" s="173"/>
      <c r="W176" s="173"/>
      <c r="X176" s="173"/>
      <c r="Y176" s="173"/>
      <c r="Z176" s="173"/>
      <c r="AA176" s="173"/>
      <c r="AB176" s="173"/>
      <c r="AC176" s="173"/>
      <c r="AD176" s="173"/>
      <c r="AE176" s="173"/>
      <c r="AF176" s="173"/>
      <c r="AG176" s="173"/>
      <c r="AH176" s="173"/>
      <c r="AI176" s="173"/>
      <c r="AJ176" s="173"/>
      <c r="AK176" s="173"/>
      <c r="AL176" s="173"/>
      <c r="AM176" s="173"/>
      <c r="AN176" s="173"/>
      <c r="AO176" s="173"/>
    </row>
    <row r="177" spans="1:41">
      <c r="A177" s="173"/>
      <c r="B177" s="173"/>
      <c r="C177" s="173"/>
      <c r="D177" s="173"/>
      <c r="E177" s="173"/>
      <c r="F177" s="173"/>
      <c r="G177" s="173"/>
      <c r="H177" s="173"/>
      <c r="I177" s="173"/>
      <c r="J177" s="173"/>
      <c r="K177" s="173"/>
      <c r="L177" s="173"/>
      <c r="M177" s="173"/>
      <c r="N177" s="173"/>
      <c r="O177" s="173"/>
      <c r="P177" s="173"/>
      <c r="Q177" s="173"/>
      <c r="R177" s="173"/>
      <c r="S177" s="173"/>
      <c r="T177" s="173"/>
      <c r="U177" s="173"/>
      <c r="V177" s="173"/>
      <c r="W177" s="173"/>
      <c r="X177" s="173"/>
      <c r="Y177" s="173"/>
      <c r="Z177" s="173"/>
      <c r="AA177" s="173"/>
      <c r="AB177" s="173"/>
      <c r="AC177" s="173"/>
      <c r="AD177" s="173"/>
      <c r="AE177" s="173"/>
      <c r="AF177" s="173"/>
      <c r="AG177" s="173"/>
      <c r="AH177" s="173"/>
      <c r="AI177" s="173"/>
      <c r="AJ177" s="173"/>
      <c r="AK177" s="173"/>
      <c r="AL177" s="173"/>
      <c r="AM177" s="173"/>
      <c r="AN177" s="173"/>
      <c r="AO177" s="173"/>
    </row>
    <row r="178" spans="1:41">
      <c r="A178" s="173"/>
      <c r="B178" s="181"/>
      <c r="C178" s="173"/>
      <c r="D178" s="173"/>
      <c r="E178" s="173"/>
      <c r="F178" s="173"/>
      <c r="G178" s="173"/>
      <c r="H178" s="173"/>
      <c r="I178" s="173"/>
      <c r="J178" s="173"/>
      <c r="K178" s="173"/>
      <c r="L178" s="173"/>
      <c r="M178" s="173"/>
      <c r="N178" s="173"/>
      <c r="O178" s="173"/>
      <c r="P178" s="173"/>
      <c r="Q178" s="173"/>
      <c r="R178" s="173"/>
      <c r="S178" s="173"/>
      <c r="T178" s="173"/>
      <c r="U178" s="173"/>
      <c r="V178" s="173"/>
      <c r="W178" s="173"/>
      <c r="X178" s="173"/>
      <c r="Y178" s="173"/>
      <c r="Z178" s="173"/>
      <c r="AA178" s="173"/>
      <c r="AB178" s="173"/>
      <c r="AC178" s="173"/>
      <c r="AD178" s="173"/>
      <c r="AE178" s="173"/>
      <c r="AF178" s="173"/>
      <c r="AG178" s="173"/>
      <c r="AH178" s="173"/>
      <c r="AI178" s="173"/>
      <c r="AJ178" s="173"/>
      <c r="AK178" s="173"/>
      <c r="AL178" s="173"/>
      <c r="AM178" s="173"/>
      <c r="AN178" s="173"/>
      <c r="AO178" s="173"/>
    </row>
    <row r="179" spans="1:41">
      <c r="A179" s="173"/>
      <c r="B179" s="181"/>
      <c r="C179" s="181"/>
      <c r="D179" s="173"/>
      <c r="E179" s="173"/>
      <c r="F179" s="173"/>
      <c r="G179" s="173"/>
      <c r="H179" s="173"/>
      <c r="I179" s="173"/>
      <c r="J179" s="173"/>
      <c r="K179" s="173"/>
      <c r="L179" s="173"/>
      <c r="M179" s="173"/>
      <c r="N179" s="173"/>
      <c r="O179" s="173"/>
      <c r="P179" s="173"/>
      <c r="Q179" s="173"/>
      <c r="R179" s="173"/>
      <c r="S179" s="173"/>
      <c r="T179" s="173"/>
      <c r="U179" s="173"/>
      <c r="V179" s="173"/>
      <c r="W179" s="173"/>
      <c r="X179" s="173"/>
      <c r="Y179" s="173"/>
      <c r="Z179" s="173"/>
      <c r="AA179" s="173"/>
      <c r="AB179" s="173"/>
      <c r="AC179" s="173"/>
      <c r="AD179" s="173"/>
      <c r="AE179" s="173"/>
      <c r="AF179" s="173"/>
      <c r="AG179" s="173"/>
      <c r="AH179" s="173"/>
      <c r="AI179" s="173"/>
      <c r="AJ179" s="173"/>
      <c r="AK179" s="173"/>
      <c r="AL179" s="173"/>
      <c r="AM179" s="173"/>
      <c r="AN179" s="173"/>
      <c r="AO179" s="173"/>
    </row>
    <row r="180" spans="1:41">
      <c r="A180" s="173"/>
      <c r="B180" s="173"/>
      <c r="C180" s="173"/>
      <c r="D180" s="173"/>
      <c r="E180" s="173"/>
      <c r="F180" s="173"/>
      <c r="G180" s="173"/>
      <c r="H180" s="173"/>
      <c r="I180" s="173"/>
      <c r="J180" s="173"/>
      <c r="K180" s="173"/>
      <c r="L180" s="173"/>
      <c r="M180" s="173"/>
      <c r="N180" s="173"/>
      <c r="O180" s="173"/>
      <c r="P180" s="173"/>
      <c r="Q180" s="173"/>
      <c r="R180" s="173"/>
      <c r="S180" s="173"/>
      <c r="T180" s="173"/>
      <c r="U180" s="173"/>
      <c r="V180" s="173"/>
      <c r="W180" s="173"/>
      <c r="X180" s="173"/>
      <c r="Y180" s="173"/>
      <c r="Z180" s="173"/>
      <c r="AA180" s="173"/>
      <c r="AB180" s="173"/>
      <c r="AC180" s="173"/>
      <c r="AD180" s="173"/>
      <c r="AE180" s="173"/>
      <c r="AF180" s="173"/>
      <c r="AG180" s="173"/>
      <c r="AH180" s="173"/>
      <c r="AI180" s="173"/>
      <c r="AJ180" s="173"/>
      <c r="AK180" s="173"/>
      <c r="AL180" s="173"/>
      <c r="AM180" s="173"/>
      <c r="AN180" s="173"/>
      <c r="AO180" s="173"/>
    </row>
    <row r="181" spans="1:41">
      <c r="A181" s="173"/>
      <c r="B181" s="173"/>
      <c r="C181" s="173"/>
      <c r="D181" s="173"/>
      <c r="E181" s="173"/>
      <c r="F181" s="173"/>
      <c r="G181" s="173"/>
      <c r="H181" s="173"/>
      <c r="I181" s="173"/>
      <c r="J181" s="173"/>
      <c r="K181" s="173"/>
      <c r="L181" s="173"/>
      <c r="M181" s="173"/>
      <c r="N181" s="173"/>
      <c r="O181" s="173"/>
      <c r="P181" s="173"/>
      <c r="Q181" s="173"/>
      <c r="R181" s="173"/>
      <c r="S181" s="173"/>
      <c r="T181" s="173"/>
      <c r="U181" s="173"/>
      <c r="V181" s="173"/>
      <c r="W181" s="173"/>
      <c r="X181" s="173"/>
      <c r="Y181" s="173"/>
      <c r="Z181" s="173"/>
      <c r="AA181" s="173"/>
      <c r="AB181" s="173"/>
      <c r="AC181" s="173"/>
      <c r="AD181" s="173"/>
      <c r="AE181" s="173"/>
      <c r="AF181" s="173"/>
      <c r="AG181" s="173"/>
      <c r="AH181" s="173"/>
      <c r="AI181" s="173"/>
      <c r="AJ181" s="173"/>
      <c r="AK181" s="173"/>
      <c r="AL181" s="173"/>
      <c r="AM181" s="173"/>
      <c r="AN181" s="173"/>
      <c r="AO181" s="173"/>
    </row>
    <row r="182" spans="1:41">
      <c r="A182" s="173"/>
      <c r="B182" s="181"/>
      <c r="C182" s="173"/>
      <c r="D182" s="181"/>
      <c r="E182" s="181"/>
      <c r="F182" s="181"/>
      <c r="G182" s="181"/>
      <c r="H182" s="181"/>
      <c r="I182" s="173"/>
      <c r="J182" s="173"/>
      <c r="K182" s="173"/>
      <c r="L182" s="173"/>
      <c r="M182" s="173"/>
      <c r="N182" s="173"/>
      <c r="O182" s="173"/>
      <c r="P182" s="173"/>
      <c r="Q182" s="173"/>
      <c r="R182" s="173"/>
      <c r="S182" s="173"/>
      <c r="T182" s="173"/>
      <c r="U182" s="173"/>
      <c r="V182" s="173"/>
      <c r="W182" s="173"/>
      <c r="X182" s="173"/>
      <c r="Y182" s="173"/>
      <c r="Z182" s="173"/>
      <c r="AA182" s="173"/>
      <c r="AB182" s="173"/>
      <c r="AC182" s="173"/>
      <c r="AD182" s="173"/>
      <c r="AE182" s="173"/>
      <c r="AF182" s="173"/>
      <c r="AG182" s="173"/>
      <c r="AH182" s="173"/>
      <c r="AI182" s="173"/>
      <c r="AJ182" s="173"/>
      <c r="AK182" s="173"/>
      <c r="AL182" s="173"/>
      <c r="AM182" s="173"/>
      <c r="AN182" s="173"/>
      <c r="AO182" s="173"/>
    </row>
    <row r="183" spans="1:41">
      <c r="A183" s="173"/>
      <c r="B183" s="181"/>
      <c r="C183" s="181"/>
      <c r="D183" s="181"/>
      <c r="E183" s="181"/>
      <c r="F183" s="181"/>
      <c r="G183" s="181"/>
      <c r="H183" s="181"/>
      <c r="I183" s="181"/>
      <c r="J183" s="173"/>
      <c r="K183" s="173"/>
      <c r="L183" s="173"/>
      <c r="M183" s="173"/>
      <c r="N183" s="173"/>
      <c r="O183" s="173"/>
      <c r="P183" s="173"/>
      <c r="Q183" s="173"/>
      <c r="R183" s="173"/>
      <c r="S183" s="173"/>
      <c r="T183" s="173"/>
      <c r="U183" s="173"/>
      <c r="V183" s="173"/>
      <c r="W183" s="173"/>
      <c r="X183" s="173"/>
      <c r="Y183" s="173"/>
      <c r="Z183" s="173"/>
      <c r="AA183" s="173"/>
      <c r="AB183" s="173"/>
      <c r="AC183" s="173"/>
      <c r="AD183" s="173"/>
      <c r="AE183" s="173"/>
      <c r="AF183" s="173"/>
      <c r="AG183" s="173"/>
      <c r="AH183" s="173"/>
      <c r="AI183" s="173"/>
      <c r="AJ183" s="173"/>
      <c r="AK183" s="173"/>
      <c r="AL183" s="173"/>
      <c r="AM183" s="173"/>
      <c r="AN183" s="173"/>
      <c r="AO183" s="173"/>
    </row>
    <row r="184" spans="1:41">
      <c r="A184" s="173"/>
      <c r="B184" s="173"/>
      <c r="C184" s="173"/>
      <c r="D184" s="173"/>
      <c r="E184" s="173"/>
      <c r="F184" s="173"/>
      <c r="G184" s="173"/>
      <c r="H184" s="173"/>
      <c r="I184" s="173"/>
      <c r="J184" s="173"/>
      <c r="K184" s="173"/>
      <c r="L184" s="173"/>
      <c r="M184" s="173"/>
      <c r="N184" s="173"/>
      <c r="O184" s="173"/>
      <c r="P184" s="173"/>
      <c r="Q184" s="173"/>
      <c r="R184" s="173"/>
      <c r="S184" s="173"/>
      <c r="T184" s="173"/>
      <c r="U184" s="173"/>
      <c r="V184" s="173"/>
      <c r="W184" s="173"/>
      <c r="X184" s="173"/>
      <c r="Y184" s="173"/>
      <c r="Z184" s="173"/>
      <c r="AA184" s="173"/>
      <c r="AB184" s="173"/>
      <c r="AC184" s="173"/>
      <c r="AD184" s="173"/>
      <c r="AE184" s="173"/>
      <c r="AF184" s="173"/>
      <c r="AG184" s="173"/>
      <c r="AH184" s="173"/>
      <c r="AI184" s="173"/>
      <c r="AJ184" s="173"/>
      <c r="AK184" s="173"/>
      <c r="AL184" s="173"/>
      <c r="AM184" s="173"/>
      <c r="AN184" s="173"/>
      <c r="AO184" s="173"/>
    </row>
    <row r="185" spans="1:41">
      <c r="A185" s="173"/>
      <c r="B185" s="173"/>
      <c r="C185" s="173"/>
      <c r="D185" s="173"/>
      <c r="E185" s="173"/>
      <c r="F185" s="173"/>
      <c r="G185" s="173"/>
      <c r="H185" s="173"/>
      <c r="I185" s="173"/>
      <c r="J185" s="173"/>
      <c r="K185" s="173"/>
      <c r="L185" s="173"/>
      <c r="M185" s="173"/>
      <c r="N185" s="173"/>
      <c r="O185" s="173"/>
      <c r="P185" s="173"/>
      <c r="Q185" s="173"/>
      <c r="R185" s="173"/>
      <c r="S185" s="173"/>
      <c r="T185" s="173"/>
      <c r="U185" s="173"/>
      <c r="V185" s="173"/>
      <c r="W185" s="173"/>
      <c r="X185" s="173"/>
      <c r="Y185" s="173"/>
      <c r="Z185" s="173"/>
      <c r="AA185" s="173"/>
      <c r="AB185" s="173"/>
      <c r="AC185" s="173"/>
      <c r="AD185" s="173"/>
      <c r="AE185" s="173"/>
      <c r="AF185" s="173"/>
      <c r="AG185" s="173"/>
      <c r="AH185" s="173"/>
      <c r="AI185" s="173"/>
      <c r="AJ185" s="173"/>
      <c r="AK185" s="173"/>
      <c r="AL185" s="173"/>
      <c r="AM185" s="173"/>
      <c r="AN185" s="173"/>
      <c r="AO185" s="173"/>
    </row>
    <row r="186" spans="1:41">
      <c r="A186" s="173"/>
      <c r="B186" s="181"/>
      <c r="C186" s="181"/>
      <c r="D186" s="181"/>
      <c r="E186" s="181"/>
      <c r="F186" s="173"/>
      <c r="G186" s="173"/>
      <c r="H186" s="173"/>
      <c r="I186" s="173"/>
      <c r="J186" s="173"/>
      <c r="K186" s="173"/>
      <c r="L186" s="173"/>
      <c r="M186" s="173"/>
      <c r="N186" s="173"/>
      <c r="O186" s="173"/>
      <c r="P186" s="173"/>
      <c r="Q186" s="173"/>
      <c r="R186" s="173"/>
      <c r="S186" s="173"/>
      <c r="T186" s="173"/>
      <c r="U186" s="173"/>
      <c r="V186" s="173"/>
      <c r="W186" s="173"/>
      <c r="X186" s="173"/>
      <c r="Y186" s="173"/>
      <c r="Z186" s="173"/>
      <c r="AA186" s="173"/>
      <c r="AB186" s="173"/>
      <c r="AC186" s="173"/>
      <c r="AD186" s="173"/>
      <c r="AE186" s="173"/>
      <c r="AF186" s="173"/>
      <c r="AG186" s="173"/>
      <c r="AH186" s="173"/>
      <c r="AI186" s="173"/>
      <c r="AJ186" s="173"/>
      <c r="AK186" s="173"/>
      <c r="AL186" s="173"/>
      <c r="AM186" s="173"/>
      <c r="AN186" s="173"/>
      <c r="AO186" s="173"/>
    </row>
    <row r="187" spans="1:41">
      <c r="A187" s="173"/>
      <c r="B187" s="181"/>
      <c r="C187" s="181"/>
      <c r="D187" s="181"/>
      <c r="E187" s="181"/>
      <c r="F187" s="173"/>
      <c r="G187" s="173"/>
      <c r="H187" s="173"/>
      <c r="I187" s="173"/>
      <c r="J187" s="173"/>
      <c r="K187" s="173"/>
      <c r="L187" s="173"/>
      <c r="M187" s="173"/>
      <c r="N187" s="173"/>
      <c r="O187" s="173"/>
      <c r="P187" s="173"/>
      <c r="Q187" s="173"/>
      <c r="R187" s="173"/>
      <c r="S187" s="173"/>
      <c r="T187" s="173"/>
      <c r="U187" s="173"/>
      <c r="V187" s="173"/>
      <c r="W187" s="173"/>
      <c r="X187" s="173"/>
      <c r="Y187" s="173"/>
      <c r="Z187" s="173"/>
      <c r="AA187" s="173"/>
      <c r="AB187" s="173"/>
      <c r="AC187" s="173"/>
      <c r="AD187" s="173"/>
      <c r="AE187" s="173"/>
      <c r="AF187" s="173"/>
      <c r="AG187" s="173"/>
      <c r="AH187" s="173"/>
      <c r="AI187" s="173"/>
      <c r="AJ187" s="173"/>
      <c r="AK187" s="173"/>
      <c r="AL187" s="173"/>
      <c r="AM187" s="173"/>
      <c r="AN187" s="173"/>
      <c r="AO187" s="173"/>
    </row>
    <row r="188" spans="1:41">
      <c r="A188" s="173"/>
      <c r="B188" s="173"/>
      <c r="C188" s="173"/>
      <c r="D188" s="173"/>
      <c r="E188" s="173"/>
      <c r="F188" s="173"/>
      <c r="G188" s="173"/>
      <c r="H188" s="173"/>
      <c r="I188" s="173"/>
      <c r="J188" s="173"/>
      <c r="K188" s="173"/>
      <c r="L188" s="173"/>
      <c r="M188" s="173"/>
      <c r="N188" s="173"/>
      <c r="O188" s="173"/>
      <c r="P188" s="173"/>
      <c r="Q188" s="173"/>
      <c r="R188" s="173"/>
      <c r="S188" s="173"/>
      <c r="T188" s="173"/>
      <c r="U188" s="173"/>
      <c r="V188" s="173"/>
      <c r="W188" s="173"/>
      <c r="X188" s="173"/>
      <c r="Y188" s="173"/>
      <c r="Z188" s="173"/>
      <c r="AA188" s="173"/>
      <c r="AB188" s="173"/>
      <c r="AC188" s="173"/>
      <c r="AD188" s="173"/>
      <c r="AE188" s="173"/>
      <c r="AF188" s="173"/>
      <c r="AG188" s="173"/>
      <c r="AH188" s="173"/>
      <c r="AI188" s="173"/>
      <c r="AJ188" s="173"/>
      <c r="AK188" s="173"/>
      <c r="AL188" s="173"/>
      <c r="AM188" s="173"/>
      <c r="AN188" s="173"/>
      <c r="AO188" s="173"/>
    </row>
    <row r="189" spans="1:41">
      <c r="A189" s="173"/>
      <c r="B189" s="173"/>
      <c r="C189" s="173"/>
      <c r="D189" s="173"/>
      <c r="E189" s="173"/>
      <c r="F189" s="173"/>
      <c r="G189" s="173"/>
      <c r="H189" s="173"/>
      <c r="I189" s="173"/>
      <c r="J189" s="173"/>
      <c r="K189" s="173"/>
      <c r="L189" s="173"/>
      <c r="M189" s="173"/>
      <c r="N189" s="173"/>
      <c r="O189" s="173"/>
      <c r="P189" s="173"/>
      <c r="Q189" s="173"/>
      <c r="R189" s="173"/>
      <c r="S189" s="173"/>
      <c r="T189" s="173"/>
      <c r="U189" s="173"/>
      <c r="V189" s="173"/>
      <c r="W189" s="173"/>
      <c r="X189" s="173"/>
      <c r="Y189" s="173"/>
      <c r="Z189" s="173"/>
      <c r="AA189" s="173"/>
      <c r="AB189" s="173"/>
      <c r="AC189" s="173"/>
      <c r="AD189" s="173"/>
      <c r="AE189" s="173"/>
      <c r="AF189" s="173"/>
      <c r="AG189" s="173"/>
      <c r="AH189" s="173"/>
      <c r="AI189" s="173"/>
      <c r="AJ189" s="173"/>
      <c r="AK189" s="173"/>
      <c r="AL189" s="173"/>
      <c r="AM189" s="173"/>
      <c r="AN189" s="173"/>
      <c r="AO189" s="173"/>
    </row>
    <row r="190" spans="1:41">
      <c r="A190" s="173"/>
      <c r="B190" s="181"/>
      <c r="C190" s="181"/>
      <c r="D190" s="181"/>
      <c r="E190" s="181"/>
      <c r="F190" s="181"/>
      <c r="G190" s="181"/>
      <c r="H190" s="181"/>
      <c r="I190" s="173"/>
      <c r="J190" s="173"/>
      <c r="K190" s="173"/>
      <c r="L190" s="173"/>
      <c r="M190" s="173"/>
      <c r="N190" s="173"/>
      <c r="O190" s="173"/>
      <c r="P190" s="173"/>
      <c r="Q190" s="173"/>
      <c r="R190" s="173"/>
      <c r="S190" s="173"/>
      <c r="T190" s="173"/>
      <c r="U190" s="173"/>
      <c r="V190" s="173"/>
      <c r="W190" s="173"/>
      <c r="X190" s="173"/>
      <c r="Y190" s="173"/>
      <c r="Z190" s="173"/>
      <c r="AA190" s="173"/>
      <c r="AB190" s="173"/>
      <c r="AC190" s="173"/>
      <c r="AD190" s="173"/>
      <c r="AE190" s="173"/>
      <c r="AF190" s="173"/>
      <c r="AG190" s="173"/>
      <c r="AH190" s="173"/>
      <c r="AI190" s="173"/>
      <c r="AJ190" s="173"/>
      <c r="AK190" s="173"/>
      <c r="AL190" s="173"/>
      <c r="AM190" s="173"/>
      <c r="AN190" s="173"/>
      <c r="AO190" s="173"/>
    </row>
    <row r="191" spans="1:41">
      <c r="A191" s="173"/>
      <c r="B191" s="181"/>
      <c r="C191" s="181"/>
      <c r="D191" s="181"/>
      <c r="E191" s="181"/>
      <c r="F191" s="181"/>
      <c r="G191" s="181"/>
      <c r="H191" s="181"/>
      <c r="I191" s="181"/>
      <c r="J191" s="173"/>
      <c r="K191" s="173"/>
      <c r="L191" s="173"/>
      <c r="M191" s="173"/>
      <c r="N191" s="173"/>
      <c r="O191" s="173"/>
      <c r="P191" s="173"/>
      <c r="Q191" s="173"/>
      <c r="R191" s="173"/>
      <c r="S191" s="173"/>
      <c r="T191" s="173"/>
      <c r="U191" s="173"/>
      <c r="V191" s="173"/>
      <c r="W191" s="173"/>
      <c r="X191" s="173"/>
      <c r="Y191" s="173"/>
      <c r="Z191" s="173"/>
      <c r="AA191" s="173"/>
      <c r="AB191" s="173"/>
      <c r="AC191" s="173"/>
      <c r="AD191" s="173"/>
      <c r="AE191" s="173"/>
      <c r="AF191" s="173"/>
      <c r="AG191" s="173"/>
      <c r="AH191" s="173"/>
      <c r="AI191" s="173"/>
      <c r="AJ191" s="173"/>
      <c r="AK191" s="173"/>
      <c r="AL191" s="173"/>
      <c r="AM191" s="173"/>
      <c r="AN191" s="173"/>
      <c r="AO191" s="173"/>
    </row>
    <row r="192" spans="1:41">
      <c r="A192" s="173"/>
      <c r="B192" s="173"/>
      <c r="C192" s="173"/>
      <c r="D192" s="173"/>
      <c r="E192" s="173"/>
      <c r="F192" s="173"/>
      <c r="G192" s="173"/>
      <c r="H192" s="173"/>
      <c r="I192" s="173"/>
      <c r="J192" s="173"/>
      <c r="K192" s="173"/>
      <c r="L192" s="173"/>
      <c r="M192" s="173"/>
      <c r="N192" s="173"/>
      <c r="O192" s="173"/>
      <c r="P192" s="173"/>
      <c r="Q192" s="173"/>
      <c r="R192" s="173"/>
      <c r="S192" s="173"/>
      <c r="T192" s="173"/>
      <c r="U192" s="173"/>
      <c r="V192" s="173"/>
      <c r="W192" s="173"/>
      <c r="X192" s="173"/>
      <c r="Y192" s="173"/>
      <c r="Z192" s="173"/>
      <c r="AA192" s="173"/>
      <c r="AB192" s="173"/>
      <c r="AC192" s="173"/>
      <c r="AD192" s="173"/>
      <c r="AE192" s="173"/>
      <c r="AF192" s="173"/>
      <c r="AG192" s="173"/>
      <c r="AH192" s="173"/>
      <c r="AI192" s="173"/>
      <c r="AJ192" s="173"/>
      <c r="AK192" s="173"/>
      <c r="AL192" s="173"/>
      <c r="AM192" s="173"/>
      <c r="AN192" s="173"/>
      <c r="AO192" s="173"/>
    </row>
    <row r="193" spans="1:41">
      <c r="A193" s="173"/>
      <c r="B193" s="17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3"/>
      <c r="AC193" s="173"/>
      <c r="AD193" s="173"/>
      <c r="AE193" s="173"/>
      <c r="AF193" s="173"/>
      <c r="AG193" s="173"/>
      <c r="AH193" s="173"/>
      <c r="AI193" s="173"/>
      <c r="AJ193" s="173"/>
      <c r="AK193" s="173"/>
      <c r="AL193" s="173"/>
      <c r="AM193" s="173"/>
      <c r="AN193" s="173"/>
      <c r="AO193" s="173"/>
    </row>
    <row r="194" spans="1:41">
      <c r="A194" s="173"/>
      <c r="B194" s="181"/>
      <c r="C194" s="181"/>
      <c r="D194" s="181"/>
      <c r="E194" s="173"/>
      <c r="F194" s="173"/>
      <c r="G194" s="173"/>
      <c r="H194" s="173"/>
      <c r="I194" s="173"/>
      <c r="J194" s="173"/>
      <c r="K194" s="173"/>
      <c r="L194" s="173"/>
      <c r="M194" s="173"/>
      <c r="N194" s="173"/>
      <c r="O194" s="173"/>
      <c r="P194" s="173"/>
      <c r="Q194" s="173"/>
      <c r="R194" s="173"/>
      <c r="S194" s="173"/>
      <c r="T194" s="173"/>
      <c r="U194" s="173"/>
      <c r="V194" s="173"/>
      <c r="W194" s="173"/>
      <c r="X194" s="173"/>
      <c r="Y194" s="173"/>
      <c r="Z194" s="173"/>
      <c r="AA194" s="173"/>
      <c r="AB194" s="173"/>
      <c r="AC194" s="173"/>
      <c r="AD194" s="173"/>
      <c r="AE194" s="173"/>
      <c r="AF194" s="173"/>
      <c r="AG194" s="173"/>
      <c r="AH194" s="173"/>
      <c r="AI194" s="173"/>
      <c r="AJ194" s="173"/>
      <c r="AK194" s="173"/>
      <c r="AL194" s="173"/>
      <c r="AM194" s="173"/>
      <c r="AN194" s="173"/>
      <c r="AO194" s="173"/>
    </row>
    <row r="195" spans="1:41">
      <c r="A195" s="173"/>
      <c r="B195" s="181"/>
      <c r="C195" s="181"/>
      <c r="D195" s="181"/>
      <c r="E195" s="181"/>
      <c r="F195" s="181"/>
      <c r="G195" s="181"/>
      <c r="H195" s="181"/>
      <c r="I195" s="173"/>
      <c r="J195" s="173"/>
      <c r="K195" s="173"/>
      <c r="L195" s="173"/>
      <c r="M195" s="173"/>
      <c r="N195" s="173"/>
      <c r="O195" s="173"/>
      <c r="P195" s="173"/>
      <c r="Q195" s="173"/>
      <c r="R195" s="173"/>
      <c r="S195" s="173"/>
      <c r="T195" s="173"/>
      <c r="U195" s="173"/>
      <c r="V195" s="173"/>
      <c r="W195" s="173"/>
      <c r="X195" s="173"/>
      <c r="Y195" s="173"/>
      <c r="Z195" s="173"/>
      <c r="AA195" s="173"/>
      <c r="AB195" s="173"/>
      <c r="AC195" s="173"/>
      <c r="AD195" s="173"/>
      <c r="AE195" s="173"/>
      <c r="AF195" s="173"/>
      <c r="AG195" s="173"/>
      <c r="AH195" s="173"/>
      <c r="AI195" s="173"/>
      <c r="AJ195" s="173"/>
      <c r="AK195" s="173"/>
      <c r="AL195" s="173"/>
      <c r="AM195" s="173"/>
      <c r="AN195" s="173"/>
      <c r="AO195" s="173"/>
    </row>
    <row r="196" spans="1:41">
      <c r="A196" s="173"/>
      <c r="B196" s="173"/>
      <c r="C196" s="173"/>
      <c r="D196" s="173"/>
      <c r="E196" s="173"/>
      <c r="F196" s="173"/>
      <c r="G196" s="173"/>
      <c r="H196" s="173"/>
      <c r="I196" s="173"/>
      <c r="J196" s="173"/>
      <c r="K196" s="173"/>
      <c r="L196" s="173"/>
      <c r="M196" s="173"/>
      <c r="N196" s="173"/>
      <c r="O196" s="173"/>
      <c r="P196" s="173"/>
      <c r="Q196" s="173"/>
      <c r="R196" s="173"/>
      <c r="S196" s="173"/>
      <c r="T196" s="173"/>
      <c r="U196" s="173"/>
      <c r="V196" s="173"/>
      <c r="W196" s="173"/>
      <c r="X196" s="173"/>
      <c r="Y196" s="173"/>
      <c r="Z196" s="173"/>
      <c r="AA196" s="173"/>
      <c r="AB196" s="173"/>
      <c r="AC196" s="173"/>
      <c r="AD196" s="173"/>
      <c r="AE196" s="173"/>
      <c r="AF196" s="173"/>
      <c r="AG196" s="173"/>
      <c r="AH196" s="173"/>
      <c r="AI196" s="173"/>
      <c r="AJ196" s="173"/>
      <c r="AK196" s="173"/>
      <c r="AL196" s="173"/>
      <c r="AM196" s="173"/>
      <c r="AN196" s="173"/>
      <c r="AO196" s="173"/>
    </row>
    <row r="197" spans="1:41">
      <c r="A197" s="173"/>
      <c r="B197" s="173"/>
      <c r="C197" s="173"/>
      <c r="D197" s="173"/>
      <c r="E197" s="173"/>
      <c r="F197" s="173"/>
      <c r="G197" s="173"/>
      <c r="H197" s="173"/>
      <c r="I197" s="173"/>
      <c r="J197" s="173"/>
      <c r="K197" s="173"/>
      <c r="L197" s="173"/>
      <c r="M197" s="173"/>
      <c r="N197" s="173"/>
      <c r="O197" s="173"/>
      <c r="P197" s="173"/>
      <c r="Q197" s="173"/>
      <c r="R197" s="173"/>
      <c r="S197" s="173"/>
      <c r="T197" s="173"/>
      <c r="U197" s="173"/>
      <c r="V197" s="173"/>
      <c r="W197" s="173"/>
      <c r="X197" s="173"/>
      <c r="Y197" s="173"/>
      <c r="Z197" s="173"/>
      <c r="AA197" s="173"/>
      <c r="AB197" s="173"/>
      <c r="AC197" s="173"/>
      <c r="AD197" s="173"/>
      <c r="AE197" s="173"/>
      <c r="AF197" s="173"/>
      <c r="AG197" s="173"/>
      <c r="AH197" s="173"/>
      <c r="AI197" s="173"/>
      <c r="AJ197" s="173"/>
      <c r="AK197" s="173"/>
      <c r="AL197" s="173"/>
      <c r="AM197" s="173"/>
      <c r="AN197" s="173"/>
      <c r="AO197" s="173"/>
    </row>
    <row r="198" spans="1:41">
      <c r="A198" s="173"/>
      <c r="B198" s="181"/>
      <c r="C198" s="181"/>
      <c r="D198" s="181"/>
      <c r="E198" s="173"/>
      <c r="F198" s="173"/>
      <c r="G198" s="173"/>
      <c r="H198" s="173"/>
      <c r="I198" s="173"/>
      <c r="J198" s="173"/>
      <c r="K198" s="173"/>
      <c r="L198" s="173"/>
      <c r="M198" s="173"/>
      <c r="N198" s="173"/>
      <c r="O198" s="173"/>
      <c r="P198" s="173"/>
      <c r="Q198" s="173"/>
      <c r="R198" s="173"/>
      <c r="S198" s="173"/>
      <c r="T198" s="173"/>
      <c r="U198" s="173"/>
      <c r="V198" s="173"/>
      <c r="W198" s="173"/>
      <c r="X198" s="173"/>
      <c r="Y198" s="173"/>
      <c r="Z198" s="173"/>
      <c r="AA198" s="173"/>
      <c r="AB198" s="173"/>
      <c r="AC198" s="173"/>
      <c r="AD198" s="173"/>
      <c r="AE198" s="173"/>
      <c r="AF198" s="173"/>
      <c r="AG198" s="173"/>
      <c r="AH198" s="173"/>
      <c r="AI198" s="173"/>
      <c r="AJ198" s="173"/>
      <c r="AK198" s="173"/>
      <c r="AL198" s="173"/>
      <c r="AM198" s="173"/>
      <c r="AN198" s="173"/>
      <c r="AO198" s="173"/>
    </row>
    <row r="199" spans="1:41">
      <c r="A199" s="173"/>
      <c r="B199" s="181"/>
      <c r="C199" s="173"/>
      <c r="D199" s="173"/>
      <c r="E199" s="173"/>
      <c r="F199" s="173"/>
      <c r="G199" s="173"/>
      <c r="H199" s="173"/>
      <c r="I199" s="173"/>
      <c r="J199" s="173"/>
      <c r="K199" s="173"/>
      <c r="L199" s="173"/>
      <c r="M199" s="173"/>
      <c r="N199" s="173"/>
      <c r="O199" s="173"/>
      <c r="P199" s="173"/>
      <c r="Q199" s="173"/>
      <c r="R199" s="173"/>
      <c r="S199" s="173"/>
      <c r="T199" s="173"/>
      <c r="U199" s="173"/>
      <c r="V199" s="173"/>
      <c r="W199" s="173"/>
      <c r="X199" s="173"/>
      <c r="Y199" s="173"/>
      <c r="Z199" s="173"/>
      <c r="AA199" s="173"/>
      <c r="AB199" s="173"/>
      <c r="AC199" s="173"/>
      <c r="AD199" s="173"/>
      <c r="AE199" s="173"/>
      <c r="AF199" s="173"/>
      <c r="AG199" s="173"/>
      <c r="AH199" s="173"/>
      <c r="AI199" s="173"/>
      <c r="AJ199" s="173"/>
      <c r="AK199" s="173"/>
      <c r="AL199" s="173"/>
      <c r="AM199" s="173"/>
      <c r="AN199" s="173"/>
      <c r="AO199" s="173"/>
    </row>
    <row r="200" spans="1:41">
      <c r="A200" s="173"/>
      <c r="B200" s="173"/>
      <c r="C200" s="173"/>
      <c r="D200" s="173"/>
      <c r="E200" s="173"/>
      <c r="F200" s="173"/>
      <c r="G200" s="173"/>
      <c r="H200" s="173"/>
      <c r="I200" s="173"/>
      <c r="J200" s="173"/>
      <c r="K200" s="173"/>
      <c r="L200" s="173"/>
      <c r="M200" s="173"/>
      <c r="N200" s="173"/>
      <c r="O200" s="173"/>
      <c r="P200" s="173"/>
      <c r="Q200" s="173"/>
      <c r="R200" s="173"/>
      <c r="S200" s="173"/>
      <c r="T200" s="173"/>
      <c r="U200" s="173"/>
      <c r="V200" s="173"/>
      <c r="W200" s="173"/>
      <c r="X200" s="173"/>
      <c r="Y200" s="173"/>
      <c r="Z200" s="173"/>
      <c r="AA200" s="173"/>
      <c r="AB200" s="173"/>
      <c r="AC200" s="173"/>
      <c r="AD200" s="173"/>
      <c r="AE200" s="173"/>
      <c r="AF200" s="173"/>
      <c r="AG200" s="173"/>
      <c r="AH200" s="173"/>
      <c r="AI200" s="173"/>
      <c r="AJ200" s="173"/>
      <c r="AK200" s="173"/>
      <c r="AL200" s="173"/>
      <c r="AM200" s="173"/>
      <c r="AN200" s="173"/>
      <c r="AO200" s="173"/>
    </row>
    <row r="201" spans="1:41">
      <c r="A201" s="173"/>
      <c r="B201" s="173"/>
      <c r="C201" s="173"/>
      <c r="D201" s="173"/>
      <c r="E201" s="173"/>
      <c r="F201" s="173"/>
      <c r="G201" s="173"/>
      <c r="H201" s="173"/>
      <c r="I201" s="173"/>
      <c r="J201" s="173"/>
      <c r="K201" s="173"/>
      <c r="L201" s="173"/>
      <c r="M201" s="173"/>
      <c r="N201" s="173"/>
      <c r="O201" s="173"/>
      <c r="P201" s="173"/>
      <c r="Q201" s="173"/>
      <c r="R201" s="173"/>
      <c r="S201" s="173"/>
      <c r="T201" s="173"/>
      <c r="U201" s="173"/>
      <c r="V201" s="173"/>
      <c r="W201" s="173"/>
      <c r="X201" s="173"/>
      <c r="Y201" s="173"/>
      <c r="Z201" s="173"/>
      <c r="AA201" s="173"/>
      <c r="AB201" s="173"/>
      <c r="AC201" s="173"/>
      <c r="AD201" s="173"/>
      <c r="AE201" s="173"/>
      <c r="AF201" s="173"/>
      <c r="AG201" s="173"/>
      <c r="AH201" s="173"/>
      <c r="AI201" s="173"/>
      <c r="AJ201" s="173"/>
      <c r="AK201" s="173"/>
      <c r="AL201" s="173"/>
      <c r="AM201" s="173"/>
      <c r="AN201" s="173"/>
      <c r="AO201" s="173"/>
    </row>
    <row r="202" spans="1:41">
      <c r="A202" s="173"/>
      <c r="B202" s="181"/>
      <c r="C202" s="181"/>
      <c r="D202" s="181"/>
      <c r="E202" s="181"/>
      <c r="F202" s="181"/>
      <c r="G202" s="181"/>
      <c r="H202" s="181"/>
      <c r="I202" s="181"/>
      <c r="J202" s="181"/>
      <c r="K202" s="181"/>
      <c r="L202" s="181"/>
      <c r="M202" s="181"/>
      <c r="N202" s="181"/>
      <c r="O202" s="181"/>
      <c r="P202" s="181"/>
      <c r="Q202" s="181"/>
      <c r="R202" s="181"/>
      <c r="S202" s="181"/>
      <c r="T202" s="181"/>
      <c r="U202" s="181"/>
      <c r="V202" s="181"/>
      <c r="W202" s="181"/>
      <c r="X202" s="181"/>
      <c r="Y202" s="181"/>
      <c r="Z202" s="181"/>
      <c r="AA202" s="181"/>
      <c r="AB202" s="181"/>
      <c r="AC202" s="181"/>
      <c r="AD202" s="181"/>
      <c r="AE202" s="181"/>
      <c r="AF202" s="181"/>
      <c r="AG202" s="181"/>
      <c r="AH202" s="181"/>
      <c r="AI202" s="181"/>
      <c r="AJ202" s="181"/>
      <c r="AK202" s="181"/>
      <c r="AL202" s="181"/>
      <c r="AM202" s="181"/>
      <c r="AN202" s="181"/>
      <c r="AO202" s="173"/>
    </row>
    <row r="203" spans="1:41">
      <c r="A203" s="173"/>
      <c r="B203" s="181"/>
      <c r="C203" s="173"/>
      <c r="D203" s="173"/>
      <c r="E203" s="173"/>
      <c r="F203" s="173"/>
      <c r="G203" s="173"/>
      <c r="H203" s="173"/>
      <c r="I203" s="173"/>
      <c r="J203" s="173"/>
      <c r="K203" s="173"/>
      <c r="L203" s="173"/>
      <c r="M203" s="173"/>
      <c r="N203" s="173"/>
      <c r="O203" s="173"/>
      <c r="P203" s="173"/>
      <c r="Q203" s="173"/>
      <c r="R203" s="173"/>
      <c r="S203" s="173"/>
      <c r="T203" s="173"/>
      <c r="U203" s="173"/>
      <c r="V203" s="173"/>
      <c r="W203" s="173"/>
      <c r="X203" s="173"/>
      <c r="Y203" s="173"/>
      <c r="Z203" s="173"/>
      <c r="AA203" s="173"/>
      <c r="AB203" s="173"/>
      <c r="AC203" s="173"/>
      <c r="AD203" s="173"/>
      <c r="AE203" s="173"/>
      <c r="AF203" s="173"/>
      <c r="AG203" s="173"/>
      <c r="AH203" s="173"/>
      <c r="AI203" s="173"/>
      <c r="AJ203" s="173"/>
      <c r="AK203" s="173"/>
      <c r="AL203" s="173"/>
      <c r="AM203" s="173"/>
      <c r="AN203" s="173"/>
      <c r="AO203" s="173"/>
    </row>
    <row r="204" spans="1:41">
      <c r="A204" s="173"/>
      <c r="B204" s="173"/>
      <c r="C204" s="173"/>
      <c r="D204" s="173"/>
      <c r="E204" s="173"/>
      <c r="F204" s="173"/>
      <c r="G204" s="173"/>
      <c r="H204" s="173"/>
      <c r="I204" s="173"/>
      <c r="J204" s="173"/>
      <c r="K204" s="173"/>
      <c r="L204" s="173"/>
      <c r="M204" s="173"/>
      <c r="N204" s="173"/>
      <c r="O204" s="173"/>
      <c r="P204" s="173"/>
      <c r="Q204" s="173"/>
      <c r="R204" s="173"/>
      <c r="S204" s="173"/>
      <c r="T204" s="173"/>
      <c r="U204" s="173"/>
      <c r="V204" s="173"/>
      <c r="W204" s="173"/>
      <c r="X204" s="173"/>
      <c r="Y204" s="173"/>
      <c r="Z204" s="173"/>
      <c r="AA204" s="173"/>
      <c r="AB204" s="173"/>
      <c r="AC204" s="173"/>
      <c r="AD204" s="173"/>
      <c r="AE204" s="173"/>
      <c r="AF204" s="173"/>
      <c r="AG204" s="173"/>
      <c r="AH204" s="173"/>
      <c r="AI204" s="173"/>
      <c r="AJ204" s="173"/>
      <c r="AK204" s="173"/>
      <c r="AL204" s="173"/>
      <c r="AM204" s="173"/>
      <c r="AN204" s="173"/>
      <c r="AO204" s="173"/>
    </row>
    <row r="205" spans="1:41">
      <c r="A205" s="173"/>
      <c r="B205" s="173"/>
      <c r="C205" s="173"/>
      <c r="D205" s="173"/>
      <c r="E205" s="173"/>
      <c r="F205" s="173"/>
      <c r="G205" s="173"/>
      <c r="H205" s="173"/>
      <c r="I205" s="173"/>
      <c r="J205" s="173"/>
      <c r="K205" s="173"/>
      <c r="L205" s="173"/>
      <c r="M205" s="173"/>
      <c r="N205" s="173"/>
      <c r="O205" s="173"/>
      <c r="P205" s="173"/>
      <c r="Q205" s="173"/>
      <c r="R205" s="173"/>
      <c r="S205" s="173"/>
      <c r="T205" s="173"/>
      <c r="U205" s="173"/>
      <c r="V205" s="173"/>
      <c r="W205" s="173"/>
      <c r="X205" s="173"/>
      <c r="Y205" s="173"/>
      <c r="Z205" s="173"/>
      <c r="AA205" s="173"/>
      <c r="AB205" s="173"/>
      <c r="AC205" s="173"/>
      <c r="AD205" s="173"/>
      <c r="AE205" s="173"/>
      <c r="AF205" s="173"/>
      <c r="AG205" s="173"/>
      <c r="AH205" s="173"/>
      <c r="AI205" s="173"/>
      <c r="AJ205" s="173"/>
      <c r="AK205" s="173"/>
      <c r="AL205" s="173"/>
      <c r="AM205" s="173"/>
      <c r="AN205" s="173"/>
      <c r="AO205" s="173"/>
    </row>
    <row r="206" spans="1:41">
      <c r="A206" s="173"/>
      <c r="B206" s="181"/>
      <c r="C206" s="181"/>
      <c r="D206" s="181"/>
      <c r="E206" s="173"/>
      <c r="F206" s="173"/>
      <c r="G206" s="173"/>
      <c r="H206" s="173"/>
      <c r="I206" s="173"/>
      <c r="J206" s="173"/>
      <c r="K206" s="173"/>
      <c r="L206" s="173"/>
      <c r="M206" s="173"/>
      <c r="N206" s="173"/>
      <c r="O206" s="173"/>
      <c r="P206" s="173"/>
      <c r="Q206" s="173"/>
      <c r="R206" s="173"/>
      <c r="S206" s="173"/>
      <c r="T206" s="173"/>
      <c r="U206" s="173"/>
      <c r="V206" s="173"/>
      <c r="W206" s="173"/>
      <c r="X206" s="173"/>
      <c r="Y206" s="173"/>
      <c r="Z206" s="173"/>
      <c r="AA206" s="173"/>
      <c r="AB206" s="173"/>
      <c r="AC206" s="173"/>
      <c r="AD206" s="173"/>
      <c r="AE206" s="173"/>
      <c r="AF206" s="173"/>
      <c r="AG206" s="173"/>
      <c r="AH206" s="173"/>
      <c r="AI206" s="173"/>
      <c r="AJ206" s="173"/>
      <c r="AK206" s="173"/>
      <c r="AL206" s="173"/>
      <c r="AM206" s="173"/>
      <c r="AN206" s="173"/>
      <c r="AO206" s="173"/>
    </row>
    <row r="207" spans="1:41">
      <c r="A207" s="173"/>
      <c r="B207" s="181"/>
      <c r="C207" s="181"/>
      <c r="D207" s="181"/>
      <c r="E207" s="173"/>
      <c r="F207" s="173"/>
      <c r="G207" s="173"/>
      <c r="H207" s="173"/>
      <c r="I207" s="173"/>
      <c r="J207" s="173"/>
      <c r="K207" s="173"/>
      <c r="L207" s="173"/>
      <c r="M207" s="173"/>
      <c r="N207" s="173"/>
      <c r="O207" s="173"/>
      <c r="P207" s="173"/>
      <c r="Q207" s="173"/>
      <c r="R207" s="173"/>
      <c r="S207" s="173"/>
      <c r="T207" s="173"/>
      <c r="U207" s="173"/>
      <c r="V207" s="173"/>
      <c r="W207" s="173"/>
      <c r="X207" s="173"/>
      <c r="Y207" s="173"/>
      <c r="Z207" s="173"/>
      <c r="AA207" s="173"/>
      <c r="AB207" s="173"/>
      <c r="AC207" s="173"/>
      <c r="AD207" s="173"/>
      <c r="AE207" s="173"/>
      <c r="AF207" s="173"/>
      <c r="AG207" s="173"/>
      <c r="AH207" s="173"/>
      <c r="AI207" s="173"/>
      <c r="AJ207" s="173"/>
      <c r="AK207" s="173"/>
      <c r="AL207" s="173"/>
      <c r="AM207" s="173"/>
      <c r="AN207" s="173"/>
      <c r="AO207" s="173"/>
    </row>
    <row r="208" spans="1:41">
      <c r="A208" s="173"/>
      <c r="B208" s="173"/>
      <c r="C208" s="173"/>
      <c r="D208" s="173"/>
      <c r="E208" s="173"/>
      <c r="F208" s="173"/>
      <c r="G208" s="173"/>
      <c r="H208" s="173"/>
      <c r="I208" s="173"/>
      <c r="J208" s="173"/>
      <c r="K208" s="173"/>
      <c r="L208" s="173"/>
      <c r="M208" s="173"/>
      <c r="N208" s="173"/>
      <c r="O208" s="173"/>
      <c r="P208" s="173"/>
      <c r="Q208" s="173"/>
      <c r="R208" s="173"/>
      <c r="S208" s="173"/>
      <c r="T208" s="173"/>
      <c r="U208" s="173"/>
      <c r="V208" s="173"/>
      <c r="W208" s="173"/>
      <c r="X208" s="173"/>
      <c r="Y208" s="173"/>
      <c r="Z208" s="173"/>
      <c r="AA208" s="173"/>
      <c r="AB208" s="173"/>
      <c r="AC208" s="173"/>
      <c r="AD208" s="173"/>
      <c r="AE208" s="173"/>
      <c r="AF208" s="173"/>
      <c r="AG208" s="173"/>
      <c r="AH208" s="173"/>
      <c r="AI208" s="173"/>
      <c r="AJ208" s="173"/>
      <c r="AK208" s="173"/>
      <c r="AL208" s="173"/>
      <c r="AM208" s="173"/>
      <c r="AN208" s="173"/>
      <c r="AO208" s="173"/>
    </row>
    <row r="209" spans="1:41">
      <c r="A209" s="173"/>
      <c r="B209" s="173"/>
      <c r="C209" s="173"/>
      <c r="D209" s="173"/>
      <c r="E209" s="173"/>
      <c r="F209" s="173"/>
      <c r="G209" s="173"/>
      <c r="H209" s="173"/>
      <c r="I209" s="173"/>
      <c r="J209" s="173"/>
      <c r="K209" s="173"/>
      <c r="L209" s="173"/>
      <c r="M209" s="173"/>
      <c r="N209" s="173"/>
      <c r="O209" s="173"/>
      <c r="P209" s="173"/>
      <c r="Q209" s="173"/>
      <c r="R209" s="173"/>
      <c r="S209" s="173"/>
      <c r="T209" s="173"/>
      <c r="U209" s="173"/>
      <c r="V209" s="173"/>
      <c r="W209" s="173"/>
      <c r="X209" s="173"/>
      <c r="Y209" s="173"/>
      <c r="Z209" s="173"/>
      <c r="AA209" s="173"/>
      <c r="AB209" s="173"/>
      <c r="AC209" s="173"/>
      <c r="AD209" s="173"/>
      <c r="AE209" s="173"/>
      <c r="AF209" s="173"/>
      <c r="AG209" s="173"/>
      <c r="AH209" s="173"/>
      <c r="AI209" s="173"/>
      <c r="AJ209" s="173"/>
      <c r="AK209" s="173"/>
      <c r="AL209" s="173"/>
      <c r="AM209" s="173"/>
      <c r="AN209" s="173"/>
      <c r="AO209" s="173"/>
    </row>
    <row r="210" spans="1:41">
      <c r="A210" s="173"/>
      <c r="B210" s="173"/>
      <c r="C210" s="173"/>
      <c r="D210" s="173"/>
      <c r="E210" s="173"/>
      <c r="F210" s="173"/>
      <c r="G210" s="173"/>
      <c r="H210" s="173"/>
      <c r="I210" s="173"/>
      <c r="J210" s="173"/>
      <c r="K210" s="173"/>
      <c r="L210" s="173"/>
      <c r="M210" s="173"/>
      <c r="N210" s="173"/>
      <c r="O210" s="173"/>
      <c r="P210" s="173"/>
      <c r="Q210" s="173"/>
      <c r="R210" s="173"/>
      <c r="S210" s="173"/>
      <c r="T210" s="173"/>
      <c r="U210" s="173"/>
      <c r="V210" s="173"/>
      <c r="W210" s="173"/>
      <c r="X210" s="173"/>
      <c r="Y210" s="173"/>
      <c r="Z210" s="173"/>
      <c r="AA210" s="173"/>
      <c r="AB210" s="173"/>
      <c r="AC210" s="173"/>
      <c r="AD210" s="173"/>
      <c r="AE210" s="173"/>
      <c r="AF210" s="173"/>
      <c r="AG210" s="173"/>
      <c r="AH210" s="173"/>
      <c r="AI210" s="173"/>
      <c r="AJ210" s="173"/>
      <c r="AK210" s="173"/>
      <c r="AL210" s="173"/>
      <c r="AM210" s="173"/>
      <c r="AN210" s="173"/>
      <c r="AO210" s="173"/>
    </row>
    <row r="211" spans="1:41">
      <c r="A211" s="173"/>
      <c r="B211" s="181"/>
      <c r="C211" s="181"/>
      <c r="D211" s="181"/>
      <c r="E211" s="173"/>
      <c r="F211" s="173"/>
      <c r="G211" s="173"/>
      <c r="H211" s="173"/>
      <c r="I211" s="173"/>
      <c r="J211" s="173"/>
      <c r="K211" s="173"/>
      <c r="L211" s="173"/>
      <c r="M211" s="173"/>
      <c r="N211" s="173"/>
      <c r="O211" s="173"/>
      <c r="P211" s="173"/>
      <c r="Q211" s="173"/>
      <c r="R211" s="173"/>
      <c r="S211" s="173"/>
      <c r="T211" s="173"/>
      <c r="U211" s="173"/>
      <c r="V211" s="173"/>
      <c r="W211" s="173"/>
      <c r="X211" s="173"/>
      <c r="Y211" s="173"/>
      <c r="Z211" s="173"/>
      <c r="AA211" s="173"/>
      <c r="AB211" s="173"/>
      <c r="AC211" s="173"/>
      <c r="AD211" s="173"/>
      <c r="AE211" s="173"/>
      <c r="AF211" s="173"/>
      <c r="AG211" s="173"/>
      <c r="AH211" s="173"/>
      <c r="AI211" s="173"/>
      <c r="AJ211" s="173"/>
      <c r="AK211" s="173"/>
      <c r="AL211" s="173"/>
      <c r="AM211" s="173"/>
      <c r="AN211" s="173"/>
      <c r="AO211" s="173"/>
    </row>
    <row r="212" spans="1:41">
      <c r="A212" s="173"/>
      <c r="B212" s="173"/>
      <c r="C212" s="173"/>
      <c r="D212" s="173"/>
      <c r="E212" s="173"/>
      <c r="F212" s="173"/>
      <c r="G212" s="173"/>
      <c r="H212" s="173"/>
      <c r="I212" s="173"/>
      <c r="J212" s="173"/>
      <c r="K212" s="173"/>
      <c r="L212" s="173"/>
      <c r="M212" s="173"/>
      <c r="N212" s="173"/>
      <c r="O212" s="173"/>
      <c r="P212" s="173"/>
      <c r="Q212" s="173"/>
      <c r="R212" s="173"/>
      <c r="S212" s="173"/>
      <c r="T212" s="173"/>
      <c r="U212" s="173"/>
      <c r="V212" s="173"/>
      <c r="W212" s="173"/>
      <c r="X212" s="173"/>
      <c r="Y212" s="173"/>
      <c r="Z212" s="173"/>
      <c r="AA212" s="173"/>
      <c r="AB212" s="173"/>
      <c r="AC212" s="173"/>
      <c r="AD212" s="173"/>
      <c r="AE212" s="173"/>
      <c r="AF212" s="173"/>
      <c r="AG212" s="173"/>
      <c r="AH212" s="173"/>
      <c r="AI212" s="173"/>
      <c r="AJ212" s="173"/>
      <c r="AK212" s="173"/>
      <c r="AL212" s="173"/>
      <c r="AM212" s="173"/>
      <c r="AN212" s="173"/>
      <c r="AO212" s="173"/>
    </row>
    <row r="213" spans="1:41">
      <c r="A213" s="173"/>
      <c r="B213" s="173"/>
      <c r="C213" s="173"/>
      <c r="D213" s="173"/>
      <c r="E213" s="173"/>
      <c r="F213" s="173"/>
      <c r="G213" s="173"/>
      <c r="H213" s="173"/>
      <c r="I213" s="173"/>
      <c r="J213" s="173"/>
      <c r="K213" s="173"/>
      <c r="L213" s="173"/>
      <c r="M213" s="173"/>
      <c r="N213" s="173"/>
      <c r="O213" s="173"/>
      <c r="P213" s="173"/>
      <c r="Q213" s="173"/>
      <c r="R213" s="173"/>
      <c r="S213" s="173"/>
      <c r="T213" s="173"/>
      <c r="U213" s="173"/>
      <c r="V213" s="173"/>
      <c r="W213" s="173"/>
      <c r="X213" s="173"/>
      <c r="Y213" s="173"/>
      <c r="Z213" s="173"/>
      <c r="AA213" s="173"/>
      <c r="AB213" s="173"/>
      <c r="AC213" s="173"/>
      <c r="AD213" s="173"/>
      <c r="AE213" s="173"/>
      <c r="AF213" s="173"/>
      <c r="AG213" s="173"/>
      <c r="AH213" s="173"/>
      <c r="AI213" s="173"/>
      <c r="AJ213" s="173"/>
      <c r="AK213" s="173"/>
      <c r="AL213" s="173"/>
      <c r="AM213" s="173"/>
      <c r="AN213" s="173"/>
      <c r="AO213" s="173"/>
    </row>
    <row r="214" spans="1:41">
      <c r="A214" s="173"/>
      <c r="B214" s="181"/>
      <c r="C214" s="173"/>
      <c r="D214" s="173"/>
      <c r="E214" s="173"/>
      <c r="F214" s="173"/>
      <c r="G214" s="173"/>
      <c r="H214" s="173"/>
      <c r="I214" s="173"/>
      <c r="J214" s="173"/>
      <c r="K214" s="173"/>
      <c r="L214" s="173"/>
      <c r="M214" s="173"/>
      <c r="N214" s="173"/>
      <c r="O214" s="173"/>
      <c r="P214" s="173"/>
      <c r="Q214" s="173"/>
      <c r="R214" s="173"/>
      <c r="S214" s="173"/>
      <c r="T214" s="173"/>
      <c r="U214" s="173"/>
      <c r="V214" s="173"/>
      <c r="W214" s="173"/>
      <c r="X214" s="173"/>
      <c r="Y214" s="173"/>
      <c r="Z214" s="173"/>
      <c r="AA214" s="173"/>
      <c r="AB214" s="173"/>
      <c r="AC214" s="173"/>
      <c r="AD214" s="173"/>
      <c r="AE214" s="173"/>
      <c r="AF214" s="173"/>
      <c r="AG214" s="173"/>
      <c r="AH214" s="173"/>
      <c r="AI214" s="173"/>
      <c r="AJ214" s="173"/>
      <c r="AK214" s="173"/>
      <c r="AL214" s="173"/>
      <c r="AM214" s="173"/>
      <c r="AN214" s="173"/>
      <c r="AO214" s="173"/>
    </row>
    <row r="215" spans="1:41">
      <c r="A215" s="173"/>
      <c r="B215" s="181"/>
      <c r="C215" s="181"/>
      <c r="D215" s="181"/>
      <c r="E215" s="173"/>
      <c r="F215" s="173"/>
      <c r="G215" s="173"/>
      <c r="H215" s="173"/>
      <c r="I215" s="173"/>
      <c r="J215" s="173"/>
      <c r="K215" s="173"/>
      <c r="L215" s="173"/>
      <c r="M215" s="173"/>
      <c r="N215" s="173"/>
      <c r="O215" s="173"/>
      <c r="P215" s="173"/>
      <c r="Q215" s="173"/>
      <c r="R215" s="173"/>
      <c r="S215" s="173"/>
      <c r="T215" s="173"/>
      <c r="U215" s="173"/>
      <c r="V215" s="173"/>
      <c r="W215" s="173"/>
      <c r="X215" s="173"/>
      <c r="Y215" s="173"/>
      <c r="Z215" s="173"/>
      <c r="AA215" s="173"/>
      <c r="AB215" s="173"/>
      <c r="AC215" s="173"/>
      <c r="AD215" s="173"/>
      <c r="AE215" s="173"/>
      <c r="AF215" s="173"/>
      <c r="AG215" s="173"/>
      <c r="AH215" s="173"/>
      <c r="AI215" s="173"/>
      <c r="AJ215" s="173"/>
      <c r="AK215" s="173"/>
      <c r="AL215" s="173"/>
      <c r="AM215" s="173"/>
      <c r="AN215" s="173"/>
      <c r="AO215" s="173"/>
    </row>
    <row r="216" spans="1:41">
      <c r="A216" s="173"/>
      <c r="B216" s="173"/>
      <c r="C216" s="173"/>
      <c r="D216" s="173"/>
      <c r="E216" s="173"/>
      <c r="F216" s="173"/>
      <c r="G216" s="173"/>
      <c r="H216" s="173"/>
      <c r="I216" s="173"/>
      <c r="J216" s="173"/>
      <c r="K216" s="173"/>
      <c r="L216" s="173"/>
      <c r="M216" s="173"/>
      <c r="N216" s="173"/>
      <c r="O216" s="173"/>
      <c r="P216" s="173"/>
      <c r="Q216" s="173"/>
      <c r="R216" s="173"/>
      <c r="S216" s="173"/>
      <c r="T216" s="173"/>
      <c r="U216" s="173"/>
      <c r="V216" s="173"/>
      <c r="W216" s="173"/>
      <c r="X216" s="173"/>
      <c r="Y216" s="173"/>
      <c r="Z216" s="173"/>
      <c r="AA216" s="173"/>
      <c r="AB216" s="173"/>
      <c r="AC216" s="173"/>
      <c r="AD216" s="173"/>
      <c r="AE216" s="173"/>
      <c r="AF216" s="173"/>
      <c r="AG216" s="173"/>
      <c r="AH216" s="173"/>
      <c r="AI216" s="173"/>
      <c r="AJ216" s="173"/>
      <c r="AK216" s="173"/>
      <c r="AL216" s="173"/>
      <c r="AM216" s="173"/>
      <c r="AN216" s="173"/>
      <c r="AO216" s="173"/>
    </row>
    <row r="217" spans="1:41">
      <c r="A217" s="173"/>
      <c r="B217" s="173"/>
      <c r="C217" s="173"/>
      <c r="D217" s="173"/>
      <c r="E217" s="173"/>
      <c r="F217" s="173"/>
      <c r="G217" s="173"/>
      <c r="H217" s="173"/>
      <c r="I217" s="173"/>
      <c r="J217" s="173"/>
      <c r="K217" s="173"/>
      <c r="L217" s="173"/>
      <c r="M217" s="173"/>
      <c r="N217" s="173"/>
      <c r="O217" s="173"/>
      <c r="P217" s="173"/>
      <c r="Q217" s="173"/>
      <c r="R217" s="173"/>
      <c r="S217" s="173"/>
      <c r="T217" s="173"/>
      <c r="U217" s="173"/>
      <c r="V217" s="173"/>
      <c r="W217" s="173"/>
      <c r="X217" s="173"/>
      <c r="Y217" s="173"/>
      <c r="Z217" s="173"/>
      <c r="AA217" s="173"/>
      <c r="AB217" s="173"/>
      <c r="AC217" s="173"/>
      <c r="AD217" s="173"/>
      <c r="AE217" s="173"/>
      <c r="AF217" s="173"/>
      <c r="AG217" s="173"/>
      <c r="AH217" s="173"/>
      <c r="AI217" s="173"/>
      <c r="AJ217" s="173"/>
      <c r="AK217" s="173"/>
      <c r="AL217" s="173"/>
      <c r="AM217" s="173"/>
      <c r="AN217" s="173"/>
      <c r="AO217" s="173"/>
    </row>
    <row r="218" spans="1:41">
      <c r="A218" s="173"/>
      <c r="B218" s="181"/>
      <c r="C218" s="181"/>
      <c r="D218" s="173"/>
      <c r="E218" s="181"/>
      <c r="F218" s="181"/>
      <c r="G218" s="173"/>
      <c r="H218" s="173"/>
      <c r="I218" s="181"/>
      <c r="J218" s="173"/>
      <c r="K218" s="181"/>
      <c r="L218" s="173"/>
      <c r="M218" s="173"/>
      <c r="N218" s="173"/>
      <c r="O218" s="173"/>
      <c r="P218" s="173"/>
      <c r="Q218" s="173"/>
      <c r="R218" s="173"/>
      <c r="S218" s="173"/>
      <c r="T218" s="173"/>
      <c r="U218" s="173"/>
      <c r="V218" s="173"/>
      <c r="W218" s="173"/>
      <c r="X218" s="173"/>
      <c r="Y218" s="173"/>
      <c r="Z218" s="173"/>
      <c r="AA218" s="173"/>
      <c r="AB218" s="173"/>
      <c r="AC218" s="173"/>
      <c r="AD218" s="173"/>
      <c r="AE218" s="173"/>
      <c r="AF218" s="173"/>
      <c r="AG218" s="173"/>
      <c r="AH218" s="173"/>
      <c r="AI218" s="173"/>
      <c r="AJ218" s="173"/>
      <c r="AK218" s="173"/>
      <c r="AL218" s="173"/>
      <c r="AM218" s="173"/>
      <c r="AN218" s="173"/>
      <c r="AO218" s="173"/>
    </row>
    <row r="219" spans="1:41">
      <c r="A219" s="173"/>
      <c r="B219" s="181"/>
      <c r="C219" s="181"/>
      <c r="D219" s="181"/>
      <c r="E219" s="181"/>
      <c r="F219" s="181"/>
      <c r="G219" s="181"/>
      <c r="H219" s="181"/>
      <c r="I219" s="181"/>
      <c r="J219" s="181"/>
      <c r="K219" s="181"/>
      <c r="L219" s="181"/>
      <c r="M219" s="181"/>
      <c r="N219" s="181"/>
      <c r="O219" s="181"/>
      <c r="P219" s="173"/>
      <c r="Q219" s="173"/>
      <c r="R219" s="173"/>
      <c r="S219" s="173"/>
      <c r="T219" s="173"/>
      <c r="U219" s="173"/>
      <c r="V219" s="173"/>
      <c r="W219" s="173"/>
      <c r="X219" s="173"/>
      <c r="Y219" s="173"/>
      <c r="Z219" s="173"/>
      <c r="AA219" s="173"/>
      <c r="AB219" s="173"/>
      <c r="AC219" s="173"/>
      <c r="AD219" s="173"/>
      <c r="AE219" s="173"/>
      <c r="AF219" s="173"/>
      <c r="AG219" s="173"/>
      <c r="AH219" s="173"/>
      <c r="AI219" s="173"/>
      <c r="AJ219" s="173"/>
      <c r="AK219" s="173"/>
      <c r="AL219" s="173"/>
      <c r="AM219" s="173"/>
      <c r="AN219" s="173"/>
      <c r="AO219" s="173"/>
    </row>
    <row r="220" spans="1:41">
      <c r="A220" s="173"/>
      <c r="B220" s="173"/>
      <c r="C220" s="173"/>
      <c r="D220" s="173"/>
      <c r="E220" s="173"/>
      <c r="F220" s="173"/>
      <c r="G220" s="173"/>
      <c r="H220" s="173"/>
      <c r="I220" s="173"/>
      <c r="J220" s="173"/>
      <c r="K220" s="173"/>
      <c r="L220" s="173"/>
      <c r="M220" s="173"/>
      <c r="N220" s="173"/>
      <c r="O220" s="173"/>
      <c r="P220" s="173"/>
      <c r="Q220" s="173"/>
      <c r="R220" s="173"/>
      <c r="S220" s="173"/>
      <c r="T220" s="173"/>
      <c r="U220" s="173"/>
      <c r="V220" s="173"/>
      <c r="W220" s="173"/>
      <c r="X220" s="173"/>
      <c r="Y220" s="173"/>
      <c r="Z220" s="173"/>
      <c r="AA220" s="173"/>
      <c r="AB220" s="173"/>
      <c r="AC220" s="173"/>
      <c r="AD220" s="173"/>
      <c r="AE220" s="173"/>
      <c r="AF220" s="173"/>
      <c r="AG220" s="173"/>
      <c r="AH220" s="173"/>
      <c r="AI220" s="173"/>
      <c r="AJ220" s="173"/>
      <c r="AK220" s="173"/>
      <c r="AL220" s="173"/>
      <c r="AM220" s="173"/>
      <c r="AN220" s="173"/>
      <c r="AO220" s="173"/>
    </row>
    <row r="221" spans="1:41">
      <c r="A221" s="173"/>
      <c r="B221" s="173"/>
      <c r="C221" s="173"/>
      <c r="D221" s="173"/>
      <c r="E221" s="173"/>
      <c r="F221" s="173"/>
      <c r="G221" s="173"/>
      <c r="H221" s="173"/>
      <c r="I221" s="173"/>
      <c r="J221" s="173"/>
      <c r="K221" s="173"/>
      <c r="L221" s="173"/>
      <c r="M221" s="173"/>
      <c r="N221" s="173"/>
      <c r="O221" s="173"/>
      <c r="P221" s="173"/>
      <c r="Q221" s="173"/>
      <c r="R221" s="173"/>
      <c r="S221" s="173"/>
      <c r="T221" s="173"/>
      <c r="U221" s="173"/>
      <c r="V221" s="173"/>
      <c r="W221" s="173"/>
      <c r="X221" s="173"/>
      <c r="Y221" s="173"/>
      <c r="Z221" s="173"/>
      <c r="AA221" s="173"/>
      <c r="AB221" s="173"/>
      <c r="AC221" s="173"/>
      <c r="AD221" s="173"/>
      <c r="AE221" s="173"/>
      <c r="AF221" s="173"/>
      <c r="AG221" s="173"/>
      <c r="AH221" s="173"/>
      <c r="AI221" s="173"/>
      <c r="AJ221" s="173"/>
      <c r="AK221" s="173"/>
      <c r="AL221" s="173"/>
      <c r="AM221" s="173"/>
      <c r="AN221" s="173"/>
      <c r="AO221" s="173"/>
    </row>
    <row r="222" spans="1:41">
      <c r="A222" s="173"/>
      <c r="B222" s="181"/>
      <c r="C222" s="173"/>
      <c r="D222" s="173"/>
      <c r="E222" s="173"/>
      <c r="F222" s="173"/>
      <c r="G222" s="173"/>
      <c r="H222" s="173"/>
      <c r="I222" s="173"/>
      <c r="J222" s="173"/>
      <c r="K222" s="173"/>
      <c r="L222" s="173"/>
      <c r="M222" s="173"/>
      <c r="N222" s="173"/>
      <c r="O222" s="173"/>
      <c r="P222" s="173"/>
      <c r="Q222" s="173"/>
      <c r="R222" s="173"/>
      <c r="S222" s="173"/>
      <c r="T222" s="173"/>
      <c r="U222" s="173"/>
      <c r="V222" s="173"/>
      <c r="W222" s="173"/>
      <c r="X222" s="173"/>
      <c r="Y222" s="173"/>
      <c r="Z222" s="173"/>
      <c r="AA222" s="173"/>
      <c r="AB222" s="173"/>
      <c r="AC222" s="173"/>
      <c r="AD222" s="173"/>
      <c r="AE222" s="173"/>
      <c r="AF222" s="173"/>
      <c r="AG222" s="173"/>
      <c r="AH222" s="173"/>
      <c r="AI222" s="173"/>
      <c r="AJ222" s="173"/>
      <c r="AK222" s="173"/>
      <c r="AL222" s="173"/>
      <c r="AM222" s="173"/>
      <c r="AN222" s="173"/>
      <c r="AO222" s="173"/>
    </row>
    <row r="223" spans="1:41">
      <c r="A223" s="173"/>
      <c r="B223" s="181"/>
      <c r="C223" s="181"/>
      <c r="D223" s="181"/>
      <c r="E223" s="173"/>
      <c r="F223" s="181"/>
      <c r="G223" s="181"/>
      <c r="H223" s="173"/>
      <c r="I223" s="173"/>
      <c r="J223" s="173"/>
      <c r="K223" s="173"/>
      <c r="L223" s="173"/>
      <c r="M223" s="173"/>
      <c r="N223" s="173"/>
      <c r="O223" s="173"/>
      <c r="P223" s="173"/>
      <c r="Q223" s="173"/>
      <c r="R223" s="173"/>
      <c r="S223" s="173"/>
      <c r="T223" s="173"/>
      <c r="U223" s="173"/>
      <c r="V223" s="173"/>
      <c r="W223" s="173"/>
      <c r="X223" s="173"/>
      <c r="Y223" s="173"/>
      <c r="Z223" s="173"/>
      <c r="AA223" s="173"/>
      <c r="AB223" s="173"/>
      <c r="AC223" s="173"/>
      <c r="AD223" s="173"/>
      <c r="AE223" s="173"/>
      <c r="AF223" s="173"/>
      <c r="AG223" s="173"/>
      <c r="AH223" s="173"/>
      <c r="AI223" s="173"/>
      <c r="AJ223" s="173"/>
      <c r="AK223" s="173"/>
      <c r="AL223" s="173"/>
      <c r="AM223" s="173"/>
      <c r="AN223" s="173"/>
      <c r="AO223" s="173"/>
    </row>
    <row r="224" spans="1:41">
      <c r="A224" s="173"/>
      <c r="B224" s="173"/>
      <c r="C224" s="173"/>
      <c r="D224" s="173"/>
      <c r="E224" s="173"/>
      <c r="F224" s="173"/>
      <c r="G224" s="173"/>
      <c r="H224" s="173"/>
      <c r="I224" s="173"/>
      <c r="J224" s="173"/>
      <c r="K224" s="173"/>
      <c r="L224" s="173"/>
      <c r="M224" s="173"/>
      <c r="N224" s="173"/>
      <c r="O224" s="173"/>
      <c r="P224" s="173"/>
      <c r="Q224" s="173"/>
      <c r="R224" s="173"/>
      <c r="S224" s="173"/>
      <c r="T224" s="173"/>
      <c r="U224" s="173"/>
      <c r="V224" s="173"/>
      <c r="W224" s="173"/>
      <c r="X224" s="173"/>
      <c r="Y224" s="173"/>
      <c r="Z224" s="173"/>
      <c r="AA224" s="173"/>
      <c r="AB224" s="173"/>
      <c r="AC224" s="173"/>
      <c r="AD224" s="173"/>
      <c r="AE224" s="173"/>
      <c r="AF224" s="173"/>
      <c r="AG224" s="173"/>
      <c r="AH224" s="173"/>
      <c r="AI224" s="173"/>
      <c r="AJ224" s="173"/>
      <c r="AK224" s="173"/>
      <c r="AL224" s="173"/>
      <c r="AM224" s="173"/>
      <c r="AN224" s="173"/>
      <c r="AO224" s="173"/>
    </row>
    <row r="225" spans="1:41">
      <c r="A225" s="173"/>
      <c r="B225" s="173"/>
      <c r="C225" s="173"/>
      <c r="D225" s="173"/>
      <c r="E225" s="173"/>
      <c r="F225" s="173"/>
      <c r="G225" s="173"/>
      <c r="H225" s="173"/>
      <c r="I225" s="173"/>
      <c r="J225" s="173"/>
      <c r="K225" s="173"/>
      <c r="L225" s="173"/>
      <c r="M225" s="173"/>
      <c r="N225" s="173"/>
      <c r="O225" s="173"/>
      <c r="P225" s="173"/>
      <c r="Q225" s="173"/>
      <c r="R225" s="173"/>
      <c r="S225" s="173"/>
      <c r="T225" s="173"/>
      <c r="U225" s="173"/>
      <c r="V225" s="173"/>
      <c r="W225" s="173"/>
      <c r="X225" s="173"/>
      <c r="Y225" s="173"/>
      <c r="Z225" s="173"/>
      <c r="AA225" s="173"/>
      <c r="AB225" s="173"/>
      <c r="AC225" s="173"/>
      <c r="AD225" s="173"/>
      <c r="AE225" s="173"/>
      <c r="AF225" s="173"/>
      <c r="AG225" s="173"/>
      <c r="AH225" s="173"/>
      <c r="AI225" s="173"/>
      <c r="AJ225" s="173"/>
      <c r="AK225" s="173"/>
      <c r="AL225" s="173"/>
      <c r="AM225" s="173"/>
      <c r="AN225" s="173"/>
      <c r="AO225" s="173"/>
    </row>
    <row r="226" spans="1:41">
      <c r="A226" s="173"/>
      <c r="B226" s="181"/>
      <c r="C226" s="173"/>
      <c r="D226" s="173"/>
      <c r="E226" s="173"/>
      <c r="F226" s="173"/>
      <c r="G226" s="173"/>
      <c r="H226" s="173"/>
      <c r="I226" s="173"/>
      <c r="J226" s="173"/>
      <c r="K226" s="173"/>
      <c r="L226" s="173"/>
      <c r="M226" s="173"/>
      <c r="N226" s="173"/>
      <c r="O226" s="173"/>
      <c r="P226" s="173"/>
      <c r="Q226" s="173"/>
      <c r="R226" s="173"/>
      <c r="S226" s="173"/>
      <c r="T226" s="173"/>
      <c r="U226" s="173"/>
      <c r="V226" s="173"/>
      <c r="W226" s="173"/>
      <c r="X226" s="173"/>
      <c r="Y226" s="173"/>
      <c r="Z226" s="173"/>
      <c r="AA226" s="173"/>
      <c r="AB226" s="173"/>
      <c r="AC226" s="173"/>
      <c r="AD226" s="173"/>
      <c r="AE226" s="173"/>
      <c r="AF226" s="173"/>
      <c r="AG226" s="173"/>
      <c r="AH226" s="173"/>
      <c r="AI226" s="173"/>
      <c r="AJ226" s="173"/>
      <c r="AK226" s="173"/>
      <c r="AL226" s="173"/>
      <c r="AM226" s="173"/>
      <c r="AN226" s="173"/>
      <c r="AO226" s="173"/>
    </row>
    <row r="227" spans="1:41">
      <c r="A227" s="173"/>
      <c r="B227" s="181"/>
      <c r="C227" s="181"/>
      <c r="D227" s="181"/>
      <c r="E227" s="173"/>
      <c r="F227" s="181"/>
      <c r="G227" s="181"/>
      <c r="H227" s="181"/>
      <c r="I227" s="181"/>
      <c r="J227" s="181"/>
      <c r="K227" s="181"/>
      <c r="L227" s="173"/>
      <c r="M227" s="173"/>
      <c r="N227" s="173"/>
      <c r="O227" s="173"/>
      <c r="P227" s="173"/>
      <c r="Q227" s="173"/>
      <c r="R227" s="173"/>
      <c r="S227" s="173"/>
      <c r="T227" s="173"/>
      <c r="U227" s="173"/>
      <c r="V227" s="173"/>
      <c r="W227" s="173"/>
      <c r="X227" s="173"/>
      <c r="Y227" s="173"/>
      <c r="Z227" s="173"/>
      <c r="AA227" s="173"/>
      <c r="AB227" s="173"/>
      <c r="AC227" s="173"/>
      <c r="AD227" s="173"/>
      <c r="AE227" s="173"/>
      <c r="AF227" s="173"/>
      <c r="AG227" s="173"/>
      <c r="AH227" s="173"/>
      <c r="AI227" s="173"/>
      <c r="AJ227" s="173"/>
      <c r="AK227" s="173"/>
      <c r="AL227" s="173"/>
      <c r="AM227" s="173"/>
      <c r="AN227" s="173"/>
      <c r="AO227" s="173"/>
    </row>
    <row r="228" spans="1:41">
      <c r="A228" s="173"/>
      <c r="B228" s="173"/>
      <c r="C228" s="173"/>
      <c r="D228" s="173"/>
      <c r="E228" s="173"/>
      <c r="F228" s="173"/>
      <c r="G228" s="173"/>
      <c r="H228" s="173"/>
      <c r="I228" s="173"/>
      <c r="J228" s="173"/>
      <c r="K228" s="173"/>
      <c r="L228" s="173"/>
      <c r="M228" s="173"/>
      <c r="N228" s="173"/>
      <c r="O228" s="173"/>
      <c r="P228" s="173"/>
      <c r="Q228" s="173"/>
      <c r="R228" s="173"/>
      <c r="S228" s="173"/>
      <c r="T228" s="173"/>
      <c r="U228" s="173"/>
      <c r="V228" s="173"/>
      <c r="W228" s="173"/>
      <c r="X228" s="173"/>
      <c r="Y228" s="173"/>
      <c r="Z228" s="173"/>
      <c r="AA228" s="173"/>
      <c r="AB228" s="173"/>
      <c r="AC228" s="173"/>
      <c r="AD228" s="173"/>
      <c r="AE228" s="173"/>
      <c r="AF228" s="173"/>
      <c r="AG228" s="173"/>
      <c r="AH228" s="173"/>
      <c r="AI228" s="173"/>
      <c r="AJ228" s="173"/>
      <c r="AK228" s="173"/>
      <c r="AL228" s="173"/>
      <c r="AM228" s="173"/>
      <c r="AN228" s="173"/>
      <c r="AO228" s="173"/>
    </row>
    <row r="229" spans="1:41">
      <c r="A229" s="173"/>
      <c r="B229" s="173"/>
      <c r="C229" s="173"/>
      <c r="D229" s="173"/>
      <c r="E229" s="173"/>
      <c r="F229" s="173"/>
      <c r="G229" s="173"/>
      <c r="H229" s="173"/>
      <c r="I229" s="173"/>
      <c r="J229" s="173"/>
      <c r="K229" s="173"/>
      <c r="L229" s="173"/>
      <c r="M229" s="173"/>
      <c r="N229" s="173"/>
      <c r="O229" s="173"/>
      <c r="P229" s="173"/>
      <c r="Q229" s="173"/>
      <c r="R229" s="173"/>
      <c r="S229" s="173"/>
      <c r="T229" s="173"/>
      <c r="U229" s="173"/>
      <c r="V229" s="173"/>
      <c r="W229" s="173"/>
      <c r="X229" s="173"/>
      <c r="Y229" s="173"/>
      <c r="Z229" s="173"/>
      <c r="AA229" s="173"/>
      <c r="AB229" s="173"/>
      <c r="AC229" s="173"/>
      <c r="AD229" s="173"/>
      <c r="AE229" s="173"/>
      <c r="AF229" s="173"/>
      <c r="AG229" s="173"/>
      <c r="AH229" s="173"/>
      <c r="AI229" s="173"/>
      <c r="AJ229" s="173"/>
      <c r="AK229" s="173"/>
      <c r="AL229" s="173"/>
      <c r="AM229" s="173"/>
      <c r="AN229" s="173"/>
      <c r="AO229" s="173"/>
    </row>
    <row r="230" spans="1:41">
      <c r="A230" s="173"/>
      <c r="B230" s="181"/>
      <c r="C230" s="173"/>
      <c r="D230" s="173"/>
      <c r="E230" s="173"/>
      <c r="F230" s="173"/>
      <c r="G230" s="173"/>
      <c r="H230" s="173"/>
      <c r="I230" s="173"/>
      <c r="J230" s="173"/>
      <c r="K230" s="173"/>
      <c r="L230" s="173"/>
      <c r="M230" s="173"/>
      <c r="N230" s="173"/>
      <c r="O230" s="173"/>
      <c r="P230" s="173"/>
      <c r="Q230" s="173"/>
      <c r="R230" s="173"/>
      <c r="S230" s="173"/>
      <c r="T230" s="173"/>
      <c r="U230" s="173"/>
      <c r="V230" s="173"/>
      <c r="W230" s="173"/>
      <c r="X230" s="173"/>
      <c r="Y230" s="173"/>
      <c r="Z230" s="173"/>
      <c r="AA230" s="173"/>
      <c r="AB230" s="173"/>
      <c r="AC230" s="173"/>
      <c r="AD230" s="173"/>
      <c r="AE230" s="173"/>
      <c r="AF230" s="173"/>
      <c r="AG230" s="173"/>
      <c r="AH230" s="173"/>
      <c r="AI230" s="173"/>
      <c r="AJ230" s="173"/>
      <c r="AK230" s="173"/>
      <c r="AL230" s="173"/>
      <c r="AM230" s="173"/>
      <c r="AN230" s="173"/>
      <c r="AO230" s="173"/>
    </row>
    <row r="231" spans="1:41">
      <c r="A231" s="173"/>
      <c r="B231" s="181"/>
      <c r="C231" s="181"/>
      <c r="D231" s="181"/>
      <c r="E231" s="181"/>
      <c r="F231" s="181"/>
      <c r="G231" s="181"/>
      <c r="H231" s="173"/>
      <c r="I231" s="173"/>
      <c r="J231" s="173"/>
      <c r="K231" s="173"/>
      <c r="L231" s="173"/>
      <c r="M231" s="173"/>
      <c r="N231" s="173"/>
      <c r="O231" s="173"/>
      <c r="P231" s="173"/>
      <c r="Q231" s="173"/>
      <c r="R231" s="173"/>
      <c r="S231" s="173"/>
      <c r="T231" s="173"/>
      <c r="U231" s="173"/>
      <c r="V231" s="173"/>
      <c r="W231" s="173"/>
      <c r="X231" s="173"/>
      <c r="Y231" s="173"/>
      <c r="Z231" s="173"/>
      <c r="AA231" s="173"/>
      <c r="AB231" s="173"/>
      <c r="AC231" s="173"/>
      <c r="AD231" s="173"/>
      <c r="AE231" s="173"/>
      <c r="AF231" s="173"/>
      <c r="AG231" s="173"/>
      <c r="AH231" s="173"/>
      <c r="AI231" s="173"/>
      <c r="AJ231" s="173"/>
      <c r="AK231" s="173"/>
      <c r="AL231" s="173"/>
      <c r="AM231" s="173"/>
      <c r="AN231" s="173"/>
      <c r="AO231" s="173"/>
    </row>
    <row r="232" spans="1:41">
      <c r="A232" s="173"/>
      <c r="B232" s="173"/>
      <c r="C232" s="173"/>
      <c r="D232" s="173"/>
      <c r="E232" s="173"/>
      <c r="F232" s="173"/>
      <c r="G232" s="173"/>
      <c r="H232" s="173"/>
      <c r="I232" s="173"/>
      <c r="J232" s="173"/>
      <c r="K232" s="173"/>
      <c r="L232" s="173"/>
      <c r="M232" s="173"/>
      <c r="N232" s="173"/>
      <c r="O232" s="173"/>
      <c r="P232" s="173"/>
      <c r="Q232" s="173"/>
      <c r="R232" s="173"/>
      <c r="S232" s="173"/>
      <c r="T232" s="173"/>
      <c r="U232" s="173"/>
      <c r="V232" s="173"/>
      <c r="W232" s="173"/>
      <c r="X232" s="173"/>
      <c r="Y232" s="173"/>
      <c r="Z232" s="173"/>
      <c r="AA232" s="173"/>
      <c r="AB232" s="173"/>
      <c r="AC232" s="173"/>
      <c r="AD232" s="173"/>
      <c r="AE232" s="173"/>
      <c r="AF232" s="173"/>
      <c r="AG232" s="173"/>
      <c r="AH232" s="173"/>
      <c r="AI232" s="173"/>
      <c r="AJ232" s="173"/>
      <c r="AK232" s="173"/>
      <c r="AL232" s="173"/>
      <c r="AM232" s="173"/>
      <c r="AN232" s="173"/>
      <c r="AO232" s="173"/>
    </row>
    <row r="233" spans="1:41">
      <c r="A233" s="173"/>
      <c r="B233" s="173"/>
      <c r="C233" s="173"/>
      <c r="D233" s="173"/>
      <c r="E233" s="173"/>
      <c r="F233" s="173"/>
      <c r="G233" s="173"/>
      <c r="H233" s="173"/>
      <c r="I233" s="173"/>
      <c r="J233" s="173"/>
      <c r="K233" s="173"/>
      <c r="L233" s="173"/>
      <c r="M233" s="173"/>
      <c r="N233" s="173"/>
      <c r="O233" s="173"/>
      <c r="P233" s="173"/>
      <c r="Q233" s="173"/>
      <c r="R233" s="173"/>
      <c r="S233" s="173"/>
      <c r="T233" s="173"/>
      <c r="U233" s="173"/>
      <c r="V233" s="173"/>
      <c r="W233" s="173"/>
      <c r="X233" s="173"/>
      <c r="Y233" s="173"/>
      <c r="Z233" s="173"/>
      <c r="AA233" s="173"/>
      <c r="AB233" s="173"/>
      <c r="AC233" s="173"/>
      <c r="AD233" s="173"/>
      <c r="AE233" s="173"/>
      <c r="AF233" s="173"/>
      <c r="AG233" s="173"/>
      <c r="AH233" s="173"/>
      <c r="AI233" s="173"/>
      <c r="AJ233" s="173"/>
      <c r="AK233" s="173"/>
      <c r="AL233" s="173"/>
      <c r="AM233" s="173"/>
      <c r="AN233" s="173"/>
      <c r="AO233" s="173"/>
    </row>
    <row r="234" spans="1:41">
      <c r="A234" s="173"/>
      <c r="B234" s="181"/>
      <c r="C234" s="181"/>
      <c r="D234" s="181"/>
      <c r="E234" s="181"/>
      <c r="F234" s="181"/>
      <c r="G234" s="173"/>
      <c r="H234" s="173"/>
      <c r="I234" s="173"/>
      <c r="J234" s="173"/>
      <c r="K234" s="173"/>
      <c r="L234" s="173"/>
      <c r="M234" s="173"/>
      <c r="N234" s="173"/>
      <c r="O234" s="173"/>
      <c r="P234" s="173"/>
      <c r="Q234" s="173"/>
      <c r="R234" s="173"/>
      <c r="S234" s="173"/>
      <c r="T234" s="173"/>
      <c r="U234" s="173"/>
      <c r="V234" s="173"/>
      <c r="W234" s="173"/>
      <c r="X234" s="173"/>
      <c r="Y234" s="173"/>
      <c r="Z234" s="173"/>
      <c r="AA234" s="173"/>
      <c r="AB234" s="173"/>
      <c r="AC234" s="173"/>
      <c r="AD234" s="173"/>
      <c r="AE234" s="173"/>
      <c r="AF234" s="173"/>
      <c r="AG234" s="173"/>
      <c r="AH234" s="173"/>
      <c r="AI234" s="173"/>
      <c r="AJ234" s="173"/>
      <c r="AK234" s="173"/>
      <c r="AL234" s="173"/>
      <c r="AM234" s="173"/>
      <c r="AN234" s="173"/>
      <c r="AO234" s="173"/>
    </row>
    <row r="235" spans="1:41">
      <c r="A235" s="173"/>
      <c r="B235" s="181"/>
      <c r="C235" s="181"/>
      <c r="D235" s="181"/>
      <c r="E235" s="181"/>
      <c r="F235" s="181"/>
      <c r="G235" s="173"/>
      <c r="H235" s="173"/>
      <c r="I235" s="173"/>
      <c r="J235" s="173"/>
      <c r="K235" s="173"/>
      <c r="L235" s="173"/>
      <c r="M235" s="173"/>
      <c r="N235" s="173"/>
      <c r="O235" s="173"/>
      <c r="P235" s="173"/>
      <c r="Q235" s="173"/>
      <c r="R235" s="173"/>
      <c r="S235" s="173"/>
      <c r="T235" s="173"/>
      <c r="U235" s="173"/>
      <c r="V235" s="173"/>
      <c r="W235" s="173"/>
      <c r="X235" s="173"/>
      <c r="Y235" s="173"/>
      <c r="Z235" s="173"/>
      <c r="AA235" s="173"/>
      <c r="AB235" s="173"/>
      <c r="AC235" s="173"/>
      <c r="AD235" s="173"/>
      <c r="AE235" s="173"/>
      <c r="AF235" s="173"/>
      <c r="AG235" s="173"/>
      <c r="AH235" s="173"/>
      <c r="AI235" s="173"/>
      <c r="AJ235" s="173"/>
      <c r="AK235" s="173"/>
      <c r="AL235" s="173"/>
      <c r="AM235" s="173"/>
      <c r="AN235" s="173"/>
      <c r="AO235" s="173"/>
    </row>
    <row r="236" spans="1:41">
      <c r="A236" s="173"/>
      <c r="B236" s="173"/>
      <c r="C236" s="173"/>
      <c r="D236" s="173"/>
      <c r="E236" s="173"/>
      <c r="F236" s="173"/>
      <c r="G236" s="173"/>
      <c r="H236" s="173"/>
      <c r="I236" s="173"/>
      <c r="J236" s="173"/>
      <c r="K236" s="173"/>
      <c r="L236" s="173"/>
      <c r="M236" s="173"/>
      <c r="N236" s="173"/>
      <c r="O236" s="173"/>
      <c r="P236" s="173"/>
      <c r="Q236" s="173"/>
      <c r="R236" s="173"/>
      <c r="S236" s="173"/>
      <c r="T236" s="173"/>
      <c r="U236" s="173"/>
      <c r="V236" s="173"/>
      <c r="W236" s="173"/>
      <c r="X236" s="173"/>
      <c r="Y236" s="173"/>
      <c r="Z236" s="173"/>
      <c r="AA236" s="173"/>
      <c r="AB236" s="173"/>
      <c r="AC236" s="173"/>
      <c r="AD236" s="173"/>
      <c r="AE236" s="173"/>
      <c r="AF236" s="173"/>
      <c r="AG236" s="173"/>
      <c r="AH236" s="173"/>
      <c r="AI236" s="173"/>
      <c r="AJ236" s="173"/>
      <c r="AK236" s="173"/>
      <c r="AL236" s="173"/>
      <c r="AM236" s="173"/>
      <c r="AN236" s="173"/>
      <c r="AO236" s="173"/>
    </row>
    <row r="237" spans="1:41">
      <c r="A237" s="173"/>
      <c r="B237" s="173"/>
      <c r="C237" s="173"/>
      <c r="D237" s="173"/>
      <c r="E237" s="173"/>
      <c r="F237" s="173"/>
      <c r="G237" s="173"/>
      <c r="H237" s="173"/>
      <c r="I237" s="173"/>
      <c r="J237" s="173"/>
      <c r="K237" s="173"/>
      <c r="L237" s="173"/>
      <c r="M237" s="173"/>
      <c r="N237" s="173"/>
      <c r="O237" s="173"/>
      <c r="P237" s="173"/>
      <c r="Q237" s="173"/>
      <c r="R237" s="173"/>
      <c r="S237" s="173"/>
      <c r="T237" s="173"/>
      <c r="U237" s="173"/>
      <c r="V237" s="173"/>
      <c r="W237" s="173"/>
      <c r="X237" s="173"/>
      <c r="Y237" s="173"/>
      <c r="Z237" s="173"/>
      <c r="AA237" s="173"/>
      <c r="AB237" s="173"/>
      <c r="AC237" s="173"/>
      <c r="AD237" s="173"/>
      <c r="AE237" s="173"/>
      <c r="AF237" s="173"/>
      <c r="AG237" s="173"/>
      <c r="AH237" s="173"/>
      <c r="AI237" s="173"/>
      <c r="AJ237" s="173"/>
      <c r="AK237" s="173"/>
      <c r="AL237" s="173"/>
      <c r="AM237" s="173"/>
      <c r="AN237" s="173"/>
      <c r="AO237" s="173"/>
    </row>
    <row r="238" spans="1:41">
      <c r="A238" s="173"/>
      <c r="B238" s="173"/>
      <c r="C238" s="173"/>
      <c r="D238" s="173"/>
      <c r="E238" s="173"/>
      <c r="F238" s="173"/>
      <c r="G238" s="173"/>
      <c r="H238" s="173"/>
      <c r="I238" s="173"/>
      <c r="J238" s="173"/>
      <c r="K238" s="173"/>
      <c r="L238" s="173"/>
      <c r="M238" s="173"/>
      <c r="N238" s="173"/>
      <c r="O238" s="173"/>
      <c r="P238" s="173"/>
      <c r="Q238" s="173"/>
      <c r="R238" s="173"/>
      <c r="S238" s="173"/>
      <c r="T238" s="173"/>
      <c r="U238" s="173"/>
      <c r="V238" s="173"/>
      <c r="W238" s="173"/>
      <c r="X238" s="173"/>
      <c r="Y238" s="173"/>
      <c r="Z238" s="173"/>
      <c r="AA238" s="173"/>
      <c r="AB238" s="173"/>
      <c r="AC238" s="173"/>
      <c r="AD238" s="173"/>
      <c r="AE238" s="173"/>
      <c r="AF238" s="173"/>
      <c r="AG238" s="173"/>
      <c r="AH238" s="173"/>
      <c r="AI238" s="173"/>
      <c r="AJ238" s="173"/>
      <c r="AK238" s="173"/>
      <c r="AL238" s="173"/>
      <c r="AM238" s="173"/>
      <c r="AN238" s="173"/>
      <c r="AO238" s="173"/>
    </row>
    <row r="239" spans="1:41">
      <c r="A239" s="173"/>
      <c r="B239" s="181"/>
      <c r="C239" s="181"/>
      <c r="D239" s="181"/>
      <c r="E239" s="181"/>
      <c r="F239" s="181"/>
      <c r="G239" s="181"/>
      <c r="H239" s="181"/>
      <c r="I239" s="181"/>
      <c r="J239" s="181"/>
      <c r="K239" s="181"/>
      <c r="L239" s="181"/>
      <c r="M239" s="181"/>
      <c r="N239" s="181"/>
      <c r="O239" s="181"/>
      <c r="P239" s="181"/>
      <c r="Q239" s="173"/>
      <c r="R239" s="173"/>
      <c r="S239" s="173"/>
      <c r="T239" s="173"/>
      <c r="U239" s="173"/>
      <c r="V239" s="173"/>
      <c r="W239" s="173"/>
      <c r="X239" s="173"/>
      <c r="Y239" s="173"/>
      <c r="Z239" s="173"/>
      <c r="AA239" s="173"/>
      <c r="AB239" s="173"/>
      <c r="AC239" s="173"/>
      <c r="AD239" s="173"/>
      <c r="AE239" s="173"/>
      <c r="AF239" s="173"/>
      <c r="AG239" s="173"/>
      <c r="AH239" s="173"/>
      <c r="AI239" s="173"/>
      <c r="AJ239" s="173"/>
      <c r="AK239" s="173"/>
      <c r="AL239" s="173"/>
      <c r="AM239" s="173"/>
      <c r="AN239" s="173"/>
      <c r="AO239" s="173"/>
    </row>
    <row r="240" spans="1:41">
      <c r="A240" s="173"/>
      <c r="B240" s="173"/>
      <c r="C240" s="173"/>
      <c r="D240" s="173"/>
      <c r="E240" s="173"/>
      <c r="F240" s="173"/>
      <c r="G240" s="173"/>
      <c r="H240" s="173"/>
      <c r="I240" s="173"/>
      <c r="J240" s="173"/>
      <c r="K240" s="173"/>
      <c r="L240" s="173"/>
      <c r="M240" s="173"/>
      <c r="N240" s="173"/>
      <c r="O240" s="173"/>
      <c r="P240" s="173"/>
      <c r="Q240" s="173"/>
      <c r="R240" s="173"/>
      <c r="S240" s="173"/>
      <c r="T240" s="173"/>
      <c r="U240" s="173"/>
      <c r="V240" s="173"/>
      <c r="W240" s="173"/>
      <c r="X240" s="173"/>
      <c r="Y240" s="173"/>
      <c r="Z240" s="173"/>
      <c r="AA240" s="173"/>
      <c r="AB240" s="173"/>
      <c r="AC240" s="173"/>
      <c r="AD240" s="173"/>
      <c r="AE240" s="173"/>
      <c r="AF240" s="173"/>
      <c r="AG240" s="173"/>
      <c r="AH240" s="173"/>
      <c r="AI240" s="173"/>
      <c r="AJ240" s="173"/>
      <c r="AK240" s="173"/>
      <c r="AL240" s="173"/>
      <c r="AM240" s="173"/>
      <c r="AN240" s="173"/>
      <c r="AO240" s="173"/>
    </row>
    <row r="241" spans="1:41">
      <c r="A241" s="173"/>
      <c r="B241" s="173"/>
      <c r="C241" s="173"/>
      <c r="D241" s="173"/>
      <c r="E241" s="173"/>
      <c r="F241" s="173"/>
      <c r="G241" s="173"/>
      <c r="H241" s="173"/>
      <c r="I241" s="173"/>
      <c r="J241" s="173"/>
      <c r="K241" s="173"/>
      <c r="L241" s="173"/>
      <c r="M241" s="173"/>
      <c r="N241" s="173"/>
      <c r="O241" s="173"/>
      <c r="P241" s="173"/>
      <c r="Q241" s="173"/>
      <c r="R241" s="173"/>
      <c r="S241" s="173"/>
      <c r="T241" s="173"/>
      <c r="U241" s="173"/>
      <c r="V241" s="173"/>
      <c r="W241" s="173"/>
      <c r="X241" s="173"/>
      <c r="Y241" s="173"/>
      <c r="Z241" s="173"/>
      <c r="AA241" s="173"/>
      <c r="AB241" s="173"/>
      <c r="AC241" s="173"/>
      <c r="AD241" s="173"/>
      <c r="AE241" s="173"/>
      <c r="AF241" s="173"/>
      <c r="AG241" s="173"/>
      <c r="AH241" s="173"/>
      <c r="AI241" s="173"/>
      <c r="AJ241" s="173"/>
      <c r="AK241" s="173"/>
      <c r="AL241" s="173"/>
      <c r="AM241" s="173"/>
      <c r="AN241" s="173"/>
      <c r="AO241" s="173"/>
    </row>
    <row r="242" spans="1:41">
      <c r="A242" s="173"/>
      <c r="B242" s="181"/>
      <c r="C242" s="173"/>
      <c r="D242" s="173"/>
      <c r="E242" s="173"/>
      <c r="F242" s="173"/>
      <c r="G242" s="173"/>
      <c r="H242" s="173"/>
      <c r="I242" s="173"/>
      <c r="J242" s="173"/>
      <c r="K242" s="173"/>
      <c r="L242" s="173"/>
      <c r="M242" s="173"/>
      <c r="N242" s="173"/>
      <c r="O242" s="173"/>
      <c r="P242" s="173"/>
      <c r="Q242" s="173"/>
      <c r="R242" s="173"/>
      <c r="S242" s="173"/>
      <c r="T242" s="173"/>
      <c r="U242" s="173"/>
      <c r="V242" s="173"/>
      <c r="W242" s="173"/>
      <c r="X242" s="173"/>
      <c r="Y242" s="173"/>
      <c r="Z242" s="173"/>
      <c r="AA242" s="173"/>
      <c r="AB242" s="173"/>
      <c r="AC242" s="173"/>
      <c r="AD242" s="173"/>
      <c r="AE242" s="173"/>
      <c r="AF242" s="173"/>
      <c r="AG242" s="173"/>
      <c r="AH242" s="173"/>
      <c r="AI242" s="173"/>
      <c r="AJ242" s="173"/>
      <c r="AK242" s="173"/>
      <c r="AL242" s="173"/>
      <c r="AM242" s="173"/>
      <c r="AN242" s="173"/>
      <c r="AO242" s="173"/>
    </row>
    <row r="243" spans="1:41">
      <c r="A243" s="173"/>
      <c r="B243" s="181"/>
      <c r="C243" s="181"/>
      <c r="D243" s="181"/>
      <c r="E243" s="181"/>
      <c r="F243" s="181"/>
      <c r="G243" s="181"/>
      <c r="H243" s="181"/>
      <c r="I243" s="181"/>
      <c r="J243" s="181"/>
      <c r="K243" s="181"/>
      <c r="L243" s="181"/>
      <c r="M243" s="181"/>
      <c r="N243" s="181"/>
      <c r="O243" s="181"/>
      <c r="P243" s="173"/>
      <c r="Q243" s="173"/>
      <c r="R243" s="173"/>
      <c r="S243" s="173"/>
      <c r="T243" s="173"/>
      <c r="U243" s="173"/>
      <c r="V243" s="173"/>
      <c r="W243" s="173"/>
      <c r="X243" s="173"/>
      <c r="Y243" s="173"/>
      <c r="Z243" s="173"/>
      <c r="AA243" s="173"/>
      <c r="AB243" s="173"/>
      <c r="AC243" s="173"/>
      <c r="AD243" s="173"/>
      <c r="AE243" s="173"/>
      <c r="AF243" s="173"/>
      <c r="AG243" s="173"/>
      <c r="AH243" s="173"/>
      <c r="AI243" s="173"/>
      <c r="AJ243" s="173"/>
      <c r="AK243" s="173"/>
      <c r="AL243" s="173"/>
      <c r="AM243" s="173"/>
      <c r="AN243" s="173"/>
      <c r="AO243" s="173"/>
    </row>
    <row r="244" spans="1:41">
      <c r="A244" s="173"/>
      <c r="B244" s="173"/>
      <c r="C244" s="173"/>
      <c r="D244" s="173"/>
      <c r="E244" s="173"/>
      <c r="F244" s="173"/>
      <c r="G244" s="173"/>
      <c r="H244" s="173"/>
      <c r="I244" s="173"/>
      <c r="J244" s="173"/>
      <c r="K244" s="173"/>
      <c r="L244" s="173"/>
      <c r="M244" s="173"/>
      <c r="N244" s="173"/>
      <c r="O244" s="173"/>
      <c r="P244" s="173"/>
      <c r="Q244" s="173"/>
      <c r="R244" s="173"/>
      <c r="S244" s="173"/>
      <c r="T244" s="173"/>
      <c r="U244" s="173"/>
      <c r="V244" s="173"/>
      <c r="W244" s="173"/>
      <c r="X244" s="173"/>
      <c r="Y244" s="173"/>
      <c r="Z244" s="173"/>
      <c r="AA244" s="173"/>
      <c r="AB244" s="173"/>
      <c r="AC244" s="173"/>
      <c r="AD244" s="173"/>
      <c r="AE244" s="173"/>
      <c r="AF244" s="173"/>
      <c r="AG244" s="173"/>
      <c r="AH244" s="173"/>
      <c r="AI244" s="173"/>
      <c r="AJ244" s="173"/>
      <c r="AK244" s="173"/>
      <c r="AL244" s="173"/>
      <c r="AM244" s="173"/>
      <c r="AN244" s="173"/>
      <c r="AO244" s="173"/>
    </row>
    <row r="245" spans="1:41">
      <c r="A245" s="173"/>
      <c r="B245" s="173"/>
      <c r="C245" s="173"/>
      <c r="D245" s="173"/>
      <c r="E245" s="173"/>
      <c r="F245" s="173"/>
      <c r="G245" s="173"/>
      <c r="H245" s="173"/>
      <c r="I245" s="173"/>
      <c r="J245" s="173"/>
      <c r="K245" s="173"/>
      <c r="L245" s="173"/>
      <c r="M245" s="173"/>
      <c r="N245" s="173"/>
      <c r="O245" s="173"/>
      <c r="P245" s="173"/>
      <c r="Q245" s="173"/>
      <c r="R245" s="173"/>
      <c r="S245" s="173"/>
      <c r="T245" s="173"/>
      <c r="U245" s="173"/>
      <c r="V245" s="173"/>
      <c r="W245" s="173"/>
      <c r="X245" s="173"/>
      <c r="Y245" s="173"/>
      <c r="Z245" s="173"/>
      <c r="AA245" s="173"/>
      <c r="AB245" s="173"/>
      <c r="AC245" s="173"/>
      <c r="AD245" s="173"/>
      <c r="AE245" s="173"/>
      <c r="AF245" s="173"/>
      <c r="AG245" s="173"/>
      <c r="AH245" s="173"/>
      <c r="AI245" s="173"/>
      <c r="AJ245" s="173"/>
      <c r="AK245" s="173"/>
      <c r="AL245" s="173"/>
      <c r="AM245" s="173"/>
      <c r="AN245" s="173"/>
      <c r="AO245" s="173"/>
    </row>
    <row r="246" spans="1:41">
      <c r="A246" s="173"/>
      <c r="B246" s="181"/>
      <c r="C246" s="181"/>
      <c r="D246" s="181"/>
      <c r="E246" s="181"/>
      <c r="F246" s="181"/>
      <c r="G246" s="181"/>
      <c r="H246" s="173"/>
      <c r="I246" s="173"/>
      <c r="J246" s="173"/>
      <c r="K246" s="173"/>
      <c r="L246" s="173"/>
      <c r="M246" s="173"/>
      <c r="N246" s="173"/>
      <c r="O246" s="173"/>
      <c r="P246" s="173"/>
      <c r="Q246" s="173"/>
      <c r="R246" s="173"/>
      <c r="S246" s="173"/>
      <c r="T246" s="173"/>
      <c r="U246" s="173"/>
      <c r="V246" s="173"/>
      <c r="W246" s="173"/>
      <c r="X246" s="173"/>
      <c r="Y246" s="173"/>
      <c r="Z246" s="173"/>
      <c r="AA246" s="173"/>
      <c r="AB246" s="173"/>
      <c r="AC246" s="173"/>
      <c r="AD246" s="173"/>
      <c r="AE246" s="173"/>
      <c r="AF246" s="173"/>
      <c r="AG246" s="173"/>
      <c r="AH246" s="173"/>
      <c r="AI246" s="173"/>
      <c r="AJ246" s="173"/>
      <c r="AK246" s="173"/>
      <c r="AL246" s="173"/>
      <c r="AM246" s="173"/>
      <c r="AN246" s="173"/>
      <c r="AO246" s="173"/>
    </row>
    <row r="247" spans="1:41">
      <c r="A247" s="173"/>
      <c r="B247" s="181"/>
      <c r="C247" s="181"/>
      <c r="D247" s="181"/>
      <c r="E247" s="181"/>
      <c r="F247" s="181"/>
      <c r="G247" s="181"/>
      <c r="H247" s="173"/>
      <c r="I247" s="173"/>
      <c r="J247" s="173"/>
      <c r="K247" s="173"/>
      <c r="L247" s="173"/>
      <c r="M247" s="173"/>
      <c r="N247" s="173"/>
      <c r="O247" s="173"/>
      <c r="P247" s="173"/>
      <c r="Q247" s="173"/>
      <c r="R247" s="173"/>
      <c r="S247" s="173"/>
      <c r="T247" s="173"/>
      <c r="U247" s="173"/>
      <c r="V247" s="173"/>
      <c r="W247" s="173"/>
      <c r="X247" s="173"/>
      <c r="Y247" s="173"/>
      <c r="Z247" s="173"/>
      <c r="AA247" s="173"/>
      <c r="AB247" s="173"/>
      <c r="AC247" s="173"/>
      <c r="AD247" s="173"/>
      <c r="AE247" s="173"/>
      <c r="AF247" s="173"/>
      <c r="AG247" s="173"/>
      <c r="AH247" s="173"/>
      <c r="AI247" s="173"/>
      <c r="AJ247" s="173"/>
      <c r="AK247" s="173"/>
      <c r="AL247" s="173"/>
      <c r="AM247" s="173"/>
      <c r="AN247" s="173"/>
      <c r="AO247" s="173"/>
    </row>
    <row r="248" spans="1:41">
      <c r="A248" s="173"/>
      <c r="B248" s="173"/>
      <c r="C248" s="173"/>
      <c r="D248" s="173"/>
      <c r="E248" s="173"/>
      <c r="F248" s="173"/>
      <c r="G248" s="173"/>
      <c r="H248" s="173"/>
      <c r="I248" s="173"/>
      <c r="J248" s="173"/>
      <c r="K248" s="173"/>
      <c r="L248" s="173"/>
      <c r="M248" s="173"/>
      <c r="N248" s="173"/>
      <c r="O248" s="173"/>
      <c r="P248" s="173"/>
      <c r="Q248" s="173"/>
      <c r="R248" s="173"/>
      <c r="S248" s="173"/>
      <c r="T248" s="173"/>
      <c r="U248" s="173"/>
      <c r="V248" s="173"/>
      <c r="W248" s="173"/>
      <c r="X248" s="173"/>
      <c r="Y248" s="173"/>
      <c r="Z248" s="173"/>
      <c r="AA248" s="173"/>
      <c r="AB248" s="173"/>
      <c r="AC248" s="173"/>
      <c r="AD248" s="173"/>
      <c r="AE248" s="173"/>
      <c r="AF248" s="173"/>
      <c r="AG248" s="173"/>
      <c r="AH248" s="173"/>
      <c r="AI248" s="173"/>
      <c r="AJ248" s="173"/>
      <c r="AK248" s="173"/>
      <c r="AL248" s="173"/>
      <c r="AM248" s="173"/>
      <c r="AN248" s="173"/>
      <c r="AO248" s="173"/>
    </row>
    <row r="249" spans="1:41">
      <c r="A249" s="173"/>
      <c r="B249" s="173"/>
      <c r="C249" s="173"/>
      <c r="D249" s="173"/>
      <c r="E249" s="173"/>
      <c r="F249" s="173"/>
      <c r="G249" s="173"/>
      <c r="H249" s="173"/>
      <c r="I249" s="173"/>
      <c r="J249" s="173"/>
      <c r="K249" s="173"/>
      <c r="L249" s="173"/>
      <c r="M249" s="173"/>
      <c r="N249" s="173"/>
      <c r="O249" s="173"/>
      <c r="P249" s="173"/>
      <c r="Q249" s="173"/>
      <c r="R249" s="173"/>
      <c r="S249" s="173"/>
      <c r="T249" s="173"/>
      <c r="U249" s="173"/>
      <c r="V249" s="173"/>
      <c r="W249" s="173"/>
      <c r="X249" s="173"/>
      <c r="Y249" s="173"/>
      <c r="Z249" s="173"/>
      <c r="AA249" s="173"/>
      <c r="AB249" s="173"/>
      <c r="AC249" s="173"/>
      <c r="AD249" s="173"/>
      <c r="AE249" s="173"/>
      <c r="AF249" s="173"/>
      <c r="AG249" s="173"/>
      <c r="AH249" s="173"/>
      <c r="AI249" s="173"/>
      <c r="AJ249" s="173"/>
      <c r="AK249" s="173"/>
      <c r="AL249" s="173"/>
      <c r="AM249" s="173"/>
      <c r="AN249" s="173"/>
      <c r="AO249" s="173"/>
    </row>
    <row r="250" spans="1:41">
      <c r="A250" s="173"/>
      <c r="B250" s="181"/>
      <c r="C250" s="173"/>
      <c r="D250" s="173"/>
      <c r="E250" s="173"/>
      <c r="F250" s="173"/>
      <c r="G250" s="173"/>
      <c r="H250" s="173"/>
      <c r="I250" s="173"/>
      <c r="J250" s="173"/>
      <c r="K250" s="173"/>
      <c r="L250" s="173"/>
      <c r="M250" s="173"/>
      <c r="N250" s="173"/>
      <c r="O250" s="173"/>
      <c r="P250" s="173"/>
      <c r="Q250" s="173"/>
      <c r="R250" s="173"/>
      <c r="S250" s="173"/>
      <c r="T250" s="173"/>
      <c r="U250" s="173"/>
      <c r="V250" s="173"/>
      <c r="W250" s="173"/>
      <c r="X250" s="173"/>
      <c r="Y250" s="173"/>
      <c r="Z250" s="173"/>
      <c r="AA250" s="173"/>
      <c r="AB250" s="173"/>
      <c r="AC250" s="173"/>
      <c r="AD250" s="173"/>
      <c r="AE250" s="173"/>
      <c r="AF250" s="173"/>
      <c r="AG250" s="173"/>
      <c r="AH250" s="173"/>
      <c r="AI250" s="173"/>
      <c r="AJ250" s="173"/>
      <c r="AK250" s="173"/>
      <c r="AL250" s="173"/>
      <c r="AM250" s="173"/>
      <c r="AN250" s="173"/>
      <c r="AO250" s="173"/>
    </row>
    <row r="251" spans="1:41">
      <c r="A251" s="173"/>
      <c r="B251" s="181"/>
      <c r="C251" s="181"/>
      <c r="D251" s="181"/>
      <c r="E251" s="181"/>
      <c r="F251" s="181"/>
      <c r="G251" s="181"/>
      <c r="H251" s="181"/>
      <c r="I251" s="173"/>
      <c r="J251" s="173"/>
      <c r="K251" s="173"/>
      <c r="L251" s="173"/>
      <c r="M251" s="173"/>
      <c r="N251" s="173"/>
      <c r="O251" s="173"/>
      <c r="P251" s="173"/>
      <c r="Q251" s="173"/>
      <c r="R251" s="173"/>
      <c r="S251" s="173"/>
      <c r="T251" s="173"/>
      <c r="U251" s="173"/>
      <c r="V251" s="173"/>
      <c r="W251" s="173"/>
      <c r="X251" s="173"/>
      <c r="Y251" s="173"/>
      <c r="Z251" s="173"/>
      <c r="AA251" s="173"/>
      <c r="AB251" s="173"/>
      <c r="AC251" s="173"/>
      <c r="AD251" s="173"/>
      <c r="AE251" s="173"/>
      <c r="AF251" s="173"/>
      <c r="AG251" s="173"/>
      <c r="AH251" s="173"/>
      <c r="AI251" s="173"/>
      <c r="AJ251" s="173"/>
      <c r="AK251" s="173"/>
      <c r="AL251" s="173"/>
      <c r="AM251" s="173"/>
      <c r="AN251" s="173"/>
      <c r="AO251" s="173"/>
    </row>
    <row r="252" spans="1:41">
      <c r="A252" s="173"/>
      <c r="B252" s="173"/>
      <c r="C252" s="173"/>
      <c r="D252" s="173"/>
      <c r="E252" s="173"/>
      <c r="F252" s="173"/>
      <c r="G252" s="173"/>
      <c r="H252" s="173"/>
      <c r="I252" s="173"/>
      <c r="J252" s="173"/>
      <c r="K252" s="173"/>
      <c r="L252" s="173"/>
      <c r="M252" s="173"/>
      <c r="N252" s="173"/>
      <c r="O252" s="173"/>
      <c r="P252" s="173"/>
      <c r="Q252" s="173"/>
      <c r="R252" s="173"/>
      <c r="S252" s="173"/>
      <c r="T252" s="173"/>
      <c r="U252" s="173"/>
      <c r="V252" s="173"/>
      <c r="W252" s="173"/>
      <c r="X252" s="173"/>
      <c r="Y252" s="173"/>
      <c r="Z252" s="173"/>
      <c r="AA252" s="173"/>
      <c r="AB252" s="173"/>
      <c r="AC252" s="173"/>
      <c r="AD252" s="173"/>
      <c r="AE252" s="173"/>
      <c r="AF252" s="173"/>
      <c r="AG252" s="173"/>
      <c r="AH252" s="173"/>
      <c r="AI252" s="173"/>
      <c r="AJ252" s="173"/>
      <c r="AK252" s="173"/>
      <c r="AL252" s="173"/>
      <c r="AM252" s="173"/>
      <c r="AN252" s="173"/>
      <c r="AO252" s="173"/>
    </row>
    <row r="253" spans="1:41">
      <c r="A253" s="173"/>
      <c r="B253" s="173"/>
      <c r="C253" s="173"/>
      <c r="D253" s="173"/>
      <c r="E253" s="173"/>
      <c r="F253" s="173"/>
      <c r="G253" s="173"/>
      <c r="H253" s="173"/>
      <c r="I253" s="173"/>
      <c r="J253" s="173"/>
      <c r="K253" s="173"/>
      <c r="L253" s="173"/>
      <c r="M253" s="173"/>
      <c r="N253" s="173"/>
      <c r="O253" s="173"/>
      <c r="P253" s="173"/>
      <c r="Q253" s="173"/>
      <c r="R253" s="173"/>
      <c r="S253" s="173"/>
      <c r="T253" s="173"/>
      <c r="U253" s="173"/>
      <c r="V253" s="173"/>
      <c r="W253" s="173"/>
      <c r="X253" s="173"/>
      <c r="Y253" s="173"/>
      <c r="Z253" s="173"/>
      <c r="AA253" s="173"/>
      <c r="AB253" s="173"/>
      <c r="AC253" s="173"/>
      <c r="AD253" s="173"/>
      <c r="AE253" s="173"/>
      <c r="AF253" s="173"/>
      <c r="AG253" s="173"/>
      <c r="AH253" s="173"/>
      <c r="AI253" s="173"/>
      <c r="AJ253" s="173"/>
      <c r="AK253" s="173"/>
      <c r="AL253" s="173"/>
      <c r="AM253" s="173"/>
      <c r="AN253" s="173"/>
      <c r="AO253" s="173"/>
    </row>
    <row r="254" spans="1:41">
      <c r="A254" s="173"/>
      <c r="B254" s="181"/>
      <c r="C254" s="181"/>
      <c r="D254" s="181"/>
      <c r="E254" s="181"/>
      <c r="F254" s="181"/>
      <c r="G254" s="173"/>
      <c r="H254" s="181"/>
      <c r="I254" s="181"/>
      <c r="J254" s="173"/>
      <c r="K254" s="173"/>
      <c r="L254" s="181"/>
      <c r="M254" s="181"/>
      <c r="N254" s="181"/>
      <c r="O254" s="173"/>
      <c r="P254" s="173"/>
      <c r="Q254" s="173"/>
      <c r="R254" s="173"/>
      <c r="S254" s="173"/>
      <c r="T254" s="173"/>
      <c r="U254" s="173"/>
      <c r="V254" s="173"/>
      <c r="W254" s="173"/>
      <c r="X254" s="173"/>
      <c r="Y254" s="173"/>
      <c r="Z254" s="173"/>
      <c r="AA254" s="173"/>
      <c r="AB254" s="173"/>
      <c r="AC254" s="173"/>
      <c r="AD254" s="173"/>
      <c r="AE254" s="173"/>
      <c r="AF254" s="173"/>
      <c r="AG254" s="173"/>
      <c r="AH254" s="173"/>
      <c r="AI254" s="173"/>
      <c r="AJ254" s="173"/>
      <c r="AK254" s="173"/>
      <c r="AL254" s="173"/>
      <c r="AM254" s="173"/>
      <c r="AN254" s="173"/>
      <c r="AO254" s="173"/>
    </row>
    <row r="255" spans="1:41">
      <c r="A255" s="173"/>
      <c r="B255" s="181"/>
      <c r="C255" s="181"/>
      <c r="D255" s="181"/>
      <c r="E255" s="181"/>
      <c r="F255" s="181"/>
      <c r="G255" s="181"/>
      <c r="H255" s="181"/>
      <c r="I255" s="181"/>
      <c r="J255" s="181"/>
      <c r="K255" s="181"/>
      <c r="L255" s="181"/>
      <c r="M255" s="181"/>
      <c r="N255" s="181"/>
      <c r="O255" s="181"/>
      <c r="P255" s="173"/>
      <c r="Q255" s="173"/>
      <c r="R255" s="173"/>
      <c r="S255" s="173"/>
      <c r="T255" s="173"/>
      <c r="U255" s="173"/>
      <c r="V255" s="173"/>
      <c r="W255" s="173"/>
      <c r="X255" s="173"/>
      <c r="Y255" s="173"/>
      <c r="Z255" s="173"/>
      <c r="AA255" s="173"/>
      <c r="AB255" s="173"/>
      <c r="AC255" s="173"/>
      <c r="AD255" s="173"/>
      <c r="AE255" s="173"/>
      <c r="AF255" s="173"/>
      <c r="AG255" s="173"/>
      <c r="AH255" s="173"/>
      <c r="AI255" s="173"/>
      <c r="AJ255" s="173"/>
      <c r="AK255" s="173"/>
      <c r="AL255" s="173"/>
      <c r="AM255" s="173"/>
      <c r="AN255" s="173"/>
      <c r="AO255" s="173"/>
    </row>
    <row r="256" spans="1:41">
      <c r="A256" s="173"/>
      <c r="B256" s="173"/>
      <c r="C256" s="173"/>
      <c r="D256" s="173"/>
      <c r="E256" s="173"/>
      <c r="F256" s="173"/>
      <c r="G256" s="173"/>
      <c r="H256" s="173"/>
      <c r="I256" s="173"/>
      <c r="J256" s="173"/>
      <c r="K256" s="173"/>
      <c r="L256" s="173"/>
      <c r="M256" s="173"/>
      <c r="N256" s="173"/>
      <c r="O256" s="173"/>
      <c r="P256" s="173"/>
      <c r="Q256" s="173"/>
      <c r="R256" s="173"/>
      <c r="S256" s="173"/>
      <c r="T256" s="173"/>
      <c r="U256" s="173"/>
      <c r="V256" s="173"/>
      <c r="W256" s="173"/>
      <c r="X256" s="173"/>
      <c r="Y256" s="173"/>
      <c r="Z256" s="173"/>
      <c r="AA256" s="173"/>
      <c r="AB256" s="173"/>
      <c r="AC256" s="173"/>
      <c r="AD256" s="173"/>
      <c r="AE256" s="173"/>
      <c r="AF256" s="173"/>
      <c r="AG256" s="173"/>
      <c r="AH256" s="173"/>
      <c r="AI256" s="173"/>
      <c r="AJ256" s="173"/>
      <c r="AK256" s="173"/>
      <c r="AL256" s="173"/>
      <c r="AM256" s="173"/>
      <c r="AN256" s="173"/>
      <c r="AO256" s="173"/>
    </row>
    <row r="257" spans="1:41">
      <c r="A257" s="173"/>
      <c r="B257" s="173"/>
      <c r="C257" s="173"/>
      <c r="D257" s="173"/>
      <c r="E257" s="173"/>
      <c r="F257" s="173"/>
      <c r="G257" s="173"/>
      <c r="H257" s="173"/>
      <c r="I257" s="173"/>
      <c r="J257" s="173"/>
      <c r="K257" s="173"/>
      <c r="L257" s="173"/>
      <c r="M257" s="173"/>
      <c r="N257" s="173"/>
      <c r="O257" s="173"/>
      <c r="P257" s="173"/>
      <c r="Q257" s="173"/>
      <c r="R257" s="173"/>
      <c r="S257" s="173"/>
      <c r="T257" s="173"/>
      <c r="U257" s="173"/>
      <c r="V257" s="173"/>
      <c r="W257" s="173"/>
      <c r="X257" s="173"/>
      <c r="Y257" s="173"/>
      <c r="Z257" s="173"/>
      <c r="AA257" s="173"/>
      <c r="AB257" s="173"/>
      <c r="AC257" s="173"/>
      <c r="AD257" s="173"/>
      <c r="AE257" s="173"/>
      <c r="AF257" s="173"/>
      <c r="AG257" s="173"/>
      <c r="AH257" s="173"/>
      <c r="AI257" s="173"/>
      <c r="AJ257" s="173"/>
      <c r="AK257" s="173"/>
      <c r="AL257" s="173"/>
      <c r="AM257" s="173"/>
      <c r="AN257" s="173"/>
      <c r="AO257" s="173"/>
    </row>
    <row r="258" spans="1:41">
      <c r="A258" s="173"/>
      <c r="B258" s="181"/>
      <c r="C258" s="181"/>
      <c r="D258" s="181"/>
      <c r="E258" s="181"/>
      <c r="F258" s="181"/>
      <c r="G258" s="173"/>
      <c r="H258" s="173"/>
      <c r="I258" s="173"/>
      <c r="J258" s="173"/>
      <c r="K258" s="173"/>
      <c r="L258" s="173"/>
      <c r="M258" s="173"/>
      <c r="N258" s="173"/>
      <c r="O258" s="173"/>
      <c r="P258" s="173"/>
      <c r="Q258" s="173"/>
      <c r="R258" s="173"/>
      <c r="S258" s="173"/>
      <c r="T258" s="173"/>
      <c r="U258" s="173"/>
      <c r="V258" s="173"/>
      <c r="W258" s="173"/>
      <c r="X258" s="173"/>
      <c r="Y258" s="173"/>
      <c r="Z258" s="173"/>
      <c r="AA258" s="173"/>
      <c r="AB258" s="173"/>
      <c r="AC258" s="173"/>
      <c r="AD258" s="173"/>
      <c r="AE258" s="173"/>
      <c r="AF258" s="173"/>
      <c r="AG258" s="173"/>
      <c r="AH258" s="173"/>
      <c r="AI258" s="173"/>
      <c r="AJ258" s="173"/>
      <c r="AK258" s="173"/>
      <c r="AL258" s="173"/>
      <c r="AM258" s="173"/>
      <c r="AN258" s="173"/>
      <c r="AO258" s="173"/>
    </row>
    <row r="259" spans="1:41">
      <c r="A259" s="173"/>
      <c r="B259" s="181"/>
      <c r="C259" s="181"/>
      <c r="D259" s="181"/>
      <c r="E259" s="181"/>
      <c r="F259" s="181"/>
      <c r="G259" s="173"/>
      <c r="H259" s="173"/>
      <c r="I259" s="173"/>
      <c r="J259" s="173"/>
      <c r="K259" s="173"/>
      <c r="L259" s="173"/>
      <c r="M259" s="173"/>
      <c r="N259" s="173"/>
      <c r="O259" s="173"/>
      <c r="P259" s="173"/>
      <c r="Q259" s="173"/>
      <c r="R259" s="173"/>
      <c r="S259" s="173"/>
      <c r="T259" s="173"/>
      <c r="U259" s="173"/>
      <c r="V259" s="173"/>
      <c r="W259" s="173"/>
      <c r="X259" s="173"/>
      <c r="Y259" s="173"/>
      <c r="Z259" s="173"/>
      <c r="AA259" s="173"/>
      <c r="AB259" s="173"/>
      <c r="AC259" s="173"/>
      <c r="AD259" s="173"/>
      <c r="AE259" s="173"/>
      <c r="AF259" s="173"/>
      <c r="AG259" s="173"/>
      <c r="AH259" s="173"/>
      <c r="AI259" s="173"/>
      <c r="AJ259" s="173"/>
      <c r="AK259" s="173"/>
      <c r="AL259" s="173"/>
      <c r="AM259" s="173"/>
      <c r="AN259" s="173"/>
      <c r="AO259" s="173"/>
    </row>
    <row r="260" spans="1:41">
      <c r="A260" s="173"/>
      <c r="B260" s="173"/>
      <c r="C260" s="173"/>
      <c r="D260" s="173"/>
      <c r="E260" s="173"/>
      <c r="F260" s="173"/>
      <c r="G260" s="173"/>
      <c r="H260" s="173"/>
      <c r="I260" s="173"/>
      <c r="J260" s="173"/>
      <c r="K260" s="173"/>
      <c r="L260" s="173"/>
      <c r="M260" s="173"/>
      <c r="N260" s="173"/>
      <c r="O260" s="173"/>
      <c r="P260" s="173"/>
      <c r="Q260" s="173"/>
      <c r="R260" s="173"/>
      <c r="S260" s="173"/>
      <c r="T260" s="173"/>
      <c r="U260" s="173"/>
      <c r="V260" s="173"/>
      <c r="W260" s="173"/>
      <c r="X260" s="173"/>
      <c r="Y260" s="173"/>
      <c r="Z260" s="173"/>
      <c r="AA260" s="173"/>
      <c r="AB260" s="173"/>
      <c r="AC260" s="173"/>
      <c r="AD260" s="173"/>
      <c r="AE260" s="173"/>
      <c r="AF260" s="173"/>
      <c r="AG260" s="173"/>
      <c r="AH260" s="173"/>
      <c r="AI260" s="173"/>
      <c r="AJ260" s="173"/>
      <c r="AK260" s="173"/>
      <c r="AL260" s="173"/>
      <c r="AM260" s="173"/>
      <c r="AN260" s="173"/>
      <c r="AO260" s="173"/>
    </row>
    <row r="261" spans="1:41">
      <c r="A261" s="173"/>
      <c r="B261" s="173"/>
      <c r="C261" s="173"/>
      <c r="D261" s="173"/>
      <c r="E261" s="173"/>
      <c r="F261" s="173"/>
      <c r="G261" s="173"/>
      <c r="H261" s="173"/>
      <c r="I261" s="173"/>
      <c r="J261" s="173"/>
      <c r="K261" s="173"/>
      <c r="L261" s="173"/>
      <c r="M261" s="173"/>
      <c r="N261" s="173"/>
      <c r="O261" s="173"/>
      <c r="P261" s="173"/>
      <c r="Q261" s="173"/>
      <c r="R261" s="173"/>
      <c r="S261" s="173"/>
      <c r="T261" s="173"/>
      <c r="U261" s="173"/>
      <c r="V261" s="173"/>
      <c r="W261" s="173"/>
      <c r="X261" s="173"/>
      <c r="Y261" s="173"/>
      <c r="Z261" s="173"/>
      <c r="AA261" s="173"/>
      <c r="AB261" s="173"/>
      <c r="AC261" s="173"/>
      <c r="AD261" s="173"/>
      <c r="AE261" s="173"/>
      <c r="AF261" s="173"/>
      <c r="AG261" s="173"/>
      <c r="AH261" s="173"/>
      <c r="AI261" s="173"/>
      <c r="AJ261" s="173"/>
      <c r="AK261" s="173"/>
      <c r="AL261" s="173"/>
      <c r="AM261" s="173"/>
      <c r="AN261" s="173"/>
      <c r="AO261" s="173"/>
    </row>
    <row r="262" spans="1:41">
      <c r="A262" s="173"/>
      <c r="B262" s="173"/>
      <c r="C262" s="173"/>
      <c r="D262" s="173"/>
      <c r="E262" s="173"/>
      <c r="F262" s="173"/>
      <c r="G262" s="173"/>
      <c r="H262" s="173"/>
      <c r="I262" s="173"/>
      <c r="J262" s="173"/>
      <c r="K262" s="173"/>
      <c r="L262" s="173"/>
      <c r="M262" s="173"/>
      <c r="N262" s="173"/>
      <c r="O262" s="173"/>
      <c r="P262" s="173"/>
      <c r="Q262" s="173"/>
      <c r="R262" s="173"/>
      <c r="S262" s="173"/>
      <c r="T262" s="173"/>
      <c r="U262" s="173"/>
      <c r="V262" s="173"/>
      <c r="W262" s="173"/>
      <c r="X262" s="173"/>
      <c r="Y262" s="173"/>
      <c r="Z262" s="173"/>
      <c r="AA262" s="173"/>
      <c r="AB262" s="173"/>
      <c r="AC262" s="173"/>
      <c r="AD262" s="173"/>
      <c r="AE262" s="173"/>
      <c r="AF262" s="173"/>
      <c r="AG262" s="173"/>
      <c r="AH262" s="173"/>
      <c r="AI262" s="173"/>
      <c r="AJ262" s="173"/>
      <c r="AK262" s="173"/>
      <c r="AL262" s="173"/>
      <c r="AM262" s="173"/>
      <c r="AN262" s="173"/>
      <c r="AO262" s="173"/>
    </row>
    <row r="263" spans="1:41">
      <c r="A263" s="173"/>
      <c r="B263" s="181"/>
      <c r="C263" s="173"/>
      <c r="D263" s="173"/>
      <c r="E263" s="173"/>
      <c r="F263" s="173"/>
      <c r="G263" s="173"/>
      <c r="H263" s="173"/>
      <c r="I263" s="173"/>
      <c r="J263" s="173"/>
      <c r="K263" s="173"/>
      <c r="L263" s="173"/>
      <c r="M263" s="173"/>
      <c r="N263" s="173"/>
      <c r="O263" s="173"/>
      <c r="P263" s="173"/>
      <c r="Q263" s="173"/>
      <c r="R263" s="173"/>
      <c r="S263" s="173"/>
      <c r="T263" s="173"/>
      <c r="U263" s="173"/>
      <c r="V263" s="173"/>
      <c r="W263" s="173"/>
      <c r="X263" s="173"/>
      <c r="Y263" s="173"/>
      <c r="Z263" s="173"/>
      <c r="AA263" s="173"/>
      <c r="AB263" s="173"/>
      <c r="AC263" s="173"/>
      <c r="AD263" s="173"/>
      <c r="AE263" s="173"/>
      <c r="AF263" s="173"/>
      <c r="AG263" s="173"/>
      <c r="AH263" s="173"/>
      <c r="AI263" s="173"/>
      <c r="AJ263" s="173"/>
      <c r="AK263" s="173"/>
      <c r="AL263" s="173"/>
      <c r="AM263" s="173"/>
      <c r="AN263" s="173"/>
      <c r="AO263" s="173"/>
    </row>
    <row r="264" spans="1:41">
      <c r="A264" s="173"/>
      <c r="B264" s="173"/>
      <c r="C264" s="173"/>
      <c r="D264" s="173"/>
      <c r="E264" s="173"/>
      <c r="F264" s="173"/>
      <c r="G264" s="173"/>
      <c r="H264" s="173"/>
      <c r="I264" s="173"/>
      <c r="J264" s="173"/>
      <c r="K264" s="173"/>
      <c r="L264" s="173"/>
      <c r="M264" s="173"/>
      <c r="N264" s="173"/>
      <c r="O264" s="173"/>
      <c r="P264" s="173"/>
      <c r="Q264" s="173"/>
      <c r="R264" s="173"/>
      <c r="S264" s="173"/>
      <c r="T264" s="173"/>
      <c r="U264" s="173"/>
      <c r="V264" s="173"/>
      <c r="W264" s="173"/>
      <c r="X264" s="173"/>
      <c r="Y264" s="173"/>
      <c r="Z264" s="173"/>
      <c r="AA264" s="173"/>
      <c r="AB264" s="173"/>
      <c r="AC264" s="173"/>
      <c r="AD264" s="173"/>
      <c r="AE264" s="173"/>
      <c r="AF264" s="173"/>
      <c r="AG264" s="173"/>
      <c r="AH264" s="173"/>
      <c r="AI264" s="173"/>
      <c r="AJ264" s="173"/>
      <c r="AK264" s="173"/>
      <c r="AL264" s="173"/>
      <c r="AM264" s="173"/>
      <c r="AN264" s="173"/>
      <c r="AO264" s="173"/>
    </row>
    <row r="265" spans="1:41">
      <c r="A265" s="173"/>
      <c r="B265" s="173"/>
      <c r="C265" s="173"/>
      <c r="D265" s="173"/>
      <c r="E265" s="173"/>
      <c r="F265" s="173"/>
      <c r="G265" s="173"/>
      <c r="H265" s="173"/>
      <c r="I265" s="173"/>
      <c r="J265" s="173"/>
      <c r="K265" s="173"/>
      <c r="L265" s="173"/>
      <c r="M265" s="173"/>
      <c r="N265" s="173"/>
      <c r="O265" s="173"/>
      <c r="P265" s="173"/>
      <c r="Q265" s="173"/>
      <c r="R265" s="173"/>
      <c r="S265" s="173"/>
      <c r="T265" s="173"/>
      <c r="U265" s="173"/>
      <c r="V265" s="173"/>
      <c r="W265" s="173"/>
      <c r="X265" s="173"/>
      <c r="Y265" s="173"/>
      <c r="Z265" s="173"/>
      <c r="AA265" s="173"/>
      <c r="AB265" s="173"/>
      <c r="AC265" s="173"/>
      <c r="AD265" s="173"/>
      <c r="AE265" s="173"/>
      <c r="AF265" s="173"/>
      <c r="AG265" s="173"/>
      <c r="AH265" s="173"/>
      <c r="AI265" s="173"/>
      <c r="AJ265" s="173"/>
      <c r="AK265" s="173"/>
      <c r="AL265" s="173"/>
      <c r="AM265" s="173"/>
      <c r="AN265" s="173"/>
      <c r="AO265" s="173"/>
    </row>
    <row r="266" spans="1:41">
      <c r="A266" s="173"/>
      <c r="B266" s="181"/>
      <c r="C266" s="173"/>
      <c r="D266" s="181"/>
      <c r="E266" s="181"/>
      <c r="F266" s="181"/>
      <c r="G266" s="181"/>
      <c r="H266" s="181"/>
      <c r="I266" s="173"/>
      <c r="J266" s="173"/>
      <c r="K266" s="173"/>
      <c r="L266" s="173"/>
      <c r="M266" s="173"/>
      <c r="N266" s="173"/>
      <c r="O266" s="173"/>
      <c r="P266" s="173"/>
      <c r="Q266" s="173"/>
      <c r="R266" s="173"/>
      <c r="S266" s="173"/>
      <c r="T266" s="173"/>
      <c r="U266" s="173"/>
      <c r="V266" s="173"/>
      <c r="W266" s="173"/>
      <c r="X266" s="173"/>
      <c r="Y266" s="173"/>
      <c r="Z266" s="173"/>
      <c r="AA266" s="173"/>
      <c r="AB266" s="173"/>
      <c r="AC266" s="173"/>
      <c r="AD266" s="173"/>
      <c r="AE266" s="173"/>
      <c r="AF266" s="173"/>
      <c r="AG266" s="173"/>
      <c r="AH266" s="173"/>
      <c r="AI266" s="173"/>
      <c r="AJ266" s="173"/>
      <c r="AK266" s="173"/>
      <c r="AL266" s="173"/>
      <c r="AM266" s="173"/>
      <c r="AN266" s="173"/>
      <c r="AO266" s="173"/>
    </row>
    <row r="267" spans="1:41">
      <c r="A267" s="173"/>
      <c r="B267" s="181"/>
      <c r="C267" s="181"/>
      <c r="D267" s="181"/>
      <c r="E267" s="181"/>
      <c r="F267" s="181"/>
      <c r="G267" s="181"/>
      <c r="H267" s="181"/>
      <c r="I267" s="181"/>
      <c r="J267" s="173"/>
      <c r="K267" s="173"/>
      <c r="L267" s="173"/>
      <c r="M267" s="173"/>
      <c r="N267" s="173"/>
      <c r="O267" s="173"/>
      <c r="P267" s="173"/>
      <c r="Q267" s="173"/>
      <c r="R267" s="173"/>
      <c r="S267" s="173"/>
      <c r="T267" s="173"/>
      <c r="U267" s="173"/>
      <c r="V267" s="173"/>
      <c r="W267" s="173"/>
      <c r="X267" s="173"/>
      <c r="Y267" s="173"/>
      <c r="Z267" s="173"/>
      <c r="AA267" s="173"/>
      <c r="AB267" s="173"/>
      <c r="AC267" s="173"/>
      <c r="AD267" s="173"/>
      <c r="AE267" s="173"/>
      <c r="AF267" s="173"/>
      <c r="AG267" s="173"/>
      <c r="AH267" s="173"/>
      <c r="AI267" s="173"/>
      <c r="AJ267" s="173"/>
      <c r="AK267" s="173"/>
      <c r="AL267" s="173"/>
      <c r="AM267" s="173"/>
      <c r="AN267" s="173"/>
      <c r="AO267" s="173"/>
    </row>
    <row r="268" spans="1:41">
      <c r="A268" s="173"/>
      <c r="B268" s="173"/>
      <c r="C268" s="173"/>
      <c r="D268" s="173"/>
      <c r="E268" s="173"/>
      <c r="F268" s="173"/>
      <c r="G268" s="173"/>
      <c r="H268" s="173"/>
      <c r="I268" s="173"/>
      <c r="J268" s="173"/>
      <c r="K268" s="173"/>
      <c r="L268" s="173"/>
      <c r="M268" s="173"/>
      <c r="N268" s="173"/>
      <c r="O268" s="173"/>
      <c r="P268" s="173"/>
      <c r="Q268" s="173"/>
      <c r="R268" s="173"/>
      <c r="S268" s="173"/>
      <c r="T268" s="173"/>
      <c r="U268" s="173"/>
      <c r="V268" s="173"/>
      <c r="W268" s="173"/>
      <c r="X268" s="173"/>
      <c r="Y268" s="173"/>
      <c r="Z268" s="173"/>
      <c r="AA268" s="173"/>
      <c r="AB268" s="173"/>
      <c r="AC268" s="173"/>
      <c r="AD268" s="173"/>
      <c r="AE268" s="173"/>
      <c r="AF268" s="173"/>
      <c r="AG268" s="173"/>
      <c r="AH268" s="173"/>
      <c r="AI268" s="173"/>
      <c r="AJ268" s="173"/>
      <c r="AK268" s="173"/>
      <c r="AL268" s="173"/>
      <c r="AM268" s="173"/>
      <c r="AN268" s="173"/>
      <c r="AO268" s="173"/>
    </row>
    <row r="269" spans="1:41">
      <c r="A269" s="173"/>
      <c r="B269" s="173"/>
      <c r="C269" s="173"/>
      <c r="D269" s="173"/>
      <c r="E269" s="173"/>
      <c r="F269" s="173"/>
      <c r="G269" s="173"/>
      <c r="H269" s="173"/>
      <c r="I269" s="173"/>
      <c r="J269" s="173"/>
      <c r="K269" s="173"/>
      <c r="L269" s="173"/>
      <c r="M269" s="173"/>
      <c r="N269" s="173"/>
      <c r="O269" s="173"/>
      <c r="P269" s="173"/>
      <c r="Q269" s="173"/>
      <c r="R269" s="173"/>
      <c r="S269" s="173"/>
      <c r="T269" s="173"/>
      <c r="U269" s="173"/>
      <c r="V269" s="173"/>
      <c r="W269" s="173"/>
      <c r="X269" s="173"/>
      <c r="Y269" s="173"/>
      <c r="Z269" s="173"/>
      <c r="AA269" s="173"/>
      <c r="AB269" s="173"/>
      <c r="AC269" s="173"/>
      <c r="AD269" s="173"/>
      <c r="AE269" s="173"/>
      <c r="AF269" s="173"/>
      <c r="AG269" s="173"/>
      <c r="AH269" s="173"/>
      <c r="AI269" s="173"/>
      <c r="AJ269" s="173"/>
      <c r="AK269" s="173"/>
      <c r="AL269" s="173"/>
      <c r="AM269" s="173"/>
      <c r="AN269" s="173"/>
      <c r="AO269" s="173"/>
    </row>
    <row r="270" spans="1:41">
      <c r="A270" s="173"/>
      <c r="B270" s="181"/>
      <c r="C270" s="181"/>
      <c r="D270" s="181"/>
      <c r="E270" s="181"/>
      <c r="F270" s="181"/>
      <c r="G270" s="173"/>
      <c r="H270" s="173"/>
      <c r="I270" s="173"/>
      <c r="J270" s="173"/>
      <c r="K270" s="173"/>
      <c r="L270" s="173"/>
      <c r="M270" s="173"/>
      <c r="N270" s="173"/>
      <c r="O270" s="173"/>
      <c r="P270" s="173"/>
      <c r="Q270" s="173"/>
      <c r="R270" s="173"/>
      <c r="S270" s="173"/>
      <c r="T270" s="173"/>
      <c r="U270" s="173"/>
      <c r="V270" s="173"/>
      <c r="W270" s="173"/>
      <c r="X270" s="173"/>
      <c r="Y270" s="173"/>
      <c r="Z270" s="173"/>
      <c r="AA270" s="173"/>
      <c r="AB270" s="173"/>
      <c r="AC270" s="173"/>
      <c r="AD270" s="173"/>
      <c r="AE270" s="173"/>
      <c r="AF270" s="173"/>
      <c r="AG270" s="173"/>
      <c r="AH270" s="173"/>
      <c r="AI270" s="173"/>
      <c r="AJ270" s="173"/>
      <c r="AK270" s="173"/>
      <c r="AL270" s="173"/>
      <c r="AM270" s="173"/>
      <c r="AN270" s="173"/>
      <c r="AO270" s="173"/>
    </row>
    <row r="271" spans="1:41">
      <c r="A271" s="173"/>
      <c r="B271" s="181"/>
      <c r="C271" s="173"/>
      <c r="D271" s="173"/>
      <c r="E271" s="173"/>
      <c r="F271" s="173"/>
      <c r="G271" s="173"/>
      <c r="H271" s="173"/>
      <c r="I271" s="173"/>
      <c r="J271" s="173"/>
      <c r="K271" s="173"/>
      <c r="L271" s="173"/>
      <c r="M271" s="173"/>
      <c r="N271" s="173"/>
      <c r="O271" s="173"/>
      <c r="P271" s="173"/>
      <c r="Q271" s="173"/>
      <c r="R271" s="173"/>
      <c r="S271" s="173"/>
      <c r="T271" s="173"/>
      <c r="U271" s="173"/>
      <c r="V271" s="173"/>
      <c r="W271" s="173"/>
      <c r="X271" s="173"/>
      <c r="Y271" s="173"/>
      <c r="Z271" s="173"/>
      <c r="AA271" s="173"/>
      <c r="AB271" s="173"/>
      <c r="AC271" s="173"/>
      <c r="AD271" s="173"/>
      <c r="AE271" s="173"/>
      <c r="AF271" s="173"/>
      <c r="AG271" s="173"/>
      <c r="AH271" s="173"/>
      <c r="AI271" s="173"/>
      <c r="AJ271" s="173"/>
      <c r="AK271" s="173"/>
      <c r="AL271" s="173"/>
      <c r="AM271" s="173"/>
      <c r="AN271" s="173"/>
      <c r="AO271" s="173"/>
    </row>
    <row r="272" spans="1:41">
      <c r="A272" s="173"/>
      <c r="B272" s="173"/>
      <c r="C272" s="173"/>
      <c r="D272" s="173"/>
      <c r="E272" s="173"/>
      <c r="F272" s="173"/>
      <c r="G272" s="173"/>
      <c r="H272" s="173"/>
      <c r="I272" s="173"/>
      <c r="J272" s="173"/>
      <c r="K272" s="173"/>
      <c r="L272" s="173"/>
      <c r="M272" s="173"/>
      <c r="N272" s="173"/>
      <c r="O272" s="173"/>
      <c r="P272" s="173"/>
      <c r="Q272" s="173"/>
      <c r="R272" s="173"/>
      <c r="S272" s="173"/>
      <c r="T272" s="173"/>
      <c r="U272" s="173"/>
      <c r="V272" s="173"/>
      <c r="W272" s="173"/>
      <c r="X272" s="173"/>
      <c r="Y272" s="173"/>
      <c r="Z272" s="173"/>
      <c r="AA272" s="173"/>
      <c r="AB272" s="173"/>
      <c r="AC272" s="173"/>
      <c r="AD272" s="173"/>
      <c r="AE272" s="173"/>
      <c r="AF272" s="173"/>
      <c r="AG272" s="173"/>
      <c r="AH272" s="173"/>
      <c r="AI272" s="173"/>
      <c r="AJ272" s="173"/>
      <c r="AK272" s="173"/>
      <c r="AL272" s="173"/>
      <c r="AM272" s="173"/>
      <c r="AN272" s="173"/>
      <c r="AO272" s="173"/>
    </row>
    <row r="273" spans="1:41">
      <c r="A273" s="173"/>
      <c r="B273" s="173"/>
      <c r="C273" s="173"/>
      <c r="D273" s="173"/>
      <c r="E273" s="173"/>
      <c r="F273" s="173"/>
      <c r="G273" s="173"/>
      <c r="H273" s="173"/>
      <c r="I273" s="173"/>
      <c r="J273" s="173"/>
      <c r="K273" s="173"/>
      <c r="L273" s="173"/>
      <c r="M273" s="173"/>
      <c r="N273" s="173"/>
      <c r="O273" s="173"/>
      <c r="P273" s="173"/>
      <c r="Q273" s="173"/>
      <c r="R273" s="173"/>
      <c r="S273" s="173"/>
      <c r="T273" s="173"/>
      <c r="U273" s="173"/>
      <c r="V273" s="173"/>
      <c r="W273" s="173"/>
      <c r="X273" s="173"/>
      <c r="Y273" s="173"/>
      <c r="Z273" s="173"/>
      <c r="AA273" s="173"/>
      <c r="AB273" s="173"/>
      <c r="AC273" s="173"/>
      <c r="AD273" s="173"/>
      <c r="AE273" s="173"/>
      <c r="AF273" s="173"/>
      <c r="AG273" s="173"/>
      <c r="AH273" s="173"/>
      <c r="AI273" s="173"/>
      <c r="AJ273" s="173"/>
      <c r="AK273" s="173"/>
      <c r="AL273" s="173"/>
      <c r="AM273" s="173"/>
      <c r="AN273" s="173"/>
      <c r="AO273" s="173"/>
    </row>
    <row r="274" spans="1:41">
      <c r="A274" s="173"/>
      <c r="B274" s="181"/>
      <c r="C274" s="173"/>
      <c r="D274" s="173"/>
      <c r="E274" s="173"/>
      <c r="F274" s="173"/>
      <c r="G274" s="173"/>
      <c r="H274" s="173"/>
      <c r="I274" s="173"/>
      <c r="J274" s="173"/>
      <c r="K274" s="173"/>
      <c r="L274" s="173"/>
      <c r="M274" s="173"/>
      <c r="N274" s="173"/>
      <c r="O274" s="173"/>
      <c r="P274" s="173"/>
      <c r="Q274" s="173"/>
      <c r="R274" s="173"/>
      <c r="S274" s="173"/>
      <c r="T274" s="173"/>
      <c r="U274" s="173"/>
      <c r="V274" s="173"/>
      <c r="W274" s="173"/>
      <c r="X274" s="173"/>
      <c r="Y274" s="173"/>
      <c r="Z274" s="173"/>
      <c r="AA274" s="173"/>
      <c r="AB274" s="173"/>
      <c r="AC274" s="173"/>
      <c r="AD274" s="173"/>
      <c r="AE274" s="173"/>
      <c r="AF274" s="173"/>
      <c r="AG274" s="173"/>
      <c r="AH274" s="173"/>
      <c r="AI274" s="173"/>
      <c r="AJ274" s="173"/>
      <c r="AK274" s="173"/>
      <c r="AL274" s="173"/>
      <c r="AM274" s="173"/>
      <c r="AN274" s="173"/>
      <c r="AO274" s="173"/>
    </row>
    <row r="275" spans="1:41">
      <c r="A275" s="173"/>
      <c r="B275" s="181"/>
      <c r="C275" s="181"/>
      <c r="D275" s="181"/>
      <c r="E275" s="181"/>
      <c r="F275" s="181"/>
      <c r="G275" s="181"/>
      <c r="H275" s="173"/>
      <c r="I275" s="173"/>
      <c r="J275" s="173"/>
      <c r="K275" s="173"/>
      <c r="L275" s="173"/>
      <c r="M275" s="173"/>
      <c r="N275" s="173"/>
      <c r="O275" s="173"/>
      <c r="P275" s="173"/>
      <c r="Q275" s="173"/>
      <c r="R275" s="173"/>
      <c r="S275" s="173"/>
      <c r="T275" s="173"/>
      <c r="U275" s="173"/>
      <c r="V275" s="173"/>
      <c r="W275" s="173"/>
      <c r="X275" s="173"/>
      <c r="Y275" s="173"/>
      <c r="Z275" s="173"/>
      <c r="AA275" s="173"/>
      <c r="AB275" s="173"/>
      <c r="AC275" s="173"/>
      <c r="AD275" s="173"/>
      <c r="AE275" s="173"/>
      <c r="AF275" s="173"/>
      <c r="AG275" s="173"/>
      <c r="AH275" s="173"/>
      <c r="AI275" s="173"/>
      <c r="AJ275" s="173"/>
      <c r="AK275" s="173"/>
      <c r="AL275" s="173"/>
      <c r="AM275" s="173"/>
      <c r="AN275" s="173"/>
      <c r="AO275" s="173"/>
    </row>
    <row r="276" spans="1:41">
      <c r="A276" s="173"/>
      <c r="B276" s="173"/>
      <c r="C276" s="173"/>
      <c r="D276" s="173"/>
      <c r="E276" s="173"/>
      <c r="F276" s="173"/>
      <c r="G276" s="173"/>
      <c r="H276" s="173"/>
      <c r="I276" s="173"/>
      <c r="J276" s="173"/>
      <c r="K276" s="173"/>
      <c r="L276" s="173"/>
      <c r="M276" s="173"/>
      <c r="N276" s="173"/>
      <c r="O276" s="173"/>
      <c r="P276" s="173"/>
      <c r="Q276" s="173"/>
      <c r="R276" s="173"/>
      <c r="S276" s="173"/>
      <c r="T276" s="173"/>
      <c r="U276" s="173"/>
      <c r="V276" s="173"/>
      <c r="W276" s="173"/>
      <c r="X276" s="173"/>
      <c r="Y276" s="173"/>
      <c r="Z276" s="173"/>
      <c r="AA276" s="173"/>
      <c r="AB276" s="173"/>
      <c r="AC276" s="173"/>
      <c r="AD276" s="173"/>
      <c r="AE276" s="173"/>
      <c r="AF276" s="173"/>
      <c r="AG276" s="173"/>
      <c r="AH276" s="173"/>
      <c r="AI276" s="173"/>
      <c r="AJ276" s="173"/>
      <c r="AK276" s="173"/>
      <c r="AL276" s="173"/>
      <c r="AM276" s="173"/>
      <c r="AN276" s="173"/>
      <c r="AO276" s="173"/>
    </row>
    <row r="277" spans="1:41">
      <c r="A277" s="173"/>
      <c r="B277" s="173"/>
      <c r="C277" s="173"/>
      <c r="D277" s="173"/>
      <c r="E277" s="173"/>
      <c r="F277" s="173"/>
      <c r="G277" s="173"/>
      <c r="H277" s="173"/>
      <c r="I277" s="173"/>
      <c r="J277" s="173"/>
      <c r="K277" s="173"/>
      <c r="L277" s="173"/>
      <c r="M277" s="173"/>
      <c r="N277" s="173"/>
      <c r="O277" s="173"/>
      <c r="P277" s="173"/>
      <c r="Q277" s="173"/>
      <c r="R277" s="173"/>
      <c r="S277" s="173"/>
      <c r="T277" s="173"/>
      <c r="U277" s="173"/>
      <c r="V277" s="173"/>
      <c r="W277" s="173"/>
      <c r="X277" s="173"/>
      <c r="Y277" s="173"/>
      <c r="Z277" s="173"/>
      <c r="AA277" s="173"/>
      <c r="AB277" s="173"/>
      <c r="AC277" s="173"/>
      <c r="AD277" s="173"/>
      <c r="AE277" s="173"/>
      <c r="AF277" s="173"/>
      <c r="AG277" s="173"/>
      <c r="AH277" s="173"/>
      <c r="AI277" s="173"/>
      <c r="AJ277" s="173"/>
      <c r="AK277" s="173"/>
      <c r="AL277" s="173"/>
      <c r="AM277" s="173"/>
      <c r="AN277" s="173"/>
      <c r="AO277" s="173"/>
    </row>
    <row r="278" spans="1:41">
      <c r="A278" s="173"/>
      <c r="B278" s="181"/>
      <c r="C278" s="181"/>
      <c r="D278" s="181"/>
      <c r="E278" s="181"/>
      <c r="F278" s="181"/>
      <c r="G278" s="181"/>
      <c r="H278" s="173"/>
      <c r="I278" s="173"/>
      <c r="J278" s="173"/>
      <c r="K278" s="173"/>
      <c r="L278" s="173"/>
      <c r="M278" s="173"/>
      <c r="N278" s="173"/>
      <c r="O278" s="173"/>
      <c r="P278" s="173"/>
      <c r="Q278" s="173"/>
      <c r="R278" s="173"/>
      <c r="S278" s="173"/>
      <c r="T278" s="173"/>
      <c r="U278" s="173"/>
      <c r="V278" s="173"/>
      <c r="W278" s="173"/>
      <c r="X278" s="173"/>
      <c r="Y278" s="173"/>
      <c r="Z278" s="173"/>
      <c r="AA278" s="173"/>
      <c r="AB278" s="173"/>
      <c r="AC278" s="173"/>
      <c r="AD278" s="173"/>
      <c r="AE278" s="173"/>
      <c r="AF278" s="173"/>
      <c r="AG278" s="173"/>
      <c r="AH278" s="173"/>
      <c r="AI278" s="173"/>
      <c r="AJ278" s="173"/>
      <c r="AK278" s="173"/>
      <c r="AL278" s="173"/>
      <c r="AM278" s="173"/>
      <c r="AN278" s="173"/>
      <c r="AO278" s="173"/>
    </row>
    <row r="279" spans="1:41">
      <c r="A279" s="173"/>
      <c r="B279" s="181"/>
      <c r="C279" s="181"/>
      <c r="D279" s="181"/>
      <c r="E279" s="181"/>
      <c r="F279" s="181"/>
      <c r="G279" s="181"/>
      <c r="H279" s="181"/>
      <c r="I279" s="173"/>
      <c r="J279" s="173"/>
      <c r="K279" s="173"/>
      <c r="L279" s="173"/>
      <c r="M279" s="173"/>
      <c r="N279" s="173"/>
      <c r="O279" s="173"/>
      <c r="P279" s="173"/>
      <c r="Q279" s="173"/>
      <c r="R279" s="173"/>
      <c r="S279" s="173"/>
      <c r="T279" s="173"/>
      <c r="U279" s="173"/>
      <c r="V279" s="173"/>
      <c r="W279" s="173"/>
      <c r="X279" s="173"/>
      <c r="Y279" s="173"/>
      <c r="Z279" s="173"/>
      <c r="AA279" s="173"/>
      <c r="AB279" s="173"/>
      <c r="AC279" s="173"/>
      <c r="AD279" s="173"/>
      <c r="AE279" s="173"/>
      <c r="AF279" s="173"/>
      <c r="AG279" s="173"/>
      <c r="AH279" s="173"/>
      <c r="AI279" s="173"/>
      <c r="AJ279" s="173"/>
      <c r="AK279" s="173"/>
      <c r="AL279" s="173"/>
      <c r="AM279" s="173"/>
      <c r="AN279" s="173"/>
      <c r="AO279" s="173"/>
    </row>
    <row r="280" spans="1:41">
      <c r="A280" s="173"/>
      <c r="B280" s="173"/>
      <c r="C280" s="173"/>
      <c r="D280" s="173"/>
      <c r="E280" s="173"/>
      <c r="F280" s="173"/>
      <c r="G280" s="173"/>
      <c r="H280" s="173"/>
      <c r="I280" s="173"/>
      <c r="J280" s="173"/>
      <c r="K280" s="173"/>
      <c r="L280" s="173"/>
      <c r="M280" s="173"/>
      <c r="N280" s="173"/>
      <c r="O280" s="173"/>
      <c r="P280" s="173"/>
      <c r="Q280" s="173"/>
      <c r="R280" s="173"/>
      <c r="S280" s="173"/>
      <c r="T280" s="173"/>
      <c r="U280" s="173"/>
      <c r="V280" s="173"/>
      <c r="W280" s="173"/>
      <c r="X280" s="173"/>
      <c r="Y280" s="173"/>
      <c r="Z280" s="173"/>
      <c r="AA280" s="173"/>
      <c r="AB280" s="173"/>
      <c r="AC280" s="173"/>
      <c r="AD280" s="173"/>
      <c r="AE280" s="173"/>
      <c r="AF280" s="173"/>
      <c r="AG280" s="173"/>
      <c r="AH280" s="173"/>
      <c r="AI280" s="173"/>
      <c r="AJ280" s="173"/>
      <c r="AK280" s="173"/>
      <c r="AL280" s="173"/>
      <c r="AM280" s="173"/>
      <c r="AN280" s="173"/>
      <c r="AO280" s="173"/>
    </row>
    <row r="281" spans="1:41">
      <c r="A281" s="173"/>
      <c r="B281" s="173"/>
      <c r="C281" s="173"/>
      <c r="D281" s="173"/>
      <c r="E281" s="173"/>
      <c r="F281" s="173"/>
      <c r="G281" s="173"/>
      <c r="H281" s="173"/>
      <c r="I281" s="173"/>
      <c r="J281" s="173"/>
      <c r="K281" s="173"/>
      <c r="L281" s="173"/>
      <c r="M281" s="173"/>
      <c r="N281" s="173"/>
      <c r="O281" s="173"/>
      <c r="P281" s="173"/>
      <c r="Q281" s="173"/>
      <c r="R281" s="173"/>
      <c r="S281" s="173"/>
      <c r="T281" s="173"/>
      <c r="U281" s="173"/>
      <c r="V281" s="173"/>
      <c r="W281" s="173"/>
      <c r="X281" s="173"/>
      <c r="Y281" s="173"/>
      <c r="Z281" s="173"/>
      <c r="AA281" s="173"/>
      <c r="AB281" s="173"/>
      <c r="AC281" s="173"/>
      <c r="AD281" s="173"/>
      <c r="AE281" s="173"/>
      <c r="AF281" s="173"/>
      <c r="AG281" s="173"/>
      <c r="AH281" s="173"/>
      <c r="AI281" s="173"/>
      <c r="AJ281" s="173"/>
      <c r="AK281" s="173"/>
      <c r="AL281" s="173"/>
      <c r="AM281" s="173"/>
      <c r="AN281" s="173"/>
      <c r="AO281" s="173"/>
    </row>
    <row r="282" spans="1:41">
      <c r="A282" s="173"/>
      <c r="B282" s="181"/>
      <c r="C282" s="181"/>
      <c r="D282" s="181"/>
      <c r="E282" s="181"/>
      <c r="F282" s="181"/>
      <c r="G282" s="181"/>
      <c r="H282" s="173"/>
      <c r="I282" s="173"/>
      <c r="J282" s="173"/>
      <c r="K282" s="173"/>
      <c r="L282" s="173"/>
      <c r="M282" s="173"/>
      <c r="N282" s="173"/>
      <c r="O282" s="173"/>
      <c r="P282" s="173"/>
      <c r="Q282" s="173"/>
      <c r="R282" s="173"/>
      <c r="S282" s="173"/>
      <c r="T282" s="173"/>
      <c r="U282" s="173"/>
      <c r="V282" s="173"/>
      <c r="W282" s="173"/>
      <c r="X282" s="173"/>
      <c r="Y282" s="173"/>
      <c r="Z282" s="173"/>
      <c r="AA282" s="173"/>
      <c r="AB282" s="173"/>
      <c r="AC282" s="173"/>
      <c r="AD282" s="173"/>
      <c r="AE282" s="173"/>
      <c r="AF282" s="173"/>
      <c r="AG282" s="173"/>
      <c r="AH282" s="173"/>
      <c r="AI282" s="173"/>
      <c r="AJ282" s="173"/>
      <c r="AK282" s="173"/>
      <c r="AL282" s="173"/>
      <c r="AM282" s="173"/>
      <c r="AN282" s="173"/>
      <c r="AO282" s="173"/>
    </row>
    <row r="283" spans="1:41">
      <c r="A283" s="173"/>
      <c r="B283" s="181"/>
      <c r="C283" s="173"/>
      <c r="D283" s="173"/>
      <c r="E283" s="173"/>
      <c r="F283" s="173"/>
      <c r="G283" s="173"/>
      <c r="H283" s="173"/>
      <c r="I283" s="173"/>
      <c r="J283" s="173"/>
      <c r="K283" s="173"/>
      <c r="L283" s="173"/>
      <c r="M283" s="173"/>
      <c r="N283" s="173"/>
      <c r="O283" s="173"/>
      <c r="P283" s="173"/>
      <c r="Q283" s="173"/>
      <c r="R283" s="173"/>
      <c r="S283" s="173"/>
      <c r="T283" s="173"/>
      <c r="U283" s="173"/>
      <c r="V283" s="173"/>
      <c r="W283" s="173"/>
      <c r="X283" s="173"/>
      <c r="Y283" s="173"/>
      <c r="Z283" s="173"/>
      <c r="AA283" s="173"/>
      <c r="AB283" s="173"/>
      <c r="AC283" s="173"/>
      <c r="AD283" s="173"/>
      <c r="AE283" s="173"/>
      <c r="AF283" s="173"/>
      <c r="AG283" s="173"/>
      <c r="AH283" s="173"/>
      <c r="AI283" s="173"/>
      <c r="AJ283" s="173"/>
      <c r="AK283" s="173"/>
      <c r="AL283" s="173"/>
      <c r="AM283" s="173"/>
      <c r="AN283" s="173"/>
      <c r="AO283" s="173"/>
    </row>
    <row r="284" spans="1:41">
      <c r="A284" s="173"/>
      <c r="B284" s="173"/>
      <c r="C284" s="173"/>
      <c r="D284" s="173"/>
      <c r="E284" s="173"/>
      <c r="F284" s="173"/>
      <c r="G284" s="173"/>
      <c r="H284" s="173"/>
      <c r="I284" s="173"/>
      <c r="J284" s="173"/>
      <c r="K284" s="173"/>
      <c r="L284" s="173"/>
      <c r="M284" s="173"/>
      <c r="N284" s="173"/>
      <c r="O284" s="173"/>
      <c r="P284" s="173"/>
      <c r="Q284" s="173"/>
      <c r="R284" s="173"/>
      <c r="S284" s="173"/>
      <c r="T284" s="173"/>
      <c r="U284" s="173"/>
      <c r="V284" s="173"/>
      <c r="W284" s="173"/>
      <c r="X284" s="173"/>
      <c r="Y284" s="173"/>
      <c r="Z284" s="173"/>
      <c r="AA284" s="173"/>
      <c r="AB284" s="173"/>
      <c r="AC284" s="173"/>
      <c r="AD284" s="173"/>
      <c r="AE284" s="173"/>
      <c r="AF284" s="173"/>
      <c r="AG284" s="173"/>
      <c r="AH284" s="173"/>
      <c r="AI284" s="173"/>
      <c r="AJ284" s="173"/>
      <c r="AK284" s="173"/>
      <c r="AL284" s="173"/>
      <c r="AM284" s="173"/>
      <c r="AN284" s="173"/>
      <c r="AO284" s="173"/>
    </row>
    <row r="285" spans="1:41">
      <c r="A285" s="173"/>
      <c r="B285" s="173"/>
      <c r="C285" s="173"/>
      <c r="D285" s="173"/>
      <c r="E285" s="173"/>
      <c r="F285" s="173"/>
      <c r="G285" s="173"/>
      <c r="H285" s="173"/>
      <c r="I285" s="173"/>
      <c r="J285" s="173"/>
      <c r="K285" s="173"/>
      <c r="L285" s="173"/>
      <c r="M285" s="173"/>
      <c r="N285" s="173"/>
      <c r="O285" s="173"/>
      <c r="P285" s="173"/>
      <c r="Q285" s="173"/>
      <c r="R285" s="173"/>
      <c r="S285" s="173"/>
      <c r="T285" s="173"/>
      <c r="U285" s="173"/>
      <c r="V285" s="173"/>
      <c r="W285" s="173"/>
      <c r="X285" s="173"/>
      <c r="Y285" s="173"/>
      <c r="Z285" s="173"/>
      <c r="AA285" s="173"/>
      <c r="AB285" s="173"/>
      <c r="AC285" s="173"/>
      <c r="AD285" s="173"/>
      <c r="AE285" s="173"/>
      <c r="AF285" s="173"/>
      <c r="AG285" s="173"/>
      <c r="AH285" s="173"/>
      <c r="AI285" s="173"/>
      <c r="AJ285" s="173"/>
      <c r="AK285" s="173"/>
      <c r="AL285" s="173"/>
      <c r="AM285" s="173"/>
      <c r="AN285" s="173"/>
      <c r="AO285" s="173"/>
    </row>
    <row r="286" spans="1:41">
      <c r="A286" s="173"/>
      <c r="B286" s="181"/>
      <c r="C286" s="173"/>
      <c r="D286" s="181"/>
      <c r="E286" s="181"/>
      <c r="F286" s="181"/>
      <c r="G286" s="173"/>
      <c r="H286" s="173"/>
      <c r="I286" s="173"/>
      <c r="J286" s="181"/>
      <c r="K286" s="181"/>
      <c r="L286" s="181"/>
      <c r="M286" s="181"/>
      <c r="N286" s="173"/>
      <c r="O286" s="173"/>
      <c r="P286" s="173"/>
      <c r="Q286" s="173"/>
      <c r="R286" s="173"/>
      <c r="S286" s="173"/>
      <c r="T286" s="173"/>
      <c r="U286" s="173"/>
      <c r="V286" s="173"/>
      <c r="W286" s="173"/>
      <c r="X286" s="173"/>
      <c r="Y286" s="173"/>
      <c r="Z286" s="173"/>
      <c r="AA286" s="173"/>
      <c r="AB286" s="173"/>
      <c r="AC286" s="173"/>
      <c r="AD286" s="173"/>
      <c r="AE286" s="173"/>
      <c r="AF286" s="173"/>
      <c r="AG286" s="173"/>
      <c r="AH286" s="173"/>
      <c r="AI286" s="173"/>
      <c r="AJ286" s="173"/>
      <c r="AK286" s="173"/>
      <c r="AL286" s="173"/>
      <c r="AM286" s="173"/>
      <c r="AN286" s="173"/>
      <c r="AO286" s="173"/>
    </row>
    <row r="287" spans="1:41">
      <c r="A287" s="173"/>
      <c r="B287" s="181"/>
      <c r="C287" s="181"/>
      <c r="D287" s="181"/>
      <c r="E287" s="181"/>
      <c r="F287" s="181"/>
      <c r="G287" s="181"/>
      <c r="H287" s="181"/>
      <c r="I287" s="181"/>
      <c r="J287" s="181"/>
      <c r="K287" s="181"/>
      <c r="L287" s="181"/>
      <c r="M287" s="181"/>
      <c r="N287" s="173"/>
      <c r="O287" s="173"/>
      <c r="P287" s="173"/>
      <c r="Q287" s="173"/>
      <c r="R287" s="173"/>
      <c r="S287" s="173"/>
      <c r="T287" s="173"/>
      <c r="U287" s="173"/>
      <c r="V287" s="173"/>
      <c r="W287" s="173"/>
      <c r="X287" s="173"/>
      <c r="Y287" s="173"/>
      <c r="Z287" s="173"/>
      <c r="AA287" s="173"/>
      <c r="AB287" s="173"/>
      <c r="AC287" s="173"/>
      <c r="AD287" s="173"/>
      <c r="AE287" s="173"/>
      <c r="AF287" s="173"/>
      <c r="AG287" s="173"/>
      <c r="AH287" s="173"/>
      <c r="AI287" s="173"/>
      <c r="AJ287" s="173"/>
      <c r="AK287" s="173"/>
      <c r="AL287" s="173"/>
      <c r="AM287" s="173"/>
      <c r="AN287" s="173"/>
      <c r="AO287" s="173"/>
    </row>
    <row r="288" spans="1:41">
      <c r="A288" s="173"/>
      <c r="B288" s="173"/>
      <c r="C288" s="173"/>
      <c r="D288" s="173"/>
      <c r="E288" s="173"/>
      <c r="F288" s="173"/>
      <c r="G288" s="173"/>
      <c r="H288" s="173"/>
      <c r="I288" s="173"/>
      <c r="J288" s="173"/>
      <c r="K288" s="173"/>
      <c r="L288" s="173"/>
      <c r="M288" s="173"/>
      <c r="N288" s="173"/>
      <c r="O288" s="173"/>
      <c r="P288" s="173"/>
      <c r="Q288" s="173"/>
      <c r="R288" s="173"/>
      <c r="S288" s="173"/>
      <c r="T288" s="173"/>
      <c r="U288" s="173"/>
      <c r="V288" s="173"/>
      <c r="W288" s="173"/>
      <c r="X288" s="173"/>
      <c r="Y288" s="173"/>
      <c r="Z288" s="173"/>
      <c r="AA288" s="173"/>
      <c r="AB288" s="173"/>
      <c r="AC288" s="173"/>
      <c r="AD288" s="173"/>
      <c r="AE288" s="173"/>
      <c r="AF288" s="173"/>
      <c r="AG288" s="173"/>
      <c r="AH288" s="173"/>
      <c r="AI288" s="173"/>
      <c r="AJ288" s="173"/>
      <c r="AK288" s="173"/>
      <c r="AL288" s="173"/>
      <c r="AM288" s="173"/>
      <c r="AN288" s="173"/>
      <c r="AO288" s="173"/>
    </row>
    <row r="289" spans="1:41">
      <c r="A289" s="173"/>
      <c r="B289" s="173"/>
      <c r="C289" s="173"/>
      <c r="D289" s="173"/>
      <c r="E289" s="173"/>
      <c r="F289" s="173"/>
      <c r="G289" s="173"/>
      <c r="H289" s="173"/>
      <c r="I289" s="173"/>
      <c r="J289" s="173"/>
      <c r="K289" s="173"/>
      <c r="L289" s="173"/>
      <c r="M289" s="173"/>
      <c r="N289" s="173"/>
      <c r="O289" s="173"/>
      <c r="P289" s="173"/>
      <c r="Q289" s="173"/>
      <c r="R289" s="173"/>
      <c r="S289" s="173"/>
      <c r="T289" s="173"/>
      <c r="U289" s="173"/>
      <c r="V289" s="173"/>
      <c r="W289" s="173"/>
      <c r="X289" s="173"/>
      <c r="Y289" s="173"/>
      <c r="Z289" s="173"/>
      <c r="AA289" s="173"/>
      <c r="AB289" s="173"/>
      <c r="AC289" s="173"/>
      <c r="AD289" s="173"/>
      <c r="AE289" s="173"/>
      <c r="AF289" s="173"/>
      <c r="AG289" s="173"/>
      <c r="AH289" s="173"/>
      <c r="AI289" s="173"/>
      <c r="AJ289" s="173"/>
      <c r="AK289" s="173"/>
      <c r="AL289" s="173"/>
      <c r="AM289" s="173"/>
      <c r="AN289" s="173"/>
      <c r="AO289" s="173"/>
    </row>
    <row r="290" spans="1:41">
      <c r="A290" s="173"/>
      <c r="B290" s="181"/>
      <c r="C290" s="181"/>
      <c r="D290" s="181"/>
      <c r="E290" s="181"/>
      <c r="F290" s="181"/>
      <c r="G290" s="181"/>
      <c r="H290" s="173"/>
      <c r="I290" s="181"/>
      <c r="J290" s="173"/>
      <c r="K290" s="181"/>
      <c r="L290" s="173"/>
      <c r="M290" s="173"/>
      <c r="N290" s="181"/>
      <c r="O290" s="181"/>
      <c r="P290" s="181"/>
      <c r="Q290" s="181"/>
      <c r="R290" s="181"/>
      <c r="S290" s="181"/>
      <c r="T290" s="173"/>
      <c r="U290" s="173"/>
      <c r="V290" s="173"/>
      <c r="W290" s="173"/>
      <c r="X290" s="173"/>
      <c r="Y290" s="173"/>
      <c r="Z290" s="173"/>
      <c r="AA290" s="173"/>
      <c r="AB290" s="173"/>
      <c r="AC290" s="173"/>
      <c r="AD290" s="173"/>
      <c r="AE290" s="173"/>
      <c r="AF290" s="173"/>
      <c r="AG290" s="173"/>
      <c r="AH290" s="173"/>
      <c r="AI290" s="173"/>
      <c r="AJ290" s="173"/>
      <c r="AK290" s="173"/>
      <c r="AL290" s="173"/>
      <c r="AM290" s="173"/>
      <c r="AN290" s="173"/>
      <c r="AO290" s="173"/>
    </row>
    <row r="291" spans="1:41">
      <c r="A291" s="173"/>
      <c r="B291" s="181"/>
      <c r="C291" s="181"/>
      <c r="D291" s="181"/>
      <c r="E291" s="181"/>
      <c r="F291" s="181"/>
      <c r="G291" s="181"/>
      <c r="H291" s="181"/>
      <c r="I291" s="181"/>
      <c r="J291" s="181"/>
      <c r="K291" s="181"/>
      <c r="L291" s="181"/>
      <c r="M291" s="181"/>
      <c r="N291" s="181"/>
      <c r="O291" s="181"/>
      <c r="P291" s="181"/>
      <c r="Q291" s="181"/>
      <c r="R291" s="181"/>
      <c r="S291" s="181"/>
      <c r="T291" s="173"/>
      <c r="U291" s="173"/>
      <c r="V291" s="173"/>
      <c r="W291" s="173"/>
      <c r="X291" s="173"/>
      <c r="Y291" s="173"/>
      <c r="Z291" s="173"/>
      <c r="AA291" s="173"/>
      <c r="AB291" s="173"/>
      <c r="AC291" s="173"/>
      <c r="AD291" s="173"/>
      <c r="AE291" s="173"/>
      <c r="AF291" s="173"/>
      <c r="AG291" s="173"/>
      <c r="AH291" s="173"/>
      <c r="AI291" s="173"/>
      <c r="AJ291" s="173"/>
      <c r="AK291" s="173"/>
      <c r="AL291" s="173"/>
      <c r="AM291" s="173"/>
      <c r="AN291" s="173"/>
      <c r="AO291" s="173"/>
    </row>
    <row r="292" spans="1:41">
      <c r="A292" s="173"/>
      <c r="B292" s="173"/>
      <c r="C292" s="173"/>
      <c r="D292" s="173"/>
      <c r="E292" s="173"/>
      <c r="F292" s="173"/>
      <c r="G292" s="173"/>
      <c r="H292" s="173"/>
      <c r="I292" s="173"/>
      <c r="J292" s="173"/>
      <c r="K292" s="173"/>
      <c r="L292" s="173"/>
      <c r="M292" s="173"/>
      <c r="N292" s="173"/>
      <c r="O292" s="173"/>
      <c r="P292" s="173"/>
      <c r="Q292" s="173"/>
      <c r="R292" s="173"/>
      <c r="S292" s="173"/>
      <c r="T292" s="173"/>
      <c r="U292" s="173"/>
      <c r="V292" s="173"/>
      <c r="W292" s="173"/>
      <c r="X292" s="173"/>
      <c r="Y292" s="173"/>
      <c r="Z292" s="173"/>
      <c r="AA292" s="173"/>
      <c r="AB292" s="173"/>
      <c r="AC292" s="173"/>
      <c r="AD292" s="173"/>
      <c r="AE292" s="173"/>
      <c r="AF292" s="173"/>
      <c r="AG292" s="173"/>
      <c r="AH292" s="173"/>
      <c r="AI292" s="173"/>
      <c r="AJ292" s="173"/>
      <c r="AK292" s="173"/>
      <c r="AL292" s="173"/>
      <c r="AM292" s="173"/>
      <c r="AN292" s="173"/>
      <c r="AO292" s="173"/>
    </row>
    <row r="293" spans="1:41">
      <c r="A293" s="173"/>
      <c r="B293" s="173"/>
      <c r="C293" s="173"/>
      <c r="D293" s="173"/>
      <c r="E293" s="173"/>
      <c r="F293" s="173"/>
      <c r="G293" s="173"/>
      <c r="H293" s="173"/>
      <c r="I293" s="173"/>
      <c r="J293" s="173"/>
      <c r="K293" s="173"/>
      <c r="L293" s="173"/>
      <c r="M293" s="173"/>
      <c r="N293" s="173"/>
      <c r="O293" s="173"/>
      <c r="P293" s="173"/>
      <c r="Q293" s="173"/>
      <c r="R293" s="173"/>
      <c r="S293" s="173"/>
      <c r="T293" s="173"/>
      <c r="U293" s="173"/>
      <c r="V293" s="173"/>
      <c r="W293" s="173"/>
      <c r="X293" s="173"/>
      <c r="Y293" s="173"/>
      <c r="Z293" s="173"/>
      <c r="AA293" s="173"/>
      <c r="AB293" s="173"/>
      <c r="AC293" s="173"/>
      <c r="AD293" s="173"/>
      <c r="AE293" s="173"/>
      <c r="AF293" s="173"/>
      <c r="AG293" s="173"/>
      <c r="AH293" s="173"/>
      <c r="AI293" s="173"/>
      <c r="AJ293" s="173"/>
      <c r="AK293" s="173"/>
      <c r="AL293" s="173"/>
      <c r="AM293" s="173"/>
      <c r="AN293" s="173"/>
      <c r="AO293" s="173"/>
    </row>
    <row r="294" spans="1:41">
      <c r="A294" s="173"/>
      <c r="B294" s="181"/>
      <c r="C294" s="181"/>
      <c r="D294" s="181"/>
      <c r="E294" s="173"/>
      <c r="F294" s="173"/>
      <c r="G294" s="181"/>
      <c r="H294" s="173"/>
      <c r="I294" s="173"/>
      <c r="J294" s="181"/>
      <c r="K294" s="181"/>
      <c r="L294" s="173"/>
      <c r="M294" s="173"/>
      <c r="N294" s="173"/>
      <c r="O294" s="173"/>
      <c r="P294" s="173"/>
      <c r="Q294" s="173"/>
      <c r="R294" s="173"/>
      <c r="S294" s="173"/>
      <c r="T294" s="173"/>
      <c r="U294" s="173"/>
      <c r="V294" s="173"/>
      <c r="W294" s="173"/>
      <c r="X294" s="173"/>
      <c r="Y294" s="173"/>
      <c r="Z294" s="173"/>
      <c r="AA294" s="173"/>
      <c r="AB294" s="173"/>
      <c r="AC294" s="173"/>
      <c r="AD294" s="173"/>
      <c r="AE294" s="173"/>
      <c r="AF294" s="173"/>
      <c r="AG294" s="173"/>
      <c r="AH294" s="173"/>
      <c r="AI294" s="173"/>
      <c r="AJ294" s="173"/>
      <c r="AK294" s="173"/>
      <c r="AL294" s="173"/>
      <c r="AM294" s="173"/>
      <c r="AN294" s="173"/>
      <c r="AO294" s="173"/>
    </row>
    <row r="295" spans="1:41">
      <c r="A295" s="173"/>
      <c r="B295" s="181"/>
      <c r="C295" s="181"/>
      <c r="D295" s="181"/>
      <c r="E295" s="181"/>
      <c r="F295" s="181"/>
      <c r="G295" s="181"/>
      <c r="H295" s="181"/>
      <c r="I295" s="181"/>
      <c r="J295" s="181"/>
      <c r="K295" s="181"/>
      <c r="L295" s="173"/>
      <c r="M295" s="173"/>
      <c r="N295" s="173"/>
      <c r="O295" s="173"/>
      <c r="P295" s="173"/>
      <c r="Q295" s="173"/>
      <c r="R295" s="173"/>
      <c r="S295" s="173"/>
      <c r="T295" s="173"/>
      <c r="U295" s="173"/>
      <c r="V295" s="173"/>
      <c r="W295" s="173"/>
      <c r="X295" s="173"/>
      <c r="Y295" s="173"/>
      <c r="Z295" s="173"/>
      <c r="AA295" s="173"/>
      <c r="AB295" s="173"/>
      <c r="AC295" s="173"/>
      <c r="AD295" s="173"/>
      <c r="AE295" s="173"/>
      <c r="AF295" s="173"/>
      <c r="AG295" s="173"/>
      <c r="AH295" s="173"/>
      <c r="AI295" s="173"/>
      <c r="AJ295" s="173"/>
      <c r="AK295" s="173"/>
      <c r="AL295" s="173"/>
      <c r="AM295" s="173"/>
      <c r="AN295" s="173"/>
      <c r="AO295" s="173"/>
    </row>
    <row r="296" spans="1:41">
      <c r="A296" s="173"/>
      <c r="B296" s="173"/>
      <c r="C296" s="173"/>
      <c r="D296" s="173"/>
      <c r="E296" s="173"/>
      <c r="F296" s="173"/>
      <c r="G296" s="173"/>
      <c r="H296" s="173"/>
      <c r="I296" s="173"/>
      <c r="J296" s="173"/>
      <c r="K296" s="173"/>
      <c r="L296" s="173"/>
      <c r="M296" s="173"/>
      <c r="N296" s="173"/>
      <c r="O296" s="173"/>
      <c r="P296" s="173"/>
      <c r="Q296" s="173"/>
      <c r="R296" s="173"/>
      <c r="S296" s="173"/>
      <c r="T296" s="173"/>
      <c r="U296" s="173"/>
      <c r="V296" s="173"/>
      <c r="W296" s="173"/>
      <c r="X296" s="173"/>
      <c r="Y296" s="173"/>
      <c r="Z296" s="173"/>
      <c r="AA296" s="173"/>
      <c r="AB296" s="173"/>
      <c r="AC296" s="173"/>
      <c r="AD296" s="173"/>
      <c r="AE296" s="173"/>
      <c r="AF296" s="173"/>
      <c r="AG296" s="173"/>
      <c r="AH296" s="173"/>
      <c r="AI296" s="173"/>
      <c r="AJ296" s="173"/>
      <c r="AK296" s="173"/>
      <c r="AL296" s="173"/>
      <c r="AM296" s="173"/>
      <c r="AN296" s="173"/>
      <c r="AO296" s="173"/>
    </row>
    <row r="297" spans="1:41">
      <c r="A297" s="173"/>
      <c r="B297" s="173"/>
      <c r="C297" s="173"/>
      <c r="D297" s="173"/>
      <c r="E297" s="173"/>
      <c r="F297" s="173"/>
      <c r="G297" s="173"/>
      <c r="H297" s="173"/>
      <c r="I297" s="173"/>
      <c r="J297" s="173"/>
      <c r="K297" s="173"/>
      <c r="L297" s="173"/>
      <c r="M297" s="173"/>
      <c r="N297" s="173"/>
      <c r="O297" s="173"/>
      <c r="P297" s="173"/>
      <c r="Q297" s="173"/>
      <c r="R297" s="173"/>
      <c r="S297" s="173"/>
      <c r="T297" s="173"/>
      <c r="U297" s="173"/>
      <c r="V297" s="173"/>
      <c r="W297" s="173"/>
      <c r="X297" s="173"/>
      <c r="Y297" s="173"/>
      <c r="Z297" s="173"/>
      <c r="AA297" s="173"/>
      <c r="AB297" s="173"/>
      <c r="AC297" s="173"/>
      <c r="AD297" s="173"/>
      <c r="AE297" s="173"/>
      <c r="AF297" s="173"/>
      <c r="AG297" s="173"/>
      <c r="AH297" s="173"/>
      <c r="AI297" s="173"/>
      <c r="AJ297" s="173"/>
      <c r="AK297" s="173"/>
      <c r="AL297" s="173"/>
      <c r="AM297" s="173"/>
      <c r="AN297" s="173"/>
      <c r="AO297" s="173"/>
    </row>
    <row r="298" spans="1:41">
      <c r="A298" s="173"/>
      <c r="B298" s="181"/>
      <c r="C298" s="181"/>
      <c r="D298" s="181"/>
      <c r="E298" s="173"/>
      <c r="F298" s="181"/>
      <c r="G298" s="173"/>
      <c r="H298" s="173"/>
      <c r="I298" s="173"/>
      <c r="J298" s="173"/>
      <c r="K298" s="173"/>
      <c r="L298" s="173"/>
      <c r="M298" s="173"/>
      <c r="N298" s="173"/>
      <c r="O298" s="173"/>
      <c r="P298" s="173"/>
      <c r="Q298" s="173"/>
      <c r="R298" s="173"/>
      <c r="S298" s="173"/>
      <c r="T298" s="173"/>
      <c r="U298" s="173"/>
      <c r="V298" s="173"/>
      <c r="W298" s="173"/>
      <c r="X298" s="173"/>
      <c r="Y298" s="173"/>
      <c r="Z298" s="173"/>
      <c r="AA298" s="173"/>
      <c r="AB298" s="173"/>
      <c r="AC298" s="173"/>
      <c r="AD298" s="173"/>
      <c r="AE298" s="173"/>
      <c r="AF298" s="173"/>
      <c r="AG298" s="173"/>
      <c r="AH298" s="173"/>
      <c r="AI298" s="173"/>
      <c r="AJ298" s="173"/>
      <c r="AK298" s="173"/>
      <c r="AL298" s="173"/>
      <c r="AM298" s="173"/>
      <c r="AN298" s="173"/>
      <c r="AO298" s="173"/>
    </row>
    <row r="299" spans="1:41">
      <c r="A299" s="173"/>
      <c r="B299" s="181"/>
      <c r="C299" s="181"/>
      <c r="D299" s="181"/>
      <c r="E299" s="181"/>
      <c r="F299" s="181"/>
      <c r="G299" s="173"/>
      <c r="H299" s="173"/>
      <c r="I299" s="173"/>
      <c r="J299" s="173"/>
      <c r="K299" s="173"/>
      <c r="L299" s="173"/>
      <c r="M299" s="173"/>
      <c r="N299" s="173"/>
      <c r="O299" s="173"/>
      <c r="P299" s="173"/>
      <c r="Q299" s="173"/>
      <c r="R299" s="173"/>
      <c r="S299" s="173"/>
      <c r="T299" s="173"/>
      <c r="U299" s="173"/>
      <c r="V299" s="173"/>
      <c r="W299" s="173"/>
      <c r="X299" s="173"/>
      <c r="Y299" s="173"/>
      <c r="Z299" s="173"/>
      <c r="AA299" s="173"/>
      <c r="AB299" s="173"/>
      <c r="AC299" s="173"/>
      <c r="AD299" s="173"/>
      <c r="AE299" s="173"/>
      <c r="AF299" s="173"/>
      <c r="AG299" s="173"/>
      <c r="AH299" s="173"/>
      <c r="AI299" s="173"/>
      <c r="AJ299" s="173"/>
      <c r="AK299" s="173"/>
      <c r="AL299" s="173"/>
      <c r="AM299" s="173"/>
      <c r="AN299" s="173"/>
      <c r="AO299" s="173"/>
    </row>
    <row r="300" spans="1:41">
      <c r="A300" s="173"/>
      <c r="B300" s="173"/>
      <c r="C300" s="173"/>
      <c r="D300" s="173"/>
      <c r="E300" s="173"/>
      <c r="F300" s="173"/>
      <c r="G300" s="173"/>
      <c r="H300" s="173"/>
      <c r="I300" s="173"/>
      <c r="J300" s="173"/>
      <c r="K300" s="173"/>
      <c r="L300" s="173"/>
      <c r="M300" s="173"/>
      <c r="N300" s="173"/>
      <c r="O300" s="173"/>
      <c r="P300" s="173"/>
      <c r="Q300" s="173"/>
      <c r="R300" s="173"/>
      <c r="S300" s="173"/>
      <c r="T300" s="173"/>
      <c r="U300" s="173"/>
      <c r="V300" s="173"/>
      <c r="W300" s="173"/>
      <c r="X300" s="173"/>
      <c r="Y300" s="173"/>
      <c r="Z300" s="173"/>
      <c r="AA300" s="173"/>
      <c r="AB300" s="173"/>
      <c r="AC300" s="173"/>
      <c r="AD300" s="173"/>
      <c r="AE300" s="173"/>
      <c r="AF300" s="173"/>
      <c r="AG300" s="173"/>
      <c r="AH300" s="173"/>
      <c r="AI300" s="173"/>
      <c r="AJ300" s="173"/>
      <c r="AK300" s="173"/>
      <c r="AL300" s="173"/>
      <c r="AM300" s="173"/>
      <c r="AN300" s="173"/>
      <c r="AO300" s="173"/>
    </row>
    <row r="301" spans="1:41">
      <c r="A301" s="173"/>
      <c r="B301" s="173"/>
      <c r="C301" s="173"/>
      <c r="D301" s="173"/>
      <c r="E301" s="173"/>
      <c r="F301" s="173"/>
      <c r="G301" s="173"/>
      <c r="H301" s="173"/>
      <c r="I301" s="173"/>
      <c r="J301" s="173"/>
      <c r="K301" s="173"/>
      <c r="L301" s="173"/>
      <c r="M301" s="173"/>
      <c r="N301" s="173"/>
      <c r="O301" s="173"/>
      <c r="P301" s="173"/>
      <c r="Q301" s="173"/>
      <c r="R301" s="173"/>
      <c r="S301" s="173"/>
      <c r="T301" s="173"/>
      <c r="U301" s="173"/>
      <c r="V301" s="173"/>
      <c r="W301" s="173"/>
      <c r="X301" s="173"/>
      <c r="Y301" s="173"/>
      <c r="Z301" s="173"/>
      <c r="AA301" s="173"/>
      <c r="AB301" s="173"/>
      <c r="AC301" s="173"/>
      <c r="AD301" s="173"/>
      <c r="AE301" s="173"/>
      <c r="AF301" s="173"/>
      <c r="AG301" s="173"/>
      <c r="AH301" s="173"/>
      <c r="AI301" s="173"/>
      <c r="AJ301" s="173"/>
      <c r="AK301" s="173"/>
      <c r="AL301" s="173"/>
      <c r="AM301" s="173"/>
      <c r="AN301" s="173"/>
      <c r="AO301" s="173"/>
    </row>
    <row r="302" spans="1:41">
      <c r="A302" s="173"/>
      <c r="B302" s="181"/>
      <c r="C302" s="181"/>
      <c r="D302" s="181"/>
      <c r="E302" s="173"/>
      <c r="F302" s="173"/>
      <c r="G302" s="173"/>
      <c r="H302" s="173"/>
      <c r="I302" s="173"/>
      <c r="J302" s="173"/>
      <c r="K302" s="173"/>
      <c r="L302" s="173"/>
      <c r="M302" s="173"/>
      <c r="N302" s="173"/>
      <c r="O302" s="173"/>
      <c r="P302" s="173"/>
      <c r="Q302" s="173"/>
      <c r="R302" s="173"/>
      <c r="S302" s="173"/>
      <c r="T302" s="173"/>
      <c r="U302" s="173"/>
      <c r="V302" s="173"/>
      <c r="W302" s="173"/>
      <c r="X302" s="173"/>
      <c r="Y302" s="173"/>
      <c r="Z302" s="173"/>
      <c r="AA302" s="173"/>
      <c r="AB302" s="173"/>
      <c r="AC302" s="173"/>
      <c r="AD302" s="173"/>
      <c r="AE302" s="173"/>
      <c r="AF302" s="173"/>
      <c r="AG302" s="173"/>
      <c r="AH302" s="173"/>
      <c r="AI302" s="173"/>
      <c r="AJ302" s="173"/>
      <c r="AK302" s="173"/>
      <c r="AL302" s="173"/>
      <c r="AM302" s="173"/>
      <c r="AN302" s="173"/>
      <c r="AO302" s="173"/>
    </row>
    <row r="303" spans="1:41">
      <c r="A303" s="173"/>
      <c r="B303" s="181"/>
      <c r="C303" s="181"/>
      <c r="D303" s="181"/>
      <c r="E303" s="173"/>
      <c r="F303" s="173"/>
      <c r="G303" s="173"/>
      <c r="H303" s="173"/>
      <c r="I303" s="173"/>
      <c r="J303" s="173"/>
      <c r="K303" s="173"/>
      <c r="L303" s="173"/>
      <c r="M303" s="173"/>
      <c r="N303" s="173"/>
      <c r="O303" s="173"/>
      <c r="P303" s="173"/>
      <c r="Q303" s="173"/>
      <c r="R303" s="173"/>
      <c r="S303" s="173"/>
      <c r="T303" s="173"/>
      <c r="U303" s="173"/>
      <c r="V303" s="173"/>
      <c r="W303" s="173"/>
      <c r="X303" s="173"/>
      <c r="Y303" s="173"/>
      <c r="Z303" s="173"/>
      <c r="AA303" s="173"/>
      <c r="AB303" s="173"/>
      <c r="AC303" s="173"/>
      <c r="AD303" s="173"/>
      <c r="AE303" s="173"/>
      <c r="AF303" s="173"/>
      <c r="AG303" s="173"/>
      <c r="AH303" s="173"/>
      <c r="AI303" s="173"/>
      <c r="AJ303" s="173"/>
      <c r="AK303" s="173"/>
      <c r="AL303" s="173"/>
      <c r="AM303" s="173"/>
      <c r="AN303" s="173"/>
      <c r="AO303" s="173"/>
    </row>
    <row r="304" spans="1:41">
      <c r="A304" s="173"/>
      <c r="B304" s="173"/>
      <c r="C304" s="173"/>
      <c r="D304" s="173"/>
      <c r="E304" s="173"/>
      <c r="F304" s="173"/>
      <c r="G304" s="173"/>
      <c r="H304" s="173"/>
      <c r="I304" s="173"/>
      <c r="J304" s="173"/>
      <c r="K304" s="173"/>
      <c r="L304" s="173"/>
      <c r="M304" s="173"/>
      <c r="N304" s="173"/>
      <c r="O304" s="173"/>
      <c r="P304" s="173"/>
      <c r="Q304" s="173"/>
      <c r="R304" s="173"/>
      <c r="S304" s="173"/>
      <c r="T304" s="173"/>
      <c r="U304" s="173"/>
      <c r="V304" s="173"/>
      <c r="W304" s="173"/>
      <c r="X304" s="173"/>
      <c r="Y304" s="173"/>
      <c r="Z304" s="173"/>
      <c r="AA304" s="173"/>
      <c r="AB304" s="173"/>
      <c r="AC304" s="173"/>
      <c r="AD304" s="173"/>
      <c r="AE304" s="173"/>
      <c r="AF304" s="173"/>
      <c r="AG304" s="173"/>
      <c r="AH304" s="173"/>
      <c r="AI304" s="173"/>
      <c r="AJ304" s="173"/>
      <c r="AK304" s="173"/>
      <c r="AL304" s="173"/>
      <c r="AM304" s="173"/>
      <c r="AN304" s="173"/>
      <c r="AO304" s="173"/>
    </row>
    <row r="305" spans="1:41">
      <c r="A305" s="173"/>
      <c r="B305" s="173"/>
      <c r="C305" s="173"/>
      <c r="D305" s="173"/>
      <c r="E305" s="173"/>
      <c r="F305" s="173"/>
      <c r="G305" s="173"/>
      <c r="H305" s="173"/>
      <c r="I305" s="173"/>
      <c r="J305" s="173"/>
      <c r="K305" s="173"/>
      <c r="L305" s="173"/>
      <c r="M305" s="173"/>
      <c r="N305" s="173"/>
      <c r="O305" s="173"/>
      <c r="P305" s="173"/>
      <c r="Q305" s="173"/>
      <c r="R305" s="173"/>
      <c r="S305" s="173"/>
      <c r="T305" s="173"/>
      <c r="U305" s="173"/>
      <c r="V305" s="173"/>
      <c r="W305" s="173"/>
      <c r="X305" s="173"/>
      <c r="Y305" s="173"/>
      <c r="Z305" s="173"/>
      <c r="AA305" s="173"/>
      <c r="AB305" s="173"/>
      <c r="AC305" s="173"/>
      <c r="AD305" s="173"/>
      <c r="AE305" s="173"/>
      <c r="AF305" s="173"/>
      <c r="AG305" s="173"/>
      <c r="AH305" s="173"/>
      <c r="AI305" s="173"/>
      <c r="AJ305" s="173"/>
      <c r="AK305" s="173"/>
      <c r="AL305" s="173"/>
      <c r="AM305" s="173"/>
      <c r="AN305" s="173"/>
      <c r="AO305" s="173"/>
    </row>
    <row r="306" spans="1:41">
      <c r="A306" s="173"/>
      <c r="B306" s="181"/>
      <c r="C306" s="181"/>
      <c r="D306" s="181"/>
      <c r="E306" s="181"/>
      <c r="F306" s="173"/>
      <c r="G306" s="173"/>
      <c r="H306" s="173"/>
      <c r="I306" s="173"/>
      <c r="J306" s="173"/>
      <c r="K306" s="173"/>
      <c r="L306" s="173"/>
      <c r="M306" s="173"/>
      <c r="N306" s="173"/>
      <c r="O306" s="173"/>
      <c r="P306" s="173"/>
      <c r="Q306" s="173"/>
      <c r="R306" s="173"/>
      <c r="S306" s="173"/>
      <c r="T306" s="173"/>
      <c r="U306" s="173"/>
      <c r="V306" s="173"/>
      <c r="W306" s="173"/>
      <c r="X306" s="173"/>
      <c r="Y306" s="173"/>
      <c r="Z306" s="173"/>
      <c r="AA306" s="173"/>
      <c r="AB306" s="173"/>
      <c r="AC306" s="173"/>
      <c r="AD306" s="173"/>
      <c r="AE306" s="173"/>
      <c r="AF306" s="173"/>
      <c r="AG306" s="173"/>
      <c r="AH306" s="173"/>
      <c r="AI306" s="173"/>
      <c r="AJ306" s="173"/>
      <c r="AK306" s="173"/>
      <c r="AL306" s="173"/>
      <c r="AM306" s="173"/>
      <c r="AN306" s="173"/>
      <c r="AO306" s="173"/>
    </row>
    <row r="307" spans="1:41">
      <c r="A307" s="173"/>
      <c r="B307" s="181"/>
      <c r="C307" s="181"/>
      <c r="D307" s="181"/>
      <c r="E307" s="181"/>
      <c r="F307" s="173"/>
      <c r="G307" s="173"/>
      <c r="H307" s="173"/>
      <c r="I307" s="173"/>
      <c r="J307" s="173"/>
      <c r="K307" s="173"/>
      <c r="L307" s="173"/>
      <c r="M307" s="173"/>
      <c r="N307" s="173"/>
      <c r="O307" s="173"/>
      <c r="P307" s="173"/>
      <c r="Q307" s="173"/>
      <c r="R307" s="173"/>
      <c r="S307" s="173"/>
      <c r="T307" s="173"/>
      <c r="U307" s="173"/>
      <c r="V307" s="173"/>
      <c r="W307" s="173"/>
      <c r="X307" s="173"/>
      <c r="Y307" s="173"/>
      <c r="Z307" s="173"/>
      <c r="AA307" s="173"/>
      <c r="AB307" s="173"/>
      <c r="AC307" s="173"/>
      <c r="AD307" s="173"/>
      <c r="AE307" s="173"/>
      <c r="AF307" s="173"/>
      <c r="AG307" s="173"/>
      <c r="AH307" s="173"/>
      <c r="AI307" s="173"/>
      <c r="AJ307" s="173"/>
      <c r="AK307" s="173"/>
      <c r="AL307" s="173"/>
      <c r="AM307" s="173"/>
      <c r="AN307" s="173"/>
      <c r="AO307" s="173"/>
    </row>
    <row r="308" spans="1:41">
      <c r="A308" s="173"/>
      <c r="B308" s="173"/>
      <c r="C308" s="173"/>
      <c r="D308" s="173"/>
      <c r="E308" s="173"/>
      <c r="F308" s="173"/>
      <c r="G308" s="173"/>
      <c r="H308" s="173"/>
      <c r="I308" s="173"/>
      <c r="J308" s="173"/>
      <c r="K308" s="173"/>
      <c r="L308" s="173"/>
      <c r="M308" s="173"/>
      <c r="N308" s="173"/>
      <c r="O308" s="173"/>
      <c r="P308" s="173"/>
      <c r="Q308" s="173"/>
      <c r="R308" s="173"/>
      <c r="S308" s="173"/>
      <c r="T308" s="173"/>
      <c r="U308" s="173"/>
      <c r="V308" s="173"/>
      <c r="W308" s="173"/>
      <c r="X308" s="173"/>
      <c r="Y308" s="173"/>
      <c r="Z308" s="173"/>
      <c r="AA308" s="173"/>
      <c r="AB308" s="173"/>
      <c r="AC308" s="173"/>
      <c r="AD308" s="173"/>
      <c r="AE308" s="173"/>
      <c r="AF308" s="173"/>
      <c r="AG308" s="173"/>
      <c r="AH308" s="173"/>
      <c r="AI308" s="173"/>
      <c r="AJ308" s="173"/>
      <c r="AK308" s="173"/>
      <c r="AL308" s="173"/>
      <c r="AM308" s="173"/>
      <c r="AN308" s="173"/>
      <c r="AO308" s="173"/>
    </row>
    <row r="309" spans="1:41">
      <c r="A309" s="173"/>
      <c r="B309" s="173"/>
      <c r="C309" s="173"/>
      <c r="D309" s="173"/>
      <c r="E309" s="173"/>
      <c r="F309" s="173"/>
      <c r="G309" s="173"/>
      <c r="H309" s="173"/>
      <c r="I309" s="173"/>
      <c r="J309" s="173"/>
      <c r="K309" s="173"/>
      <c r="L309" s="173"/>
      <c r="M309" s="173"/>
      <c r="N309" s="173"/>
      <c r="O309" s="173"/>
      <c r="P309" s="173"/>
      <c r="Q309" s="173"/>
      <c r="R309" s="173"/>
      <c r="S309" s="173"/>
      <c r="T309" s="173"/>
      <c r="U309" s="173"/>
      <c r="V309" s="173"/>
      <c r="W309" s="173"/>
      <c r="X309" s="173"/>
      <c r="Y309" s="173"/>
      <c r="Z309" s="173"/>
      <c r="AA309" s="173"/>
      <c r="AB309" s="173"/>
      <c r="AC309" s="173"/>
      <c r="AD309" s="173"/>
      <c r="AE309" s="173"/>
      <c r="AF309" s="173"/>
      <c r="AG309" s="173"/>
      <c r="AH309" s="173"/>
      <c r="AI309" s="173"/>
      <c r="AJ309" s="173"/>
      <c r="AK309" s="173"/>
      <c r="AL309" s="173"/>
      <c r="AM309" s="173"/>
      <c r="AN309" s="173"/>
      <c r="AO309" s="173"/>
    </row>
    <row r="310" spans="1:41">
      <c r="A310" s="173"/>
      <c r="B310" s="181"/>
      <c r="C310" s="173"/>
      <c r="D310" s="173"/>
      <c r="E310" s="173"/>
      <c r="F310" s="173"/>
      <c r="G310" s="173"/>
      <c r="H310" s="173"/>
      <c r="I310" s="173"/>
      <c r="J310" s="173"/>
      <c r="K310" s="173"/>
      <c r="L310" s="173"/>
      <c r="M310" s="173"/>
      <c r="N310" s="173"/>
      <c r="O310" s="173"/>
      <c r="P310" s="173"/>
      <c r="Q310" s="173"/>
      <c r="R310" s="173"/>
      <c r="S310" s="173"/>
      <c r="T310" s="173"/>
      <c r="U310" s="173"/>
      <c r="V310" s="173"/>
      <c r="W310" s="173"/>
      <c r="X310" s="173"/>
      <c r="Y310" s="173"/>
      <c r="Z310" s="173"/>
      <c r="AA310" s="173"/>
      <c r="AB310" s="173"/>
      <c r="AC310" s="173"/>
      <c r="AD310" s="173"/>
      <c r="AE310" s="173"/>
      <c r="AF310" s="173"/>
      <c r="AG310" s="173"/>
      <c r="AH310" s="173"/>
      <c r="AI310" s="173"/>
      <c r="AJ310" s="173"/>
      <c r="AK310" s="173"/>
      <c r="AL310" s="173"/>
      <c r="AM310" s="173"/>
      <c r="AN310" s="173"/>
      <c r="AO310" s="173"/>
    </row>
    <row r="311" spans="1:41">
      <c r="A311" s="173"/>
      <c r="B311" s="181"/>
      <c r="C311" s="181"/>
      <c r="D311" s="181"/>
      <c r="E311" s="181"/>
      <c r="F311" s="181"/>
      <c r="G311" s="181"/>
      <c r="H311" s="181"/>
      <c r="I311" s="181"/>
      <c r="J311" s="181"/>
      <c r="K311" s="173"/>
      <c r="L311" s="173"/>
      <c r="M311" s="173"/>
      <c r="N311" s="173"/>
      <c r="O311" s="173"/>
      <c r="P311" s="173"/>
      <c r="Q311" s="173"/>
      <c r="R311" s="173"/>
      <c r="S311" s="173"/>
      <c r="T311" s="173"/>
      <c r="U311" s="173"/>
      <c r="V311" s="173"/>
      <c r="W311" s="173"/>
      <c r="X311" s="173"/>
      <c r="Y311" s="173"/>
      <c r="Z311" s="173"/>
      <c r="AA311" s="173"/>
      <c r="AB311" s="173"/>
      <c r="AC311" s="173"/>
      <c r="AD311" s="173"/>
      <c r="AE311" s="173"/>
      <c r="AF311" s="173"/>
      <c r="AG311" s="173"/>
      <c r="AH311" s="173"/>
      <c r="AI311" s="173"/>
      <c r="AJ311" s="173"/>
      <c r="AK311" s="173"/>
      <c r="AL311" s="173"/>
      <c r="AM311" s="173"/>
      <c r="AN311" s="173"/>
      <c r="AO311" s="173"/>
    </row>
    <row r="312" spans="1:41">
      <c r="A312" s="173"/>
      <c r="B312" s="173"/>
      <c r="C312" s="173"/>
      <c r="D312" s="173"/>
      <c r="E312" s="173"/>
      <c r="F312" s="173"/>
      <c r="G312" s="173"/>
      <c r="H312" s="173"/>
      <c r="I312" s="173"/>
      <c r="J312" s="173"/>
      <c r="K312" s="173"/>
      <c r="L312" s="173"/>
      <c r="M312" s="173"/>
      <c r="N312" s="173"/>
      <c r="O312" s="173"/>
      <c r="P312" s="173"/>
      <c r="Q312" s="173"/>
      <c r="R312" s="173"/>
      <c r="S312" s="173"/>
      <c r="T312" s="173"/>
      <c r="U312" s="173"/>
      <c r="V312" s="173"/>
      <c r="W312" s="173"/>
      <c r="X312" s="173"/>
      <c r="Y312" s="173"/>
      <c r="Z312" s="173"/>
      <c r="AA312" s="173"/>
      <c r="AB312" s="173"/>
      <c r="AC312" s="173"/>
      <c r="AD312" s="173"/>
      <c r="AE312" s="173"/>
      <c r="AF312" s="173"/>
      <c r="AG312" s="173"/>
      <c r="AH312" s="173"/>
      <c r="AI312" s="173"/>
      <c r="AJ312" s="173"/>
      <c r="AK312" s="173"/>
      <c r="AL312" s="173"/>
      <c r="AM312" s="173"/>
      <c r="AN312" s="173"/>
      <c r="AO312" s="173"/>
    </row>
    <row r="313" spans="1:41">
      <c r="A313" s="173"/>
      <c r="B313" s="173"/>
      <c r="C313" s="173"/>
      <c r="D313" s="173"/>
      <c r="E313" s="173"/>
      <c r="F313" s="173"/>
      <c r="G313" s="173"/>
      <c r="H313" s="173"/>
      <c r="I313" s="173"/>
      <c r="J313" s="173"/>
      <c r="K313" s="173"/>
      <c r="L313" s="173"/>
      <c r="M313" s="173"/>
      <c r="N313" s="173"/>
      <c r="O313" s="173"/>
      <c r="P313" s="173"/>
      <c r="Q313" s="173"/>
      <c r="R313" s="173"/>
      <c r="S313" s="173"/>
      <c r="T313" s="173"/>
      <c r="U313" s="173"/>
      <c r="V313" s="173"/>
      <c r="W313" s="173"/>
      <c r="X313" s="173"/>
      <c r="Y313" s="173"/>
      <c r="Z313" s="173"/>
      <c r="AA313" s="173"/>
      <c r="AB313" s="173"/>
      <c r="AC313" s="173"/>
      <c r="AD313" s="173"/>
      <c r="AE313" s="173"/>
      <c r="AF313" s="173"/>
      <c r="AG313" s="173"/>
      <c r="AH313" s="173"/>
      <c r="AI313" s="173"/>
      <c r="AJ313" s="173"/>
      <c r="AK313" s="173"/>
      <c r="AL313" s="173"/>
      <c r="AM313" s="173"/>
      <c r="AN313" s="173"/>
      <c r="AO313" s="173"/>
    </row>
    <row r="314" spans="1:41">
      <c r="A314" s="173"/>
      <c r="B314" s="181"/>
      <c r="C314" s="173"/>
      <c r="D314" s="173"/>
      <c r="E314" s="173"/>
      <c r="F314" s="173"/>
      <c r="G314" s="173"/>
      <c r="H314" s="173"/>
      <c r="I314" s="173"/>
      <c r="J314" s="173"/>
      <c r="K314" s="173"/>
      <c r="L314" s="173"/>
      <c r="M314" s="173"/>
      <c r="N314" s="173"/>
      <c r="O314" s="173"/>
      <c r="P314" s="173"/>
      <c r="Q314" s="173"/>
      <c r="R314" s="173"/>
      <c r="S314" s="173"/>
      <c r="T314" s="173"/>
      <c r="U314" s="173"/>
      <c r="V314" s="173"/>
      <c r="W314" s="173"/>
      <c r="X314" s="173"/>
      <c r="Y314" s="173"/>
      <c r="Z314" s="173"/>
      <c r="AA314" s="173"/>
      <c r="AB314" s="173"/>
      <c r="AC314" s="173"/>
      <c r="AD314" s="173"/>
      <c r="AE314" s="173"/>
      <c r="AF314" s="173"/>
      <c r="AG314" s="173"/>
      <c r="AH314" s="173"/>
      <c r="AI314" s="173"/>
      <c r="AJ314" s="173"/>
      <c r="AK314" s="173"/>
      <c r="AL314" s="173"/>
      <c r="AM314" s="173"/>
      <c r="AN314" s="173"/>
      <c r="AO314" s="173"/>
    </row>
    <row r="315" spans="1:41">
      <c r="A315" s="173"/>
      <c r="B315" s="181"/>
      <c r="C315" s="181"/>
      <c r="D315" s="181"/>
      <c r="E315" s="181"/>
      <c r="F315" s="181"/>
      <c r="G315" s="181"/>
      <c r="H315" s="181"/>
      <c r="I315" s="181"/>
      <c r="J315" s="181"/>
      <c r="K315" s="181"/>
      <c r="L315" s="173"/>
      <c r="M315" s="173"/>
      <c r="N315" s="173"/>
      <c r="O315" s="173"/>
      <c r="P315" s="173"/>
      <c r="Q315" s="173"/>
      <c r="R315" s="173"/>
      <c r="S315" s="173"/>
      <c r="T315" s="173"/>
      <c r="U315" s="173"/>
      <c r="V315" s="173"/>
      <c r="W315" s="173"/>
      <c r="X315" s="173"/>
      <c r="Y315" s="173"/>
      <c r="Z315" s="173"/>
      <c r="AA315" s="173"/>
      <c r="AB315" s="173"/>
      <c r="AC315" s="173"/>
      <c r="AD315" s="173"/>
      <c r="AE315" s="173"/>
      <c r="AF315" s="173"/>
      <c r="AG315" s="173"/>
      <c r="AH315" s="173"/>
      <c r="AI315" s="173"/>
      <c r="AJ315" s="173"/>
      <c r="AK315" s="173"/>
      <c r="AL315" s="173"/>
      <c r="AM315" s="173"/>
      <c r="AN315" s="173"/>
      <c r="AO315" s="173"/>
    </row>
    <row r="316" spans="1:41">
      <c r="A316" s="173"/>
      <c r="B316" s="173"/>
      <c r="C316" s="173"/>
      <c r="D316" s="173"/>
      <c r="E316" s="173"/>
      <c r="F316" s="173"/>
      <c r="G316" s="173"/>
      <c r="H316" s="173"/>
      <c r="I316" s="173"/>
      <c r="J316" s="173"/>
      <c r="K316" s="173"/>
      <c r="L316" s="173"/>
      <c r="M316" s="173"/>
      <c r="N316" s="173"/>
      <c r="O316" s="173"/>
      <c r="P316" s="173"/>
      <c r="Q316" s="173"/>
      <c r="R316" s="173"/>
      <c r="S316" s="173"/>
      <c r="T316" s="173"/>
      <c r="U316" s="173"/>
      <c r="V316" s="173"/>
      <c r="W316" s="173"/>
      <c r="X316" s="173"/>
      <c r="Y316" s="173"/>
      <c r="Z316" s="173"/>
      <c r="AA316" s="173"/>
      <c r="AB316" s="173"/>
      <c r="AC316" s="173"/>
      <c r="AD316" s="173"/>
      <c r="AE316" s="173"/>
      <c r="AF316" s="173"/>
      <c r="AG316" s="173"/>
      <c r="AH316" s="173"/>
      <c r="AI316" s="173"/>
      <c r="AJ316" s="173"/>
      <c r="AK316" s="173"/>
      <c r="AL316" s="173"/>
      <c r="AM316" s="173"/>
      <c r="AN316" s="173"/>
      <c r="AO316" s="173"/>
    </row>
    <row r="317" spans="1:41">
      <c r="A317" s="173"/>
      <c r="B317" s="173"/>
      <c r="C317" s="173"/>
      <c r="D317" s="173"/>
      <c r="E317" s="173"/>
      <c r="F317" s="173"/>
      <c r="G317" s="173"/>
      <c r="H317" s="173"/>
      <c r="I317" s="173"/>
      <c r="J317" s="173"/>
      <c r="K317" s="173"/>
      <c r="L317" s="173"/>
      <c r="M317" s="181"/>
      <c r="N317" s="173"/>
      <c r="O317" s="173"/>
      <c r="P317" s="181"/>
      <c r="Q317" s="173"/>
      <c r="R317" s="181"/>
      <c r="S317" s="173"/>
      <c r="T317" s="173"/>
      <c r="U317" s="173"/>
      <c r="V317" s="173"/>
      <c r="W317" s="173"/>
      <c r="X317" s="173"/>
      <c r="Y317" s="173"/>
      <c r="Z317" s="173"/>
      <c r="AA317" s="173"/>
      <c r="AB317" s="173"/>
      <c r="AC317" s="173"/>
      <c r="AD317" s="173"/>
      <c r="AE317" s="173"/>
      <c r="AF317" s="173"/>
      <c r="AG317" s="173"/>
      <c r="AH317" s="181"/>
      <c r="AI317" s="173"/>
      <c r="AJ317" s="173"/>
      <c r="AK317" s="173"/>
      <c r="AL317" s="173"/>
      <c r="AM317" s="173"/>
      <c r="AN317" s="173"/>
      <c r="AO317" s="173"/>
    </row>
    <row r="318" spans="1:41">
      <c r="A318" s="173"/>
      <c r="B318" s="181"/>
      <c r="C318" s="173"/>
      <c r="D318" s="181"/>
      <c r="E318" s="181"/>
      <c r="F318" s="181"/>
      <c r="G318" s="181"/>
      <c r="H318" s="181"/>
      <c r="I318" s="181"/>
      <c r="J318" s="181"/>
      <c r="K318" s="181"/>
      <c r="L318" s="181"/>
      <c r="M318" s="181"/>
      <c r="N318" s="181"/>
      <c r="O318" s="181"/>
      <c r="P318" s="181"/>
      <c r="Q318" s="181"/>
      <c r="R318" s="181"/>
      <c r="S318" s="181"/>
      <c r="T318" s="181"/>
      <c r="U318" s="181"/>
      <c r="V318" s="181"/>
      <c r="W318" s="181"/>
      <c r="X318" s="181"/>
      <c r="Y318" s="181"/>
      <c r="Z318" s="181"/>
      <c r="AA318" s="173"/>
      <c r="AB318" s="173"/>
      <c r="AC318" s="173"/>
      <c r="AD318" s="173"/>
      <c r="AE318" s="173"/>
      <c r="AF318" s="173"/>
      <c r="AG318" s="173"/>
      <c r="AH318" s="173"/>
      <c r="AI318" s="173"/>
      <c r="AJ318" s="173"/>
      <c r="AK318" s="173"/>
      <c r="AL318" s="173"/>
      <c r="AM318" s="173"/>
      <c r="AN318" s="173"/>
      <c r="AO318" s="173"/>
    </row>
    <row r="319" spans="1:41">
      <c r="A319" s="173"/>
      <c r="B319" s="181"/>
      <c r="C319" s="181"/>
      <c r="D319" s="181"/>
      <c r="E319" s="181"/>
      <c r="F319" s="181"/>
      <c r="G319" s="181"/>
      <c r="H319" s="181"/>
      <c r="I319" s="181"/>
      <c r="J319" s="181"/>
      <c r="K319" s="181"/>
      <c r="L319" s="181"/>
      <c r="M319" s="181"/>
      <c r="N319" s="181"/>
      <c r="O319" s="181"/>
      <c r="P319" s="181"/>
      <c r="Q319" s="181"/>
      <c r="R319" s="181"/>
      <c r="S319" s="181"/>
      <c r="T319" s="181"/>
      <c r="U319" s="181"/>
      <c r="V319" s="181"/>
      <c r="W319" s="181"/>
      <c r="X319" s="181"/>
      <c r="Y319" s="181"/>
      <c r="Z319" s="181"/>
      <c r="AA319" s="181"/>
      <c r="AB319" s="181"/>
      <c r="AC319" s="181"/>
      <c r="AD319" s="181"/>
      <c r="AE319" s="181"/>
      <c r="AF319" s="181"/>
      <c r="AG319" s="181"/>
      <c r="AH319" s="181"/>
      <c r="AI319" s="181"/>
      <c r="AJ319" s="181"/>
      <c r="AK319" s="181"/>
      <c r="AL319" s="181"/>
      <c r="AM319" s="173"/>
      <c r="AN319" s="173"/>
      <c r="AO319" s="173"/>
    </row>
    <row r="320" spans="1:41">
      <c r="A320" s="173"/>
      <c r="B320" s="173"/>
      <c r="C320" s="173"/>
      <c r="D320" s="173"/>
      <c r="E320" s="173"/>
      <c r="F320" s="173"/>
      <c r="G320" s="173"/>
      <c r="H320" s="173"/>
      <c r="I320" s="173"/>
      <c r="J320" s="173"/>
      <c r="K320" s="173"/>
      <c r="L320" s="173"/>
      <c r="M320" s="173"/>
      <c r="N320" s="173"/>
      <c r="O320" s="173"/>
      <c r="P320" s="173"/>
      <c r="Q320" s="173"/>
      <c r="R320" s="173"/>
      <c r="S320" s="173"/>
      <c r="T320" s="173"/>
      <c r="U320" s="173"/>
      <c r="V320" s="173"/>
      <c r="W320" s="173"/>
      <c r="X320" s="173"/>
      <c r="Y320" s="173"/>
      <c r="Z320" s="173"/>
      <c r="AA320" s="173"/>
      <c r="AB320" s="173"/>
      <c r="AC320" s="173"/>
      <c r="AD320" s="173"/>
      <c r="AE320" s="173"/>
      <c r="AF320" s="173"/>
      <c r="AG320" s="173"/>
      <c r="AH320" s="173"/>
      <c r="AI320" s="173"/>
      <c r="AJ320" s="173"/>
      <c r="AK320" s="173"/>
      <c r="AL320" s="173"/>
      <c r="AM320" s="173"/>
      <c r="AN320" s="173"/>
      <c r="AO320" s="173"/>
    </row>
    <row r="321" spans="1:41">
      <c r="A321" s="173"/>
      <c r="B321" s="173"/>
      <c r="C321" s="173"/>
      <c r="D321" s="173"/>
      <c r="E321" s="173"/>
      <c r="F321" s="173"/>
      <c r="G321" s="173"/>
      <c r="H321" s="173"/>
      <c r="I321" s="173"/>
      <c r="J321" s="173"/>
      <c r="K321" s="173"/>
      <c r="L321" s="173"/>
      <c r="M321" s="173"/>
      <c r="N321" s="173"/>
      <c r="O321" s="173"/>
      <c r="P321" s="173"/>
      <c r="Q321" s="173"/>
      <c r="R321" s="173"/>
      <c r="S321" s="173"/>
      <c r="T321" s="173"/>
      <c r="U321" s="173"/>
      <c r="V321" s="173"/>
      <c r="W321" s="173"/>
      <c r="X321" s="173"/>
      <c r="Y321" s="173"/>
      <c r="Z321" s="173"/>
      <c r="AA321" s="173"/>
      <c r="AB321" s="173"/>
      <c r="AC321" s="173"/>
      <c r="AD321" s="173"/>
      <c r="AE321" s="173"/>
      <c r="AF321" s="173"/>
      <c r="AG321" s="173"/>
      <c r="AH321" s="173"/>
      <c r="AI321" s="173"/>
      <c r="AJ321" s="173"/>
      <c r="AK321" s="173"/>
      <c r="AL321" s="173"/>
      <c r="AM321" s="173"/>
      <c r="AN321" s="173"/>
      <c r="AO321" s="173"/>
    </row>
    <row r="322" spans="1:41">
      <c r="A322" s="173"/>
      <c r="B322" s="181"/>
      <c r="C322" s="181"/>
      <c r="D322" s="181"/>
      <c r="E322" s="181"/>
      <c r="F322" s="181"/>
      <c r="G322" s="181"/>
      <c r="H322" s="181"/>
      <c r="I322" s="181"/>
      <c r="J322" s="173"/>
      <c r="K322" s="181"/>
      <c r="L322" s="181"/>
      <c r="M322" s="173"/>
      <c r="N322" s="173"/>
      <c r="O322" s="173"/>
      <c r="P322" s="173"/>
      <c r="Q322" s="173"/>
      <c r="R322" s="173"/>
      <c r="S322" s="173"/>
      <c r="T322" s="173"/>
      <c r="U322" s="173"/>
      <c r="V322" s="173"/>
      <c r="W322" s="173"/>
      <c r="X322" s="173"/>
      <c r="Y322" s="173"/>
      <c r="Z322" s="173"/>
      <c r="AA322" s="173"/>
      <c r="AB322" s="173"/>
      <c r="AC322" s="173"/>
      <c r="AD322" s="173"/>
      <c r="AE322" s="173"/>
      <c r="AF322" s="173"/>
      <c r="AG322" s="173"/>
      <c r="AH322" s="173"/>
      <c r="AI322" s="173"/>
      <c r="AJ322" s="173"/>
      <c r="AK322" s="173"/>
      <c r="AL322" s="173"/>
      <c r="AM322" s="173"/>
      <c r="AN322" s="173"/>
      <c r="AO322" s="173"/>
    </row>
    <row r="323" spans="1:41">
      <c r="A323" s="173"/>
      <c r="B323" s="181"/>
      <c r="C323" s="181"/>
      <c r="D323" s="181"/>
      <c r="E323" s="181"/>
      <c r="F323" s="181"/>
      <c r="G323" s="181"/>
      <c r="H323" s="181"/>
      <c r="I323" s="181"/>
      <c r="J323" s="181"/>
      <c r="K323" s="181"/>
      <c r="L323" s="181"/>
      <c r="M323" s="173"/>
      <c r="N323" s="173"/>
      <c r="O323" s="173"/>
      <c r="P323" s="173"/>
      <c r="Q323" s="173"/>
      <c r="R323" s="173"/>
      <c r="S323" s="173"/>
      <c r="T323" s="173"/>
      <c r="U323" s="173"/>
      <c r="V323" s="173"/>
      <c r="W323" s="173"/>
      <c r="X323" s="173"/>
      <c r="Y323" s="173"/>
      <c r="Z323" s="173"/>
      <c r="AA323" s="173"/>
      <c r="AB323" s="173"/>
      <c r="AC323" s="173"/>
      <c r="AD323" s="173"/>
      <c r="AE323" s="173"/>
      <c r="AF323" s="173"/>
      <c r="AG323" s="173"/>
      <c r="AH323" s="173"/>
      <c r="AI323" s="173"/>
      <c r="AJ323" s="173"/>
      <c r="AK323" s="173"/>
      <c r="AL323" s="173"/>
      <c r="AM323" s="173"/>
      <c r="AN323" s="173"/>
      <c r="AO323" s="173"/>
    </row>
    <row r="324" spans="1:41">
      <c r="A324" s="173"/>
      <c r="B324" s="173"/>
      <c r="C324" s="173"/>
      <c r="D324" s="173"/>
      <c r="E324" s="173"/>
      <c r="F324" s="173"/>
      <c r="G324" s="173"/>
      <c r="H324" s="173"/>
      <c r="I324" s="173"/>
      <c r="J324" s="173"/>
      <c r="K324" s="173"/>
      <c r="L324" s="173"/>
      <c r="M324" s="173"/>
      <c r="N324" s="173"/>
      <c r="O324" s="173"/>
      <c r="P324" s="173"/>
      <c r="Q324" s="173"/>
      <c r="R324" s="173"/>
      <c r="S324" s="173"/>
      <c r="T324" s="173"/>
      <c r="U324" s="173"/>
      <c r="V324" s="173"/>
      <c r="W324" s="173"/>
      <c r="X324" s="173"/>
      <c r="Y324" s="173"/>
      <c r="Z324" s="173"/>
      <c r="AA324" s="173"/>
      <c r="AB324" s="173"/>
      <c r="AC324" s="173"/>
      <c r="AD324" s="173"/>
      <c r="AE324" s="173"/>
      <c r="AF324" s="173"/>
      <c r="AG324" s="173"/>
      <c r="AH324" s="173"/>
      <c r="AI324" s="173"/>
      <c r="AJ324" s="173"/>
      <c r="AK324" s="173"/>
      <c r="AL324" s="173"/>
      <c r="AM324" s="173"/>
      <c r="AN324" s="173"/>
      <c r="AO324" s="173"/>
    </row>
    <row r="325" spans="1:41">
      <c r="A325" s="173"/>
      <c r="B325" s="173"/>
      <c r="C325" s="173"/>
      <c r="D325" s="173"/>
      <c r="E325" s="173"/>
      <c r="F325" s="173"/>
      <c r="G325" s="173"/>
      <c r="H325" s="173"/>
      <c r="I325" s="173"/>
      <c r="J325" s="173"/>
      <c r="K325" s="173"/>
      <c r="L325" s="173"/>
      <c r="M325" s="173"/>
      <c r="N325" s="173"/>
      <c r="O325" s="173"/>
      <c r="P325" s="173"/>
      <c r="Q325" s="173"/>
      <c r="R325" s="173"/>
      <c r="S325" s="173"/>
      <c r="T325" s="173"/>
      <c r="U325" s="173"/>
      <c r="V325" s="173"/>
      <c r="W325" s="173"/>
      <c r="X325" s="173"/>
      <c r="Y325" s="173"/>
      <c r="Z325" s="173"/>
      <c r="AA325" s="173"/>
      <c r="AB325" s="173"/>
      <c r="AC325" s="173"/>
      <c r="AD325" s="173"/>
      <c r="AE325" s="173"/>
      <c r="AF325" s="173"/>
      <c r="AG325" s="173"/>
      <c r="AH325" s="173"/>
      <c r="AI325" s="173"/>
      <c r="AJ325" s="173"/>
      <c r="AK325" s="173"/>
      <c r="AL325" s="173"/>
      <c r="AM325" s="173"/>
      <c r="AN325" s="173"/>
      <c r="AO325" s="173"/>
    </row>
    <row r="326" spans="1:41">
      <c r="A326" s="173"/>
      <c r="B326" s="181"/>
      <c r="C326" s="181"/>
      <c r="D326" s="181"/>
      <c r="E326" s="181"/>
      <c r="F326" s="173"/>
      <c r="G326" s="173"/>
      <c r="H326" s="173"/>
      <c r="I326" s="173"/>
      <c r="J326" s="173"/>
      <c r="K326" s="173"/>
      <c r="L326" s="173"/>
      <c r="M326" s="173"/>
      <c r="N326" s="173"/>
      <c r="O326" s="173"/>
      <c r="P326" s="173"/>
      <c r="Q326" s="173"/>
      <c r="R326" s="173"/>
      <c r="S326" s="173"/>
      <c r="T326" s="173"/>
      <c r="U326" s="173"/>
      <c r="V326" s="173"/>
      <c r="W326" s="173"/>
      <c r="X326" s="173"/>
      <c r="Y326" s="173"/>
      <c r="Z326" s="173"/>
      <c r="AA326" s="173"/>
      <c r="AB326" s="173"/>
      <c r="AC326" s="173"/>
      <c r="AD326" s="173"/>
      <c r="AE326" s="173"/>
      <c r="AF326" s="173"/>
      <c r="AG326" s="173"/>
      <c r="AH326" s="173"/>
      <c r="AI326" s="173"/>
      <c r="AJ326" s="173"/>
      <c r="AK326" s="173"/>
      <c r="AL326" s="173"/>
      <c r="AM326" s="173"/>
      <c r="AN326" s="173"/>
      <c r="AO326" s="173"/>
    </row>
    <row r="327" spans="1:41">
      <c r="A327" s="173"/>
      <c r="B327" s="181"/>
      <c r="C327" s="181"/>
      <c r="D327" s="181"/>
      <c r="E327" s="181"/>
      <c r="F327" s="173"/>
      <c r="G327" s="173"/>
      <c r="H327" s="173"/>
      <c r="I327" s="173"/>
      <c r="J327" s="173"/>
      <c r="K327" s="173"/>
      <c r="L327" s="173"/>
      <c r="M327" s="173"/>
      <c r="N327" s="173"/>
      <c r="O327" s="173"/>
      <c r="P327" s="173"/>
      <c r="Q327" s="173"/>
      <c r="R327" s="173"/>
      <c r="S327" s="173"/>
      <c r="T327" s="173"/>
      <c r="U327" s="173"/>
      <c r="V327" s="173"/>
      <c r="W327" s="173"/>
      <c r="X327" s="173"/>
      <c r="Y327" s="173"/>
      <c r="Z327" s="173"/>
      <c r="AA327" s="173"/>
      <c r="AB327" s="173"/>
      <c r="AC327" s="173"/>
      <c r="AD327" s="173"/>
      <c r="AE327" s="173"/>
      <c r="AF327" s="173"/>
      <c r="AG327" s="173"/>
      <c r="AH327" s="173"/>
      <c r="AI327" s="173"/>
      <c r="AJ327" s="173"/>
      <c r="AK327" s="173"/>
      <c r="AL327" s="173"/>
      <c r="AM327" s="173"/>
      <c r="AN327" s="173"/>
      <c r="AO327" s="173"/>
    </row>
    <row r="328" spans="1:41">
      <c r="A328" s="173"/>
      <c r="B328" s="173"/>
      <c r="C328" s="173"/>
      <c r="D328" s="173"/>
      <c r="E328" s="173"/>
      <c r="F328" s="173"/>
      <c r="G328" s="173"/>
      <c r="H328" s="173"/>
      <c r="I328" s="173"/>
      <c r="J328" s="173"/>
      <c r="K328" s="173"/>
      <c r="L328" s="173"/>
      <c r="M328" s="173"/>
      <c r="N328" s="173"/>
      <c r="O328" s="173"/>
      <c r="P328" s="173"/>
      <c r="Q328" s="173"/>
      <c r="R328" s="173"/>
      <c r="S328" s="173"/>
      <c r="T328" s="173"/>
      <c r="U328" s="173"/>
      <c r="V328" s="173"/>
      <c r="W328" s="173"/>
      <c r="X328" s="173"/>
      <c r="Y328" s="173"/>
      <c r="Z328" s="173"/>
      <c r="AA328" s="173"/>
      <c r="AB328" s="173"/>
      <c r="AC328" s="173"/>
      <c r="AD328" s="173"/>
      <c r="AE328" s="173"/>
      <c r="AF328" s="173"/>
      <c r="AG328" s="173"/>
      <c r="AH328" s="173"/>
      <c r="AI328" s="173"/>
      <c r="AJ328" s="173"/>
      <c r="AK328" s="173"/>
      <c r="AL328" s="173"/>
      <c r="AM328" s="173"/>
      <c r="AN328" s="173"/>
      <c r="AO328" s="173"/>
    </row>
    <row r="329" spans="1:41">
      <c r="A329" s="173"/>
      <c r="B329" s="173"/>
      <c r="C329" s="173"/>
      <c r="D329" s="173"/>
      <c r="E329" s="173"/>
      <c r="F329" s="173"/>
      <c r="G329" s="173"/>
      <c r="H329" s="173"/>
      <c r="I329" s="173"/>
      <c r="J329" s="173"/>
      <c r="K329" s="173"/>
      <c r="L329" s="173"/>
      <c r="M329" s="173"/>
      <c r="N329" s="173"/>
      <c r="O329" s="173"/>
      <c r="P329" s="173"/>
      <c r="Q329" s="173"/>
      <c r="R329" s="173"/>
      <c r="S329" s="173"/>
      <c r="T329" s="173"/>
      <c r="U329" s="173"/>
      <c r="V329" s="173"/>
      <c r="W329" s="173"/>
      <c r="X329" s="173"/>
      <c r="Y329" s="173"/>
      <c r="Z329" s="173"/>
      <c r="AA329" s="173"/>
      <c r="AB329" s="173"/>
      <c r="AC329" s="173"/>
      <c r="AD329" s="173"/>
      <c r="AE329" s="173"/>
      <c r="AF329" s="173"/>
      <c r="AG329" s="173"/>
      <c r="AH329" s="173"/>
      <c r="AI329" s="173"/>
      <c r="AJ329" s="173"/>
      <c r="AK329" s="173"/>
      <c r="AL329" s="173"/>
      <c r="AM329" s="173"/>
      <c r="AN329" s="173"/>
      <c r="AO329" s="173"/>
    </row>
    <row r="330" spans="1:41">
      <c r="A330" s="173"/>
      <c r="B330" s="181"/>
      <c r="C330" s="173"/>
      <c r="D330" s="173"/>
      <c r="E330" s="173"/>
      <c r="F330" s="173"/>
      <c r="G330" s="173"/>
      <c r="H330" s="173"/>
      <c r="I330" s="173"/>
      <c r="J330" s="173"/>
      <c r="K330" s="173"/>
      <c r="L330" s="173"/>
      <c r="M330" s="173"/>
      <c r="N330" s="173"/>
      <c r="O330" s="173"/>
      <c r="P330" s="173"/>
      <c r="Q330" s="173"/>
      <c r="R330" s="173"/>
      <c r="S330" s="173"/>
      <c r="T330" s="173"/>
      <c r="U330" s="173"/>
      <c r="V330" s="173"/>
      <c r="W330" s="173"/>
      <c r="X330" s="173"/>
      <c r="Y330" s="173"/>
      <c r="Z330" s="173"/>
      <c r="AA330" s="173"/>
      <c r="AB330" s="173"/>
      <c r="AC330" s="173"/>
      <c r="AD330" s="173"/>
      <c r="AE330" s="173"/>
      <c r="AF330" s="173"/>
      <c r="AG330" s="173"/>
      <c r="AH330" s="173"/>
      <c r="AI330" s="173"/>
      <c r="AJ330" s="173"/>
      <c r="AK330" s="173"/>
      <c r="AL330" s="173"/>
      <c r="AM330" s="173"/>
      <c r="AN330" s="173"/>
      <c r="AO330" s="173"/>
    </row>
    <row r="331" spans="1:41">
      <c r="A331" s="173"/>
      <c r="B331" s="181"/>
      <c r="C331" s="181"/>
      <c r="D331" s="181"/>
      <c r="E331" s="181"/>
      <c r="F331" s="181"/>
      <c r="G331" s="181"/>
      <c r="H331" s="181"/>
      <c r="I331" s="181"/>
      <c r="J331" s="181"/>
      <c r="K331" s="173"/>
      <c r="L331" s="173"/>
      <c r="M331" s="173"/>
      <c r="N331" s="173"/>
      <c r="O331" s="173"/>
      <c r="P331" s="173"/>
      <c r="Q331" s="173"/>
      <c r="R331" s="173"/>
      <c r="S331" s="173"/>
      <c r="T331" s="173"/>
      <c r="U331" s="173"/>
      <c r="V331" s="173"/>
      <c r="W331" s="173"/>
      <c r="X331" s="173"/>
      <c r="Y331" s="173"/>
      <c r="Z331" s="173"/>
      <c r="AA331" s="173"/>
      <c r="AB331" s="173"/>
      <c r="AC331" s="173"/>
      <c r="AD331" s="173"/>
      <c r="AE331" s="173"/>
      <c r="AF331" s="173"/>
      <c r="AG331" s="173"/>
      <c r="AH331" s="173"/>
      <c r="AI331" s="173"/>
      <c r="AJ331" s="173"/>
      <c r="AK331" s="173"/>
      <c r="AL331" s="173"/>
      <c r="AM331" s="173"/>
      <c r="AN331" s="173"/>
      <c r="AO331" s="173"/>
    </row>
    <row r="332" spans="1:41">
      <c r="A332" s="173"/>
      <c r="B332" s="173"/>
      <c r="C332" s="173"/>
      <c r="D332" s="173"/>
      <c r="E332" s="173"/>
      <c r="F332" s="173"/>
      <c r="G332" s="173"/>
      <c r="H332" s="173"/>
      <c r="I332" s="173"/>
      <c r="J332" s="173"/>
      <c r="K332" s="173"/>
      <c r="L332" s="173"/>
      <c r="M332" s="173"/>
      <c r="N332" s="173"/>
      <c r="O332" s="173"/>
      <c r="P332" s="173"/>
      <c r="Q332" s="173"/>
      <c r="R332" s="173"/>
      <c r="S332" s="173"/>
      <c r="T332" s="173"/>
      <c r="U332" s="173"/>
      <c r="V332" s="173"/>
      <c r="W332" s="173"/>
      <c r="X332" s="173"/>
      <c r="Y332" s="173"/>
      <c r="Z332" s="173"/>
      <c r="AA332" s="173"/>
      <c r="AB332" s="173"/>
      <c r="AC332" s="173"/>
      <c r="AD332" s="173"/>
      <c r="AE332" s="173"/>
      <c r="AF332" s="173"/>
      <c r="AG332" s="173"/>
      <c r="AH332" s="173"/>
      <c r="AI332" s="173"/>
      <c r="AJ332" s="173"/>
      <c r="AK332" s="173"/>
      <c r="AL332" s="173"/>
      <c r="AM332" s="173"/>
      <c r="AN332" s="173"/>
      <c r="AO332" s="173"/>
    </row>
    <row r="333" spans="1:41">
      <c r="A333" s="173"/>
      <c r="B333" s="173"/>
      <c r="C333" s="173"/>
      <c r="D333" s="173"/>
      <c r="E333" s="173"/>
      <c r="F333" s="173"/>
      <c r="G333" s="173"/>
      <c r="H333" s="173"/>
      <c r="I333" s="173"/>
      <c r="J333" s="173"/>
      <c r="K333" s="173"/>
      <c r="L333" s="173"/>
      <c r="M333" s="173"/>
      <c r="N333" s="173"/>
      <c r="O333" s="173"/>
      <c r="P333" s="173"/>
      <c r="Q333" s="173"/>
      <c r="R333" s="173"/>
      <c r="S333" s="173"/>
      <c r="T333" s="173"/>
      <c r="U333" s="173"/>
      <c r="V333" s="173"/>
      <c r="W333" s="173"/>
      <c r="X333" s="173"/>
      <c r="Y333" s="173"/>
      <c r="Z333" s="173"/>
      <c r="AA333" s="173"/>
      <c r="AB333" s="173"/>
      <c r="AC333" s="173"/>
      <c r="AD333" s="173"/>
      <c r="AE333" s="173"/>
      <c r="AF333" s="173"/>
      <c r="AG333" s="173"/>
      <c r="AH333" s="173"/>
      <c r="AI333" s="173"/>
      <c r="AJ333" s="173"/>
      <c r="AK333" s="173"/>
      <c r="AL333" s="173"/>
      <c r="AM333" s="173"/>
      <c r="AN333" s="173"/>
      <c r="AO333" s="173"/>
    </row>
    <row r="334" spans="1:41">
      <c r="A334" s="173"/>
      <c r="B334" s="181"/>
      <c r="C334" s="173"/>
      <c r="D334" s="173"/>
      <c r="E334" s="173"/>
      <c r="F334" s="173"/>
      <c r="G334" s="173"/>
      <c r="H334" s="173"/>
      <c r="I334" s="173"/>
      <c r="J334" s="173"/>
      <c r="K334" s="173"/>
      <c r="L334" s="173"/>
      <c r="M334" s="173"/>
      <c r="N334" s="173"/>
      <c r="O334" s="173"/>
      <c r="P334" s="173"/>
      <c r="Q334" s="173"/>
      <c r="R334" s="173"/>
      <c r="S334" s="173"/>
      <c r="T334" s="173"/>
      <c r="U334" s="173"/>
      <c r="V334" s="173"/>
      <c r="W334" s="173"/>
      <c r="X334" s="173"/>
      <c r="Y334" s="173"/>
      <c r="Z334" s="173"/>
      <c r="AA334" s="173"/>
      <c r="AB334" s="173"/>
      <c r="AC334" s="173"/>
      <c r="AD334" s="173"/>
      <c r="AE334" s="173"/>
      <c r="AF334" s="173"/>
      <c r="AG334" s="173"/>
      <c r="AH334" s="173"/>
      <c r="AI334" s="173"/>
      <c r="AJ334" s="173"/>
      <c r="AK334" s="173"/>
      <c r="AL334" s="173"/>
      <c r="AM334" s="173"/>
      <c r="AN334" s="173"/>
      <c r="AO334" s="173"/>
    </row>
    <row r="335" spans="1:41">
      <c r="A335" s="173"/>
      <c r="B335" s="181"/>
      <c r="C335" s="181"/>
      <c r="D335" s="181"/>
      <c r="E335" s="181"/>
      <c r="F335" s="181"/>
      <c r="G335" s="181"/>
      <c r="H335" s="181"/>
      <c r="I335" s="181"/>
      <c r="J335" s="181"/>
      <c r="K335" s="181"/>
      <c r="L335" s="181"/>
      <c r="M335" s="181"/>
      <c r="N335" s="173"/>
      <c r="O335" s="173"/>
      <c r="P335" s="173"/>
      <c r="Q335" s="173"/>
      <c r="R335" s="173"/>
      <c r="S335" s="173"/>
      <c r="T335" s="173"/>
      <c r="U335" s="173"/>
      <c r="V335" s="173"/>
      <c r="W335" s="173"/>
      <c r="X335" s="173"/>
      <c r="Y335" s="173"/>
      <c r="Z335" s="173"/>
      <c r="AA335" s="173"/>
      <c r="AB335" s="173"/>
      <c r="AC335" s="173"/>
      <c r="AD335" s="173"/>
      <c r="AE335" s="173"/>
      <c r="AF335" s="173"/>
      <c r="AG335" s="173"/>
      <c r="AH335" s="173"/>
      <c r="AI335" s="173"/>
      <c r="AJ335" s="173"/>
      <c r="AK335" s="173"/>
      <c r="AL335" s="173"/>
      <c r="AM335" s="173"/>
      <c r="AN335" s="173"/>
      <c r="AO335" s="173"/>
    </row>
    <row r="336" spans="1:41">
      <c r="A336" s="173"/>
      <c r="B336" s="173"/>
      <c r="C336" s="173"/>
      <c r="D336" s="173"/>
      <c r="E336" s="173"/>
      <c r="F336" s="173"/>
      <c r="G336" s="173"/>
      <c r="H336" s="173"/>
      <c r="I336" s="173"/>
      <c r="J336" s="173"/>
      <c r="K336" s="173"/>
      <c r="L336" s="173"/>
      <c r="M336" s="173"/>
      <c r="N336" s="173"/>
      <c r="O336" s="173"/>
      <c r="P336" s="173"/>
      <c r="Q336" s="173"/>
      <c r="R336" s="173"/>
      <c r="S336" s="173"/>
      <c r="T336" s="173"/>
      <c r="U336" s="173"/>
      <c r="V336" s="173"/>
      <c r="W336" s="173"/>
      <c r="X336" s="173"/>
      <c r="Y336" s="173"/>
      <c r="Z336" s="173"/>
      <c r="AA336" s="173"/>
      <c r="AB336" s="173"/>
      <c r="AC336" s="173"/>
      <c r="AD336" s="173"/>
      <c r="AE336" s="173"/>
      <c r="AF336" s="173"/>
      <c r="AG336" s="173"/>
      <c r="AH336" s="173"/>
      <c r="AI336" s="173"/>
      <c r="AJ336" s="173"/>
      <c r="AK336" s="173"/>
      <c r="AL336" s="173"/>
      <c r="AM336" s="173"/>
      <c r="AN336" s="173"/>
      <c r="AO336" s="173"/>
    </row>
    <row r="337" spans="1:41">
      <c r="A337" s="173"/>
      <c r="B337" s="173"/>
      <c r="C337" s="173"/>
      <c r="D337" s="173"/>
      <c r="E337" s="173"/>
      <c r="F337" s="173"/>
      <c r="G337" s="173"/>
      <c r="H337" s="173"/>
      <c r="I337" s="173"/>
      <c r="J337" s="173"/>
      <c r="K337" s="173"/>
      <c r="L337" s="173"/>
      <c r="M337" s="173"/>
      <c r="N337" s="173"/>
      <c r="O337" s="173"/>
      <c r="P337" s="173"/>
      <c r="Q337" s="173"/>
      <c r="R337" s="173"/>
      <c r="S337" s="173"/>
      <c r="T337" s="173"/>
      <c r="U337" s="173"/>
      <c r="V337" s="173"/>
      <c r="W337" s="173"/>
      <c r="X337" s="173"/>
      <c r="Y337" s="173"/>
      <c r="Z337" s="173"/>
      <c r="AA337" s="173"/>
      <c r="AB337" s="173"/>
      <c r="AC337" s="173"/>
      <c r="AD337" s="173"/>
      <c r="AE337" s="173"/>
      <c r="AF337" s="173"/>
      <c r="AG337" s="173"/>
      <c r="AH337" s="173"/>
      <c r="AI337" s="173"/>
      <c r="AJ337" s="173"/>
      <c r="AK337" s="173"/>
      <c r="AL337" s="173"/>
      <c r="AM337" s="173"/>
      <c r="AN337" s="173"/>
      <c r="AO337" s="173"/>
    </row>
    <row r="338" spans="1:41">
      <c r="A338" s="173"/>
      <c r="B338" s="173"/>
      <c r="C338" s="173"/>
      <c r="D338" s="173"/>
      <c r="E338" s="173"/>
      <c r="F338" s="173"/>
      <c r="G338" s="173"/>
      <c r="H338" s="173"/>
      <c r="I338" s="173"/>
      <c r="J338" s="173"/>
      <c r="K338" s="173"/>
      <c r="L338" s="173"/>
      <c r="M338" s="173"/>
      <c r="N338" s="173"/>
      <c r="O338" s="173"/>
      <c r="P338" s="173"/>
      <c r="Q338" s="173"/>
      <c r="R338" s="173"/>
      <c r="S338" s="173"/>
      <c r="T338" s="173"/>
      <c r="U338" s="173"/>
      <c r="V338" s="173"/>
      <c r="W338" s="173"/>
      <c r="X338" s="173"/>
      <c r="Y338" s="173"/>
      <c r="Z338" s="173"/>
      <c r="AA338" s="173"/>
      <c r="AB338" s="173"/>
      <c r="AC338" s="173"/>
      <c r="AD338" s="173"/>
      <c r="AE338" s="173"/>
      <c r="AF338" s="173"/>
      <c r="AG338" s="173"/>
      <c r="AH338" s="173"/>
      <c r="AI338" s="173"/>
      <c r="AJ338" s="173"/>
      <c r="AK338" s="173"/>
      <c r="AL338" s="173"/>
      <c r="AM338" s="173"/>
      <c r="AN338" s="173"/>
      <c r="AO338" s="173"/>
    </row>
  </sheetData>
  <phoneticPr fontId="71"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dimension ref="A1:D8"/>
  <sheetViews>
    <sheetView workbookViewId="0">
      <selection activeCell="E27" sqref="E27"/>
    </sheetView>
  </sheetViews>
  <sheetFormatPr defaultColWidth="9" defaultRowHeight="16.5"/>
  <cols>
    <col min="1" max="1" width="7.5" customWidth="1"/>
    <col min="2" max="2" width="7.25" customWidth="1"/>
    <col min="3" max="3" width="63.75" customWidth="1"/>
    <col min="4" max="4" width="17.25" customWidth="1"/>
  </cols>
  <sheetData>
    <row r="1" spans="1:4" ht="33">
      <c r="A1" t="s">
        <v>3249</v>
      </c>
      <c r="B1" s="2" t="s">
        <v>3250</v>
      </c>
      <c r="C1" t="s">
        <v>3251</v>
      </c>
    </row>
    <row r="2" spans="1:4" ht="33">
      <c r="A2" t="s">
        <v>3252</v>
      </c>
      <c r="B2" s="2" t="s">
        <v>3253</v>
      </c>
      <c r="C2" t="s">
        <v>3254</v>
      </c>
    </row>
    <row r="3" spans="1:4" ht="33">
      <c r="A3" t="s">
        <v>3255</v>
      </c>
      <c r="B3" s="2" t="s">
        <v>3256</v>
      </c>
      <c r="C3" t="s">
        <v>3257</v>
      </c>
    </row>
    <row r="4" spans="1:4" ht="33">
      <c r="A4" t="s">
        <v>75</v>
      </c>
      <c r="B4" s="2" t="s">
        <v>3258</v>
      </c>
      <c r="C4" t="s">
        <v>3259</v>
      </c>
      <c r="D4" t="s">
        <v>3260</v>
      </c>
    </row>
    <row r="5" spans="1:4">
      <c r="A5" s="3">
        <v>40301</v>
      </c>
      <c r="B5">
        <v>2</v>
      </c>
      <c r="C5" t="s">
        <v>3261</v>
      </c>
      <c r="D5" t="s">
        <v>3262</v>
      </c>
    </row>
    <row r="6" spans="1:4">
      <c r="A6" s="3">
        <v>40301</v>
      </c>
      <c r="B6">
        <v>4</v>
      </c>
      <c r="C6" t="s">
        <v>3261</v>
      </c>
      <c r="D6" t="s">
        <v>3262</v>
      </c>
    </row>
    <row r="7" spans="1:4">
      <c r="A7" s="3">
        <v>40301</v>
      </c>
      <c r="B7">
        <v>7</v>
      </c>
      <c r="C7" t="s">
        <v>3261</v>
      </c>
      <c r="D7" t="s">
        <v>3262</v>
      </c>
    </row>
    <row r="8" spans="1:4">
      <c r="A8" s="3"/>
    </row>
  </sheetData>
  <phoneticPr fontId="71"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Pict="0" macro="[0]!音频_下载列表">
                <anchor moveWithCells="1" sizeWithCells="1">
                  <from>
                    <xdr:col>2</xdr:col>
                    <xdr:colOff>876300</xdr:colOff>
                    <xdr:row>3</xdr:row>
                    <xdr:rowOff>28575</xdr:rowOff>
                  </from>
                  <to>
                    <xdr:col>2</xdr:col>
                    <xdr:colOff>1847850</xdr:colOff>
                    <xdr:row>3</xdr:row>
                    <xdr:rowOff>371475</xdr:rowOff>
                  </to>
                </anchor>
              </controlPr>
            </control>
          </mc:Choice>
        </mc:AlternateContent>
        <mc:AlternateContent xmlns:mc="http://schemas.openxmlformats.org/markup-compatibility/2006">
          <mc:Choice Requires="x14">
            <control shapeId="23555" r:id="rId4" name="Button 3">
              <controlPr defaultSize="0" print="0" autoPict="0" macro="[0]!音频_选择日语文件夹">
                <anchor moveWithCells="1" sizeWithCells="1">
                  <from>
                    <xdr:col>3</xdr:col>
                    <xdr:colOff>85725</xdr:colOff>
                    <xdr:row>0</xdr:row>
                    <xdr:rowOff>38100</xdr:rowOff>
                  </from>
                  <to>
                    <xdr:col>3</xdr:col>
                    <xdr:colOff>1162050</xdr:colOff>
                    <xdr:row>0</xdr:row>
                    <xdr:rowOff>352425</xdr:rowOff>
                  </to>
                </anchor>
              </controlPr>
            </control>
          </mc:Choice>
        </mc:AlternateContent>
        <mc:AlternateContent xmlns:mc="http://schemas.openxmlformats.org/markup-compatibility/2006">
          <mc:Choice Requires="x14">
            <control shapeId="23556" r:id="rId5" name="Button 4">
              <controlPr defaultSize="0" print="0" autoPict="0" macro="[0]!音频_选择英语文件夹">
                <anchor moveWithCells="1" sizeWithCells="1">
                  <from>
                    <xdr:col>3</xdr:col>
                    <xdr:colOff>85725</xdr:colOff>
                    <xdr:row>1</xdr:row>
                    <xdr:rowOff>38100</xdr:rowOff>
                  </from>
                  <to>
                    <xdr:col>3</xdr:col>
                    <xdr:colOff>1162050</xdr:colOff>
                    <xdr:row>1</xdr:row>
                    <xdr:rowOff>352425</xdr:rowOff>
                  </to>
                </anchor>
              </controlPr>
            </control>
          </mc:Choice>
        </mc:AlternateContent>
        <mc:AlternateContent xmlns:mc="http://schemas.openxmlformats.org/markup-compatibility/2006">
          <mc:Choice Requires="x14">
            <control shapeId="23557" r:id="rId6" name="Button 5">
              <controlPr defaultSize="0" print="0" autoPict="0" macro="[0]!音频_选择汉语文件夹">
                <anchor moveWithCells="1" sizeWithCells="1">
                  <from>
                    <xdr:col>3</xdr:col>
                    <xdr:colOff>85725</xdr:colOff>
                    <xdr:row>2</xdr:row>
                    <xdr:rowOff>38100</xdr:rowOff>
                  </from>
                  <to>
                    <xdr:col>3</xdr:col>
                    <xdr:colOff>1162050</xdr:colOff>
                    <xdr:row>2</xdr:row>
                    <xdr:rowOff>352425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dimension ref="A1:E31"/>
  <sheetViews>
    <sheetView workbookViewId="0">
      <selection activeCell="G22" sqref="A1:G22"/>
    </sheetView>
  </sheetViews>
  <sheetFormatPr defaultColWidth="9" defaultRowHeight="16.5"/>
  <cols>
    <col min="1" max="2" width="19.875" customWidth="1"/>
    <col min="4" max="4" width="8" customWidth="1"/>
  </cols>
  <sheetData>
    <row r="1" spans="1:5">
      <c r="A1" s="1" t="s">
        <v>3263</v>
      </c>
      <c r="B1" s="1" t="s">
        <v>3264</v>
      </c>
      <c r="C1" s="1" t="s">
        <v>3265</v>
      </c>
      <c r="D1" s="1" t="s">
        <v>3266</v>
      </c>
      <c r="E1" t="s">
        <v>3267</v>
      </c>
    </row>
    <row r="2" spans="1:5">
      <c r="A2" t="s">
        <v>3268</v>
      </c>
      <c r="D2" t="s">
        <v>3269</v>
      </c>
      <c r="E2" t="s">
        <v>3270</v>
      </c>
    </row>
    <row r="3" spans="1:5">
      <c r="A3" t="s">
        <v>3271</v>
      </c>
      <c r="B3" s="1"/>
    </row>
    <row r="4" spans="1:5">
      <c r="A4" t="s">
        <v>3272</v>
      </c>
      <c r="B4" s="1"/>
    </row>
    <row r="5" spans="1:5">
      <c r="A5" t="s">
        <v>3273</v>
      </c>
      <c r="B5" s="1"/>
    </row>
    <row r="6" spans="1:5">
      <c r="A6" t="s">
        <v>3274</v>
      </c>
      <c r="B6" s="1"/>
    </row>
    <row r="7" spans="1:5">
      <c r="A7" t="s">
        <v>3275</v>
      </c>
      <c r="B7" s="1"/>
    </row>
    <row r="8" spans="1:5">
      <c r="A8" t="s">
        <v>3276</v>
      </c>
      <c r="B8" s="1"/>
    </row>
    <row r="9" spans="1:5">
      <c r="A9" t="s">
        <v>3277</v>
      </c>
      <c r="B9" s="1"/>
    </row>
    <row r="10" spans="1:5">
      <c r="A10" t="s">
        <v>3278</v>
      </c>
      <c r="B10" s="1"/>
    </row>
    <row r="11" spans="1:5">
      <c r="A11" t="s">
        <v>3279</v>
      </c>
      <c r="B11" s="1"/>
    </row>
    <row r="12" spans="1:5">
      <c r="A12" t="s">
        <v>3280</v>
      </c>
      <c r="B12" s="1"/>
    </row>
    <row r="13" spans="1:5">
      <c r="A13" t="s">
        <v>3281</v>
      </c>
      <c r="B13" s="1"/>
    </row>
    <row r="14" spans="1:5">
      <c r="A14" t="s">
        <v>3282</v>
      </c>
      <c r="B14" s="1"/>
    </row>
    <row r="15" spans="1:5">
      <c r="A15" t="s">
        <v>3283</v>
      </c>
      <c r="B15" s="1"/>
    </row>
    <row r="16" spans="1:5">
      <c r="B16" s="1"/>
    </row>
    <row r="17" spans="2:2">
      <c r="B17" s="1"/>
    </row>
    <row r="18" spans="2:2">
      <c r="B18" s="1"/>
    </row>
    <row r="19" spans="2:2">
      <c r="B19" s="1"/>
    </row>
    <row r="20" spans="2:2">
      <c r="B20" s="1"/>
    </row>
    <row r="21" spans="2:2">
      <c r="B21" s="1"/>
    </row>
    <row r="22" spans="2:2">
      <c r="B22" s="1"/>
    </row>
    <row r="23" spans="2:2">
      <c r="B23" s="1"/>
    </row>
    <row r="24" spans="2:2">
      <c r="B24" s="1"/>
    </row>
    <row r="25" spans="2:2">
      <c r="B25" s="1"/>
    </row>
    <row r="26" spans="2:2">
      <c r="B26" s="1"/>
    </row>
    <row r="27" spans="2:2">
      <c r="B27" s="1"/>
    </row>
    <row r="28" spans="2:2">
      <c r="B28" s="1"/>
    </row>
    <row r="29" spans="2:2">
      <c r="B29" s="1"/>
    </row>
    <row r="30" spans="2:2">
      <c r="B30" s="1"/>
    </row>
    <row r="31" spans="2:2">
      <c r="B31" s="1"/>
    </row>
  </sheetData>
  <phoneticPr fontId="7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Pict="0" macro="[0]!音频_修改">
                <anchor moveWithCells="1" sizeWithCells="1">
                  <from>
                    <xdr:col>3</xdr:col>
                    <xdr:colOff>161925</xdr:colOff>
                    <xdr:row>6</xdr:row>
                    <xdr:rowOff>57150</xdr:rowOff>
                  </from>
                  <to>
                    <xdr:col>4</xdr:col>
                    <xdr:colOff>533400</xdr:colOff>
                    <xdr:row>7</xdr:row>
                    <xdr:rowOff>142875</xdr:rowOff>
                  </to>
                </anchor>
              </controlPr>
            </control>
          </mc:Choice>
        </mc:AlternateContent>
        <mc:AlternateContent xmlns:mc="http://schemas.openxmlformats.org/markup-compatibility/2006">
          <mc:Choice Requires="x14">
            <control shapeId="24578" r:id="rId5" name="Button 2">
              <controlPr defaultSize="0" print="0" autoPict="0" macro="[0]!音频_资源检查">
                <anchor moveWithCells="1" sizeWithCells="1">
                  <from>
                    <xdr:col>3</xdr:col>
                    <xdr:colOff>190500</xdr:colOff>
                    <xdr:row>3</xdr:row>
                    <xdr:rowOff>66675</xdr:rowOff>
                  </from>
                  <to>
                    <xdr:col>4</xdr:col>
                    <xdr:colOff>533400</xdr:colOff>
                    <xdr:row>4</xdr:row>
                    <xdr:rowOff>161925</xdr:rowOff>
                  </to>
                </anchor>
              </controlPr>
            </control>
          </mc:Choice>
        </mc:AlternateContent>
        <mc:AlternateContent xmlns:mc="http://schemas.openxmlformats.org/markup-compatibility/2006">
          <mc:Choice Requires="x14">
            <control shapeId="24580" r:id="rId6" name="Button 4">
              <controlPr defaultSize="0" print="0" autoPict="0" macro="[0]!音频_读取音频名">
                <anchor moveWithCells="1" sizeWithCells="1">
                  <from>
                    <xdr:col>3</xdr:col>
                    <xdr:colOff>209550</xdr:colOff>
                    <xdr:row>9</xdr:row>
                    <xdr:rowOff>0</xdr:rowOff>
                  </from>
                  <to>
                    <xdr:col>4</xdr:col>
                    <xdr:colOff>590550</xdr:colOff>
                    <xdr:row>10</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33</vt:i4>
      </vt:variant>
      <vt:variant>
        <vt:lpstr>命名范围</vt:lpstr>
      </vt:variant>
      <vt:variant>
        <vt:i4>31</vt:i4>
      </vt:variant>
    </vt:vector>
  </HeadingPairs>
  <TitlesOfParts>
    <vt:vector size="64" baseType="lpstr">
      <vt:lpstr>目录</vt:lpstr>
      <vt:lpstr>活动配置</vt:lpstr>
      <vt:lpstr>宠物动作</vt:lpstr>
      <vt:lpstr>捞文本配置</vt:lpstr>
      <vt:lpstr>卡牌数据迁移</vt:lpstr>
      <vt:lpstr>卡牌本地化解析</vt:lpstr>
      <vt:lpstr>资源迁移</vt:lpstr>
      <vt:lpstr>礼包参数配置</vt:lpstr>
      <vt:lpstr>东南亚礼包</vt:lpstr>
      <vt:lpstr>韩服礼包</vt:lpstr>
      <vt:lpstr>日服礼包</vt:lpstr>
      <vt:lpstr>台服礼包</vt:lpstr>
      <vt:lpstr>欧美礼包</vt:lpstr>
      <vt:lpstr>越南礼包</vt:lpstr>
      <vt:lpstr>24小时数据生成</vt:lpstr>
      <vt:lpstr>数据有效性</vt:lpstr>
      <vt:lpstr>宠物资源映射</vt:lpstr>
      <vt:lpstr>宠物有效性</vt:lpstr>
      <vt:lpstr>宠物标签</vt:lpstr>
      <vt:lpstr>宠物模型</vt:lpstr>
      <vt:lpstr>宠物扭蛋奖励【弃】</vt:lpstr>
      <vt:lpstr>宠物扭蛋</vt:lpstr>
      <vt:lpstr>宠物动作参考</vt:lpstr>
      <vt:lpstr>卡牌生成</vt:lpstr>
      <vt:lpstr>卡牌QA</vt:lpstr>
      <vt:lpstr>卡牌数值</vt:lpstr>
      <vt:lpstr>表头说明</vt:lpstr>
      <vt:lpstr>活动flag</vt:lpstr>
      <vt:lpstr>主线章节</vt:lpstr>
      <vt:lpstr>主线关卡</vt:lpstr>
      <vt:lpstr>Sheet1</vt:lpstr>
      <vt:lpstr>下载列表生成</vt:lpstr>
      <vt:lpstr>资源检查&amp;修改</vt:lpstr>
      <vt:lpstr>耳朵1</vt:lpstr>
      <vt:lpstr>耳朵2</vt:lpstr>
      <vt:lpstr>脸1</vt:lpstr>
      <vt:lpstr>脸2</vt:lpstr>
      <vt:lpstr>刘海1</vt:lpstr>
      <vt:lpstr>刘海2</vt:lpstr>
      <vt:lpstr>毛色1</vt:lpstr>
      <vt:lpstr>毛色2</vt:lpstr>
      <vt:lpstr>眉毛1</vt:lpstr>
      <vt:lpstr>眉毛2</vt:lpstr>
      <vt:lpstr>品种1</vt:lpstr>
      <vt:lpstr>品种2</vt:lpstr>
      <vt:lpstr>身体1</vt:lpstr>
      <vt:lpstr>身体2</vt:lpstr>
      <vt:lpstr>瞳色1</vt:lpstr>
      <vt:lpstr>瞳色2</vt:lpstr>
      <vt:lpstr>腿脚1</vt:lpstr>
      <vt:lpstr>腿脚2</vt:lpstr>
      <vt:lpstr>尾巴1</vt:lpstr>
      <vt:lpstr>尾巴2</vt:lpstr>
      <vt:lpstr>物种</vt:lpstr>
      <vt:lpstr>物种1</vt:lpstr>
      <vt:lpstr>物种2</vt:lpstr>
      <vt:lpstr>性别1</vt:lpstr>
      <vt:lpstr>性别2</vt:lpstr>
      <vt:lpstr>性格1</vt:lpstr>
      <vt:lpstr>性格2</vt:lpstr>
      <vt:lpstr>痣1</vt:lpstr>
      <vt:lpstr>痣2</vt:lpstr>
      <vt:lpstr>嘴巴腮1</vt:lpstr>
      <vt:lpstr>嘴巴腮2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PC</cp:lastModifiedBy>
  <dcterms:created xsi:type="dcterms:W3CDTF">2020-07-14T03:24:00Z</dcterms:created>
  <dcterms:modified xsi:type="dcterms:W3CDTF">2022-02-11T07:08:18Z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2052-11.1.0.10577</vt:lpwstr>
  </property>
  <property fmtid="{D5CDD505-2E9C-101B-9397-08002B2CF9AE}" pid="3" name="ICV">
    <vt:lpwstr>8A155AC8FA2D41AB821018391E9DABB1</vt:lpwstr>
  </property>
</Properties>
</file>